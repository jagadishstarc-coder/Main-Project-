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49A53F6-75AA-4713-AE90-9CBBD397FBD7}" xr6:coauthVersionLast="47" xr6:coauthVersionMax="47" xr10:uidLastSave="{00000000-0000-0000-0000-000000000000}"/>
  <bookViews>
    <workbookView xWindow="-108" yWindow="-108" windowWidth="23256" windowHeight="12456" activeTab="1" xr2:uid="{5624AC3D-6D75-45DB-912E-32C531B46570}"/>
  </bookViews>
  <sheets>
    <sheet name="Main Project Raw Data" sheetId="1" r:id="rId1"/>
    <sheet name="Cleaning Data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G7" i="2"/>
  <c r="O7" i="2" s="1"/>
  <c r="G8" i="2"/>
  <c r="O8" i="2" s="1"/>
  <c r="G9" i="2"/>
  <c r="O9" i="2" s="1"/>
  <c r="G10" i="2"/>
  <c r="O10" i="2" s="1"/>
  <c r="G11" i="2"/>
  <c r="O11" i="2" s="1"/>
  <c r="G12" i="2"/>
  <c r="O12" i="2" s="1"/>
  <c r="G13" i="2"/>
  <c r="O13" i="2" s="1"/>
  <c r="G14" i="2"/>
  <c r="O14" i="2" s="1"/>
  <c r="G15" i="2"/>
  <c r="O15" i="2" s="1"/>
  <c r="G16" i="2"/>
  <c r="O16" i="2" s="1"/>
  <c r="G17" i="2"/>
  <c r="O17" i="2" s="1"/>
  <c r="G18" i="2"/>
  <c r="O18" i="2" s="1"/>
  <c r="G19" i="2"/>
  <c r="O19" i="2" s="1"/>
  <c r="G20" i="2"/>
  <c r="O20" i="2" s="1"/>
  <c r="G21" i="2"/>
  <c r="O21" i="2" s="1"/>
  <c r="G22" i="2"/>
  <c r="O22" i="2" s="1"/>
  <c r="G23" i="2"/>
  <c r="O23" i="2" s="1"/>
  <c r="G24" i="2"/>
  <c r="O24" i="2" s="1"/>
  <c r="G25" i="2"/>
  <c r="O25" i="2" s="1"/>
  <c r="G26" i="2"/>
  <c r="O26" i="2" s="1"/>
  <c r="G27" i="2"/>
  <c r="O27" i="2" s="1"/>
  <c r="G28" i="2"/>
  <c r="O28" i="2" s="1"/>
  <c r="G29" i="2"/>
  <c r="O29" i="2" s="1"/>
  <c r="G30" i="2"/>
  <c r="O30" i="2" s="1"/>
  <c r="G31" i="2"/>
  <c r="O31" i="2" s="1"/>
  <c r="G32" i="2"/>
  <c r="O32" i="2" s="1"/>
  <c r="G33" i="2"/>
  <c r="O33" i="2" s="1"/>
  <c r="G34" i="2"/>
  <c r="O34" i="2" s="1"/>
  <c r="G35" i="2"/>
  <c r="O35" i="2" s="1"/>
  <c r="G36" i="2"/>
  <c r="O36" i="2" s="1"/>
  <c r="G37" i="2"/>
  <c r="O37" i="2" s="1"/>
  <c r="G38" i="2"/>
  <c r="O38" i="2" s="1"/>
  <c r="G39" i="2"/>
  <c r="O39" i="2" s="1"/>
  <c r="G40" i="2"/>
  <c r="O40" i="2" s="1"/>
  <c r="G41" i="2"/>
  <c r="O41" i="2" s="1"/>
  <c r="G42" i="2"/>
  <c r="O42" i="2" s="1"/>
  <c r="G43" i="2"/>
  <c r="O43" i="2" s="1"/>
  <c r="G44" i="2"/>
  <c r="O44" i="2" s="1"/>
  <c r="G45" i="2"/>
  <c r="O45" i="2" s="1"/>
  <c r="G46" i="2"/>
  <c r="O46" i="2" s="1"/>
  <c r="G47" i="2"/>
  <c r="O47" i="2" s="1"/>
  <c r="G48" i="2"/>
  <c r="O48" i="2" s="1"/>
  <c r="G49" i="2"/>
  <c r="O49" i="2" s="1"/>
  <c r="G50" i="2"/>
  <c r="O50" i="2" s="1"/>
  <c r="G51" i="2"/>
  <c r="O51" i="2" s="1"/>
  <c r="G52" i="2"/>
  <c r="O52" i="2" s="1"/>
  <c r="G53" i="2"/>
  <c r="O53" i="2" s="1"/>
  <c r="G54" i="2"/>
  <c r="O54" i="2" s="1"/>
  <c r="G55" i="2"/>
  <c r="O55" i="2" s="1"/>
  <c r="G56" i="2"/>
  <c r="O56" i="2" s="1"/>
  <c r="G57" i="2"/>
  <c r="O57" i="2" s="1"/>
  <c r="G58" i="2"/>
  <c r="O58" i="2" s="1"/>
  <c r="G59" i="2"/>
  <c r="O59" i="2" s="1"/>
  <c r="G60" i="2"/>
  <c r="O60" i="2" s="1"/>
  <c r="G61" i="2"/>
  <c r="O61" i="2" s="1"/>
  <c r="G62" i="2"/>
  <c r="O62" i="2" s="1"/>
  <c r="G63" i="2"/>
  <c r="O63" i="2" s="1"/>
  <c r="G64" i="2"/>
  <c r="O64" i="2" s="1"/>
  <c r="G65" i="2"/>
  <c r="O65" i="2" s="1"/>
  <c r="G66" i="2"/>
  <c r="O66" i="2" s="1"/>
  <c r="G67" i="2"/>
  <c r="O67" i="2" s="1"/>
  <c r="G68" i="2"/>
  <c r="O68" i="2" s="1"/>
  <c r="G69" i="2"/>
  <c r="O69" i="2" s="1"/>
  <c r="G70" i="2"/>
  <c r="O70" i="2" s="1"/>
  <c r="G71" i="2"/>
  <c r="O71" i="2" s="1"/>
  <c r="G72" i="2"/>
  <c r="O72" i="2" s="1"/>
  <c r="G73" i="2"/>
  <c r="O73" i="2" s="1"/>
  <c r="G74" i="2"/>
  <c r="O74" i="2" s="1"/>
  <c r="G75" i="2"/>
  <c r="O75" i="2" s="1"/>
  <c r="G76" i="2"/>
  <c r="O76" i="2" s="1"/>
  <c r="G77" i="2"/>
  <c r="O77" i="2" s="1"/>
  <c r="G78" i="2"/>
  <c r="O78" i="2" s="1"/>
  <c r="G79" i="2"/>
  <c r="O79" i="2" s="1"/>
  <c r="G80" i="2"/>
  <c r="O80" i="2" s="1"/>
  <c r="G81" i="2"/>
  <c r="O81" i="2" s="1"/>
  <c r="G82" i="2"/>
  <c r="O82" i="2" s="1"/>
  <c r="G83" i="2"/>
  <c r="O83" i="2" s="1"/>
  <c r="G84" i="2"/>
  <c r="O84" i="2" s="1"/>
  <c r="G85" i="2"/>
  <c r="O85" i="2" s="1"/>
  <c r="G86" i="2"/>
  <c r="O86" i="2" s="1"/>
  <c r="G87" i="2"/>
  <c r="O87" i="2" s="1"/>
  <c r="G88" i="2"/>
  <c r="O88" i="2" s="1"/>
  <c r="G89" i="2"/>
  <c r="O89" i="2" s="1"/>
  <c r="G90" i="2"/>
  <c r="O90" i="2" s="1"/>
  <c r="G91" i="2"/>
  <c r="O91" i="2" s="1"/>
  <c r="G92" i="2"/>
  <c r="O92" i="2" s="1"/>
  <c r="G93" i="2"/>
  <c r="O93" i="2" s="1"/>
  <c r="G94" i="2"/>
  <c r="O94" i="2" s="1"/>
  <c r="G95" i="2"/>
  <c r="O95" i="2" s="1"/>
  <c r="G96" i="2"/>
  <c r="O96" i="2" s="1"/>
  <c r="G97" i="2"/>
  <c r="O97" i="2" s="1"/>
  <c r="G98" i="2"/>
  <c r="O98" i="2" s="1"/>
  <c r="G99" i="2"/>
  <c r="O99" i="2" s="1"/>
  <c r="G100" i="2"/>
  <c r="O100" i="2" s="1"/>
  <c r="G101" i="2"/>
  <c r="O101" i="2" s="1"/>
  <c r="G102" i="2"/>
  <c r="O102" i="2" s="1"/>
  <c r="G103" i="2"/>
  <c r="O103" i="2" s="1"/>
  <c r="G104" i="2"/>
  <c r="O104" i="2" s="1"/>
  <c r="G105" i="2"/>
  <c r="O105" i="2" s="1"/>
  <c r="G106" i="2"/>
  <c r="O106" i="2" s="1"/>
  <c r="G107" i="2"/>
  <c r="O107" i="2" s="1"/>
  <c r="G108" i="2"/>
  <c r="O108" i="2" s="1"/>
  <c r="G109" i="2"/>
  <c r="O109" i="2" s="1"/>
  <c r="G110" i="2"/>
  <c r="O110" i="2" s="1"/>
  <c r="G111" i="2"/>
  <c r="O111" i="2" s="1"/>
  <c r="G112" i="2"/>
  <c r="O112" i="2" s="1"/>
  <c r="G113" i="2"/>
  <c r="O113" i="2" s="1"/>
  <c r="G114" i="2"/>
  <c r="O114" i="2" s="1"/>
  <c r="G115" i="2"/>
  <c r="O115" i="2" s="1"/>
  <c r="G116" i="2"/>
  <c r="O116" i="2" s="1"/>
  <c r="G117" i="2"/>
  <c r="O117" i="2" s="1"/>
  <c r="G118" i="2"/>
  <c r="O118" i="2" s="1"/>
  <c r="G119" i="2"/>
  <c r="O119" i="2" s="1"/>
  <c r="G120" i="2"/>
  <c r="O120" i="2" s="1"/>
  <c r="G121" i="2"/>
  <c r="O121" i="2" s="1"/>
  <c r="G122" i="2"/>
  <c r="O122" i="2" s="1"/>
  <c r="G123" i="2"/>
  <c r="O123" i="2" s="1"/>
  <c r="G124" i="2"/>
  <c r="O124" i="2" s="1"/>
  <c r="G125" i="2"/>
  <c r="O125" i="2" s="1"/>
  <c r="G126" i="2"/>
  <c r="O126" i="2" s="1"/>
  <c r="G127" i="2"/>
  <c r="O127" i="2" s="1"/>
  <c r="G128" i="2"/>
  <c r="O128" i="2" s="1"/>
  <c r="G129" i="2"/>
  <c r="O129" i="2" s="1"/>
  <c r="G130" i="2"/>
  <c r="O130" i="2" s="1"/>
  <c r="G131" i="2"/>
  <c r="O131" i="2" s="1"/>
  <c r="G132" i="2"/>
  <c r="O132" i="2" s="1"/>
  <c r="G133" i="2"/>
  <c r="O133" i="2" s="1"/>
  <c r="G134" i="2"/>
  <c r="O134" i="2" s="1"/>
  <c r="G135" i="2"/>
  <c r="O135" i="2" s="1"/>
  <c r="G136" i="2"/>
  <c r="O136" i="2" s="1"/>
  <c r="G137" i="2"/>
  <c r="O137" i="2" s="1"/>
  <c r="G138" i="2"/>
  <c r="O138" i="2" s="1"/>
  <c r="G139" i="2"/>
  <c r="O139" i="2" s="1"/>
  <c r="G140" i="2"/>
  <c r="O140" i="2" s="1"/>
  <c r="G141" i="2"/>
  <c r="O141" i="2" s="1"/>
  <c r="G142" i="2"/>
  <c r="O142" i="2" s="1"/>
  <c r="G143" i="2"/>
  <c r="O143" i="2" s="1"/>
  <c r="G144" i="2"/>
  <c r="O144" i="2" s="1"/>
  <c r="G145" i="2"/>
  <c r="O145" i="2" s="1"/>
  <c r="G146" i="2"/>
  <c r="O146" i="2" s="1"/>
  <c r="G147" i="2"/>
  <c r="O147" i="2" s="1"/>
  <c r="G148" i="2"/>
  <c r="O148" i="2" s="1"/>
  <c r="G149" i="2"/>
  <c r="O149" i="2" s="1"/>
  <c r="G150" i="2"/>
  <c r="O150" i="2" s="1"/>
  <c r="G151" i="2"/>
  <c r="O151" i="2" s="1"/>
  <c r="G152" i="2"/>
  <c r="O152" i="2" s="1"/>
  <c r="G153" i="2"/>
  <c r="O153" i="2" s="1"/>
  <c r="G154" i="2"/>
  <c r="O154" i="2" s="1"/>
  <c r="G155" i="2"/>
  <c r="O155" i="2" s="1"/>
  <c r="G156" i="2"/>
  <c r="O156" i="2" s="1"/>
  <c r="G157" i="2"/>
  <c r="O157" i="2" s="1"/>
  <c r="G158" i="2"/>
  <c r="O158" i="2" s="1"/>
  <c r="G159" i="2"/>
  <c r="O159" i="2" s="1"/>
  <c r="G160" i="2"/>
  <c r="O160" i="2" s="1"/>
  <c r="G161" i="2"/>
  <c r="O161" i="2" s="1"/>
  <c r="G162" i="2"/>
  <c r="O162" i="2" s="1"/>
  <c r="G163" i="2"/>
  <c r="O163" i="2" s="1"/>
  <c r="G164" i="2"/>
  <c r="O164" i="2" s="1"/>
  <c r="G165" i="2"/>
  <c r="O165" i="2" s="1"/>
  <c r="G166" i="2"/>
  <c r="O166" i="2" s="1"/>
  <c r="G167" i="2"/>
  <c r="O167" i="2" s="1"/>
  <c r="G168" i="2"/>
  <c r="O168" i="2" s="1"/>
  <c r="G169" i="2"/>
  <c r="O169" i="2" s="1"/>
  <c r="G170" i="2"/>
  <c r="O170" i="2" s="1"/>
  <c r="G171" i="2"/>
  <c r="O171" i="2" s="1"/>
  <c r="G172" i="2"/>
  <c r="O172" i="2" s="1"/>
  <c r="G173" i="2"/>
  <c r="O173" i="2" s="1"/>
  <c r="G174" i="2"/>
  <c r="O174" i="2" s="1"/>
  <c r="G175" i="2"/>
  <c r="O175" i="2" s="1"/>
  <c r="G176" i="2"/>
  <c r="O176" i="2" s="1"/>
  <c r="G177" i="2"/>
  <c r="O177" i="2" s="1"/>
  <c r="G178" i="2"/>
  <c r="O178" i="2" s="1"/>
  <c r="G179" i="2"/>
  <c r="O179" i="2" s="1"/>
  <c r="G180" i="2"/>
  <c r="O180" i="2" s="1"/>
  <c r="G181" i="2"/>
  <c r="O181" i="2" s="1"/>
  <c r="G182" i="2"/>
  <c r="O182" i="2" s="1"/>
  <c r="G183" i="2"/>
  <c r="O183" i="2" s="1"/>
  <c r="G184" i="2"/>
  <c r="O184" i="2" s="1"/>
  <c r="G185" i="2"/>
  <c r="O185" i="2" s="1"/>
  <c r="G186" i="2"/>
  <c r="O186" i="2" s="1"/>
  <c r="G187" i="2"/>
  <c r="O187" i="2" s="1"/>
  <c r="G188" i="2"/>
  <c r="O188" i="2" s="1"/>
  <c r="G189" i="2"/>
  <c r="O189" i="2" s="1"/>
  <c r="G190" i="2"/>
  <c r="O190" i="2" s="1"/>
  <c r="G191" i="2"/>
  <c r="O191" i="2" s="1"/>
  <c r="G192" i="2"/>
  <c r="O192" i="2" s="1"/>
  <c r="G193" i="2"/>
  <c r="O193" i="2" s="1"/>
  <c r="G194" i="2"/>
  <c r="O194" i="2" s="1"/>
  <c r="G195" i="2"/>
  <c r="O195" i="2" s="1"/>
  <c r="G196" i="2"/>
  <c r="O196" i="2" s="1"/>
  <c r="G197" i="2"/>
  <c r="O197" i="2" s="1"/>
  <c r="G198" i="2"/>
  <c r="O198" i="2" s="1"/>
  <c r="G199" i="2"/>
  <c r="O199" i="2" s="1"/>
  <c r="G200" i="2"/>
  <c r="O200" i="2" s="1"/>
  <c r="G201" i="2"/>
  <c r="O201" i="2" s="1"/>
  <c r="G202" i="2"/>
  <c r="O202" i="2" s="1"/>
  <c r="G203" i="2"/>
  <c r="O203" i="2" s="1"/>
  <c r="G204" i="2"/>
  <c r="O204" i="2" s="1"/>
  <c r="G205" i="2"/>
  <c r="O205" i="2" s="1"/>
  <c r="G206" i="2"/>
  <c r="O206" i="2" s="1"/>
  <c r="G207" i="2"/>
  <c r="O207" i="2" s="1"/>
  <c r="G208" i="2"/>
  <c r="O208" i="2" s="1"/>
  <c r="G209" i="2"/>
  <c r="O209" i="2" s="1"/>
  <c r="G210" i="2"/>
  <c r="O210" i="2" s="1"/>
  <c r="G211" i="2"/>
  <c r="O211" i="2" s="1"/>
  <c r="G212" i="2"/>
  <c r="O212" i="2" s="1"/>
  <c r="G213" i="2"/>
  <c r="O213" i="2" s="1"/>
  <c r="G214" i="2"/>
  <c r="O214" i="2" s="1"/>
  <c r="G215" i="2"/>
  <c r="O215" i="2" s="1"/>
  <c r="G216" i="2"/>
  <c r="O216" i="2" s="1"/>
  <c r="G217" i="2"/>
  <c r="O217" i="2" s="1"/>
  <c r="G218" i="2"/>
  <c r="O218" i="2" s="1"/>
  <c r="G219" i="2"/>
  <c r="O219" i="2" s="1"/>
  <c r="G220" i="2"/>
  <c r="O220" i="2" s="1"/>
  <c r="G221" i="2"/>
  <c r="O221" i="2" s="1"/>
  <c r="G222" i="2"/>
  <c r="O222" i="2" s="1"/>
  <c r="G223" i="2"/>
  <c r="O223" i="2" s="1"/>
  <c r="G224" i="2"/>
  <c r="O224" i="2" s="1"/>
  <c r="G225" i="2"/>
  <c r="O225" i="2" s="1"/>
  <c r="G226" i="2"/>
  <c r="O226" i="2" s="1"/>
  <c r="G227" i="2"/>
  <c r="O227" i="2" s="1"/>
  <c r="G228" i="2"/>
  <c r="O228" i="2" s="1"/>
  <c r="G229" i="2"/>
  <c r="O229" i="2" s="1"/>
  <c r="G230" i="2"/>
  <c r="O230" i="2" s="1"/>
  <c r="G231" i="2"/>
  <c r="O231" i="2" s="1"/>
  <c r="G232" i="2"/>
  <c r="O232" i="2" s="1"/>
  <c r="G233" i="2"/>
  <c r="O233" i="2" s="1"/>
  <c r="G234" i="2"/>
  <c r="O234" i="2" s="1"/>
  <c r="G235" i="2"/>
  <c r="O235" i="2" s="1"/>
  <c r="G236" i="2"/>
  <c r="O236" i="2" s="1"/>
  <c r="G237" i="2"/>
  <c r="O237" i="2" s="1"/>
  <c r="G238" i="2"/>
  <c r="O238" i="2" s="1"/>
  <c r="G239" i="2"/>
  <c r="O239" i="2" s="1"/>
  <c r="G240" i="2"/>
  <c r="O240" i="2" s="1"/>
  <c r="G241" i="2"/>
  <c r="O241" i="2" s="1"/>
  <c r="G242" i="2"/>
  <c r="O242" i="2" s="1"/>
  <c r="G243" i="2"/>
  <c r="O243" i="2" s="1"/>
  <c r="G244" i="2"/>
  <c r="O244" i="2" s="1"/>
  <c r="G245" i="2"/>
  <c r="O245" i="2" s="1"/>
  <c r="G246" i="2"/>
  <c r="O246" i="2" s="1"/>
  <c r="G247" i="2"/>
  <c r="O247" i="2" s="1"/>
  <c r="G248" i="2"/>
  <c r="O248" i="2" s="1"/>
  <c r="G249" i="2"/>
  <c r="O249" i="2" s="1"/>
  <c r="G250" i="2"/>
  <c r="O250" i="2" s="1"/>
  <c r="G251" i="2"/>
  <c r="O251" i="2" s="1"/>
  <c r="G252" i="2"/>
  <c r="O252" i="2" s="1"/>
  <c r="G253" i="2"/>
  <c r="O253" i="2" s="1"/>
  <c r="G254" i="2"/>
  <c r="O254" i="2" s="1"/>
  <c r="G255" i="2"/>
  <c r="O255" i="2" s="1"/>
  <c r="G256" i="2"/>
  <c r="O256" i="2" s="1"/>
  <c r="G257" i="2"/>
  <c r="O257" i="2" s="1"/>
  <c r="G258" i="2"/>
  <c r="O258" i="2" s="1"/>
  <c r="G259" i="2"/>
  <c r="O259" i="2" s="1"/>
  <c r="G260" i="2"/>
  <c r="O260" i="2" s="1"/>
  <c r="G261" i="2"/>
  <c r="O261" i="2" s="1"/>
  <c r="G262" i="2"/>
  <c r="O262" i="2" s="1"/>
  <c r="G263" i="2"/>
  <c r="O263" i="2" s="1"/>
  <c r="G264" i="2"/>
  <c r="O264" i="2" s="1"/>
  <c r="G265" i="2"/>
  <c r="O265" i="2" s="1"/>
  <c r="G266" i="2"/>
  <c r="O266" i="2" s="1"/>
  <c r="G267" i="2"/>
  <c r="O267" i="2" s="1"/>
  <c r="G268" i="2"/>
  <c r="O268" i="2" s="1"/>
  <c r="G269" i="2"/>
  <c r="O269" i="2" s="1"/>
  <c r="G270" i="2"/>
  <c r="O270" i="2" s="1"/>
  <c r="G271" i="2"/>
  <c r="O271" i="2" s="1"/>
  <c r="G272" i="2"/>
  <c r="O272" i="2" s="1"/>
  <c r="G273" i="2"/>
  <c r="O273" i="2" s="1"/>
  <c r="G274" i="2"/>
  <c r="O274" i="2" s="1"/>
  <c r="G275" i="2"/>
  <c r="O275" i="2" s="1"/>
  <c r="G276" i="2"/>
  <c r="O276" i="2" s="1"/>
  <c r="G277" i="2"/>
  <c r="O277" i="2" s="1"/>
  <c r="G278" i="2"/>
  <c r="O278" i="2" s="1"/>
  <c r="G279" i="2"/>
  <c r="O279" i="2" s="1"/>
  <c r="G280" i="2"/>
  <c r="O280" i="2" s="1"/>
  <c r="G281" i="2"/>
  <c r="O281" i="2" s="1"/>
  <c r="G282" i="2"/>
  <c r="O282" i="2" s="1"/>
  <c r="G283" i="2"/>
  <c r="O283" i="2" s="1"/>
  <c r="G284" i="2"/>
  <c r="O284" i="2" s="1"/>
  <c r="G285" i="2"/>
  <c r="O285" i="2" s="1"/>
  <c r="G286" i="2"/>
  <c r="O286" i="2" s="1"/>
  <c r="G287" i="2"/>
  <c r="O287" i="2" s="1"/>
  <c r="G288" i="2"/>
  <c r="O288" i="2" s="1"/>
  <c r="G289" i="2"/>
  <c r="O289" i="2" s="1"/>
  <c r="G290" i="2"/>
  <c r="O290" i="2" s="1"/>
  <c r="G291" i="2"/>
  <c r="O291" i="2" s="1"/>
  <c r="G292" i="2"/>
  <c r="O292" i="2" s="1"/>
  <c r="G293" i="2"/>
  <c r="O293" i="2" s="1"/>
  <c r="G294" i="2"/>
  <c r="O294" i="2" s="1"/>
  <c r="G295" i="2"/>
  <c r="O295" i="2" s="1"/>
  <c r="G296" i="2"/>
  <c r="O296" i="2" s="1"/>
  <c r="G297" i="2"/>
  <c r="O297" i="2" s="1"/>
  <c r="G298" i="2"/>
  <c r="O298" i="2" s="1"/>
  <c r="G299" i="2"/>
  <c r="O299" i="2" s="1"/>
  <c r="G300" i="2"/>
  <c r="O300" i="2" s="1"/>
  <c r="G301" i="2"/>
  <c r="O301" i="2" s="1"/>
  <c r="G302" i="2"/>
  <c r="O302" i="2" s="1"/>
  <c r="G303" i="2"/>
  <c r="O303" i="2" s="1"/>
  <c r="G304" i="2"/>
  <c r="O304" i="2" s="1"/>
  <c r="G305" i="2"/>
  <c r="O305" i="2" s="1"/>
  <c r="G306" i="2"/>
  <c r="O306" i="2" s="1"/>
  <c r="G307" i="2"/>
  <c r="O307" i="2" s="1"/>
  <c r="G308" i="2"/>
  <c r="O308" i="2" s="1"/>
  <c r="G309" i="2"/>
  <c r="O309" i="2" s="1"/>
  <c r="G310" i="2"/>
  <c r="O310" i="2" s="1"/>
  <c r="G311" i="2"/>
  <c r="O311" i="2" s="1"/>
  <c r="G312" i="2"/>
  <c r="O312" i="2" s="1"/>
  <c r="G313" i="2"/>
  <c r="O313" i="2" s="1"/>
  <c r="G314" i="2"/>
  <c r="O314" i="2" s="1"/>
  <c r="G315" i="2"/>
  <c r="O315" i="2" s="1"/>
  <c r="G316" i="2"/>
  <c r="O316" i="2" s="1"/>
  <c r="G317" i="2"/>
  <c r="O317" i="2" s="1"/>
  <c r="G318" i="2"/>
  <c r="O318" i="2" s="1"/>
  <c r="G319" i="2"/>
  <c r="O319" i="2" s="1"/>
  <c r="G320" i="2"/>
  <c r="O320" i="2" s="1"/>
  <c r="G321" i="2"/>
  <c r="O321" i="2" s="1"/>
  <c r="G322" i="2"/>
  <c r="O322" i="2" s="1"/>
  <c r="G323" i="2"/>
  <c r="O323" i="2" s="1"/>
  <c r="G324" i="2"/>
  <c r="O324" i="2" s="1"/>
  <c r="G325" i="2"/>
  <c r="O325" i="2" s="1"/>
  <c r="G326" i="2"/>
  <c r="O326" i="2" s="1"/>
  <c r="G327" i="2"/>
  <c r="O327" i="2" s="1"/>
  <c r="G328" i="2"/>
  <c r="O328" i="2" s="1"/>
  <c r="G329" i="2"/>
  <c r="O329" i="2" s="1"/>
  <c r="G330" i="2"/>
  <c r="O330" i="2" s="1"/>
  <c r="G331" i="2"/>
  <c r="O331" i="2" s="1"/>
  <c r="G332" i="2"/>
  <c r="O332" i="2" s="1"/>
  <c r="G333" i="2"/>
  <c r="O333" i="2" s="1"/>
  <c r="G334" i="2"/>
  <c r="O334" i="2" s="1"/>
  <c r="G335" i="2"/>
  <c r="O335" i="2" s="1"/>
  <c r="G336" i="2"/>
  <c r="O336" i="2" s="1"/>
  <c r="G337" i="2"/>
  <c r="O337" i="2" s="1"/>
  <c r="G338" i="2"/>
  <c r="O338" i="2" s="1"/>
  <c r="G339" i="2"/>
  <c r="O339" i="2" s="1"/>
  <c r="G340" i="2"/>
  <c r="O340" i="2" s="1"/>
  <c r="G341" i="2"/>
  <c r="O341" i="2" s="1"/>
  <c r="G342" i="2"/>
  <c r="O342" i="2" s="1"/>
  <c r="G343" i="2"/>
  <c r="O343" i="2" s="1"/>
  <c r="G344" i="2"/>
  <c r="O344" i="2" s="1"/>
  <c r="G345" i="2"/>
  <c r="O345" i="2" s="1"/>
  <c r="G346" i="2"/>
  <c r="O346" i="2" s="1"/>
  <c r="G347" i="2"/>
  <c r="O347" i="2" s="1"/>
  <c r="G348" i="2"/>
  <c r="O348" i="2" s="1"/>
  <c r="G349" i="2"/>
  <c r="O349" i="2" s="1"/>
  <c r="G350" i="2"/>
  <c r="O350" i="2" s="1"/>
  <c r="G351" i="2"/>
  <c r="O351" i="2" s="1"/>
  <c r="G352" i="2"/>
  <c r="O352" i="2" s="1"/>
  <c r="G353" i="2"/>
  <c r="O353" i="2" s="1"/>
  <c r="G354" i="2"/>
  <c r="O354" i="2" s="1"/>
  <c r="G355" i="2"/>
  <c r="O355" i="2" s="1"/>
  <c r="G356" i="2"/>
  <c r="O356" i="2" s="1"/>
  <c r="G357" i="2"/>
  <c r="O357" i="2" s="1"/>
  <c r="G358" i="2"/>
  <c r="O358" i="2" s="1"/>
  <c r="G359" i="2"/>
  <c r="O359" i="2" s="1"/>
  <c r="G360" i="2"/>
  <c r="O360" i="2" s="1"/>
  <c r="G361" i="2"/>
  <c r="O361" i="2" s="1"/>
  <c r="G362" i="2"/>
  <c r="O362" i="2" s="1"/>
  <c r="G363" i="2"/>
  <c r="O363" i="2" s="1"/>
  <c r="G364" i="2"/>
  <c r="O364" i="2" s="1"/>
  <c r="G365" i="2"/>
  <c r="O365" i="2" s="1"/>
  <c r="G366" i="2"/>
  <c r="O366" i="2" s="1"/>
  <c r="G367" i="2"/>
  <c r="O367" i="2" s="1"/>
  <c r="G368" i="2"/>
  <c r="O368" i="2" s="1"/>
  <c r="G369" i="2"/>
  <c r="O369" i="2" s="1"/>
  <c r="G370" i="2"/>
  <c r="O370" i="2" s="1"/>
  <c r="G371" i="2"/>
  <c r="O371" i="2" s="1"/>
  <c r="G372" i="2"/>
  <c r="O372" i="2" s="1"/>
  <c r="G373" i="2"/>
  <c r="O373" i="2" s="1"/>
  <c r="G374" i="2"/>
  <c r="O374" i="2" s="1"/>
  <c r="G375" i="2"/>
  <c r="O375" i="2" s="1"/>
  <c r="G376" i="2"/>
  <c r="O376" i="2" s="1"/>
  <c r="G377" i="2"/>
  <c r="O377" i="2" s="1"/>
  <c r="G378" i="2"/>
  <c r="O378" i="2" s="1"/>
  <c r="G379" i="2"/>
  <c r="O379" i="2" s="1"/>
  <c r="G380" i="2"/>
  <c r="O380" i="2" s="1"/>
  <c r="G381" i="2"/>
  <c r="O381" i="2" s="1"/>
  <c r="G382" i="2"/>
  <c r="O382" i="2" s="1"/>
  <c r="G383" i="2"/>
  <c r="O383" i="2" s="1"/>
  <c r="G384" i="2"/>
  <c r="O384" i="2" s="1"/>
  <c r="G385" i="2"/>
  <c r="O385" i="2" s="1"/>
  <c r="G386" i="2"/>
  <c r="O386" i="2" s="1"/>
  <c r="G387" i="2"/>
  <c r="O387" i="2" s="1"/>
  <c r="G388" i="2"/>
  <c r="O388" i="2" s="1"/>
  <c r="G389" i="2"/>
  <c r="O389" i="2" s="1"/>
  <c r="G390" i="2"/>
  <c r="O390" i="2" s="1"/>
  <c r="G391" i="2"/>
  <c r="O391" i="2" s="1"/>
  <c r="G392" i="2"/>
  <c r="O392" i="2" s="1"/>
  <c r="G393" i="2"/>
  <c r="O393" i="2" s="1"/>
  <c r="G394" i="2"/>
  <c r="O394" i="2" s="1"/>
  <c r="G395" i="2"/>
  <c r="O395" i="2" s="1"/>
  <c r="G396" i="2"/>
  <c r="O396" i="2" s="1"/>
  <c r="G397" i="2"/>
  <c r="O397" i="2" s="1"/>
  <c r="G398" i="2"/>
  <c r="O398" i="2" s="1"/>
  <c r="G399" i="2"/>
  <c r="O399" i="2" s="1"/>
  <c r="G400" i="2"/>
  <c r="O400" i="2" s="1"/>
  <c r="G401" i="2"/>
  <c r="O401" i="2" s="1"/>
  <c r="G402" i="2"/>
  <c r="O402" i="2" s="1"/>
  <c r="G403" i="2"/>
  <c r="O403" i="2" s="1"/>
  <c r="G404" i="2"/>
  <c r="O404" i="2" s="1"/>
  <c r="G405" i="2"/>
  <c r="O405" i="2" s="1"/>
  <c r="G406" i="2"/>
  <c r="O406" i="2" s="1"/>
  <c r="G407" i="2"/>
  <c r="O407" i="2" s="1"/>
  <c r="G408" i="2"/>
  <c r="O408" i="2" s="1"/>
  <c r="G409" i="2"/>
  <c r="O409" i="2" s="1"/>
  <c r="G410" i="2"/>
  <c r="O410" i="2" s="1"/>
  <c r="G411" i="2"/>
  <c r="O411" i="2" s="1"/>
  <c r="G412" i="2"/>
  <c r="O412" i="2" s="1"/>
  <c r="G413" i="2"/>
  <c r="O413" i="2" s="1"/>
  <c r="G414" i="2"/>
  <c r="O414" i="2" s="1"/>
  <c r="G415" i="2"/>
  <c r="O415" i="2" s="1"/>
  <c r="G416" i="2"/>
  <c r="O416" i="2" s="1"/>
  <c r="G417" i="2"/>
  <c r="O417" i="2" s="1"/>
  <c r="G418" i="2"/>
  <c r="O418" i="2" s="1"/>
  <c r="G419" i="2"/>
  <c r="O419" i="2" s="1"/>
  <c r="G420" i="2"/>
  <c r="O420" i="2" s="1"/>
  <c r="G421" i="2"/>
  <c r="O421" i="2" s="1"/>
  <c r="G422" i="2"/>
  <c r="O422" i="2" s="1"/>
  <c r="G423" i="2"/>
  <c r="O423" i="2" s="1"/>
  <c r="G424" i="2"/>
  <c r="O424" i="2" s="1"/>
  <c r="G425" i="2"/>
  <c r="O425" i="2" s="1"/>
  <c r="G426" i="2"/>
  <c r="O426" i="2" s="1"/>
  <c r="G427" i="2"/>
  <c r="O427" i="2" s="1"/>
  <c r="G428" i="2"/>
  <c r="O428" i="2" s="1"/>
  <c r="G429" i="2"/>
  <c r="O429" i="2" s="1"/>
  <c r="G430" i="2"/>
  <c r="O430" i="2" s="1"/>
  <c r="G431" i="2"/>
  <c r="O431" i="2" s="1"/>
  <c r="G432" i="2"/>
  <c r="O432" i="2" s="1"/>
  <c r="G433" i="2"/>
  <c r="O433" i="2" s="1"/>
  <c r="G434" i="2"/>
  <c r="O434" i="2" s="1"/>
  <c r="G435" i="2"/>
  <c r="O435" i="2" s="1"/>
  <c r="G436" i="2"/>
  <c r="O436" i="2" s="1"/>
  <c r="G437" i="2"/>
  <c r="O437" i="2" s="1"/>
  <c r="G438" i="2"/>
  <c r="O438" i="2" s="1"/>
  <c r="G439" i="2"/>
  <c r="O439" i="2" s="1"/>
  <c r="G440" i="2"/>
  <c r="O440" i="2" s="1"/>
  <c r="G441" i="2"/>
  <c r="O441" i="2" s="1"/>
  <c r="G442" i="2"/>
  <c r="O442" i="2" s="1"/>
  <c r="G443" i="2"/>
  <c r="O443" i="2" s="1"/>
  <c r="G444" i="2"/>
  <c r="O444" i="2" s="1"/>
  <c r="G445" i="2"/>
  <c r="O445" i="2" s="1"/>
  <c r="G446" i="2"/>
  <c r="O446" i="2" s="1"/>
  <c r="G447" i="2"/>
  <c r="O447" i="2" s="1"/>
  <c r="G448" i="2"/>
  <c r="O448" i="2" s="1"/>
  <c r="G449" i="2"/>
  <c r="O449" i="2" s="1"/>
  <c r="G450" i="2"/>
  <c r="O450" i="2" s="1"/>
  <c r="G451" i="2"/>
  <c r="O451" i="2" s="1"/>
  <c r="G452" i="2"/>
  <c r="O452" i="2" s="1"/>
  <c r="G453" i="2"/>
  <c r="O453" i="2" s="1"/>
  <c r="G454" i="2"/>
  <c r="O454" i="2" s="1"/>
  <c r="G455" i="2"/>
  <c r="O455" i="2" s="1"/>
  <c r="G456" i="2"/>
  <c r="O456" i="2" s="1"/>
  <c r="G457" i="2"/>
  <c r="O457" i="2" s="1"/>
  <c r="G458" i="2"/>
  <c r="O458" i="2" s="1"/>
  <c r="G459" i="2"/>
  <c r="O459" i="2" s="1"/>
  <c r="G460" i="2"/>
  <c r="O460" i="2" s="1"/>
  <c r="G461" i="2"/>
  <c r="O461" i="2" s="1"/>
  <c r="G462" i="2"/>
  <c r="O462" i="2" s="1"/>
  <c r="G463" i="2"/>
  <c r="O463" i="2" s="1"/>
  <c r="G464" i="2"/>
  <c r="O464" i="2" s="1"/>
  <c r="G465" i="2"/>
  <c r="O465" i="2" s="1"/>
  <c r="G466" i="2"/>
  <c r="O466" i="2" s="1"/>
  <c r="G467" i="2"/>
  <c r="O467" i="2" s="1"/>
  <c r="G468" i="2"/>
  <c r="O468" i="2" s="1"/>
  <c r="G469" i="2"/>
  <c r="O469" i="2" s="1"/>
  <c r="G470" i="2"/>
  <c r="O470" i="2" s="1"/>
  <c r="G471" i="2"/>
  <c r="O471" i="2" s="1"/>
  <c r="G472" i="2"/>
  <c r="O472" i="2" s="1"/>
  <c r="G473" i="2"/>
  <c r="O473" i="2" s="1"/>
  <c r="G474" i="2"/>
  <c r="O474" i="2" s="1"/>
  <c r="G475" i="2"/>
  <c r="O475" i="2" s="1"/>
  <c r="G476" i="2"/>
  <c r="O476" i="2" s="1"/>
  <c r="G477" i="2"/>
  <c r="O477" i="2" s="1"/>
  <c r="G478" i="2"/>
  <c r="O478" i="2" s="1"/>
  <c r="G479" i="2"/>
  <c r="O479" i="2" s="1"/>
  <c r="G480" i="2"/>
  <c r="O480" i="2" s="1"/>
  <c r="G481" i="2"/>
  <c r="O481" i="2" s="1"/>
  <c r="G482" i="2"/>
  <c r="O482" i="2" s="1"/>
  <c r="G483" i="2"/>
  <c r="O483" i="2" s="1"/>
  <c r="G484" i="2"/>
  <c r="O484" i="2" s="1"/>
  <c r="G485" i="2"/>
  <c r="O485" i="2" s="1"/>
  <c r="G486" i="2"/>
  <c r="O486" i="2" s="1"/>
  <c r="G487" i="2"/>
  <c r="O487" i="2" s="1"/>
  <c r="G488" i="2"/>
  <c r="O488" i="2" s="1"/>
  <c r="G489" i="2"/>
  <c r="O489" i="2" s="1"/>
  <c r="G490" i="2"/>
  <c r="O490" i="2" s="1"/>
  <c r="G491" i="2"/>
  <c r="O491" i="2" s="1"/>
  <c r="G492" i="2"/>
  <c r="O492" i="2" s="1"/>
  <c r="G493" i="2"/>
  <c r="O493" i="2" s="1"/>
  <c r="G494" i="2"/>
  <c r="O494" i="2" s="1"/>
  <c r="G495" i="2"/>
  <c r="O495" i="2" s="1"/>
  <c r="G496" i="2"/>
  <c r="O496" i="2" s="1"/>
  <c r="G497" i="2"/>
  <c r="O497" i="2" s="1"/>
  <c r="G498" i="2"/>
  <c r="O498" i="2" s="1"/>
  <c r="G499" i="2"/>
  <c r="O499" i="2" s="1"/>
  <c r="G500" i="2"/>
  <c r="O500" i="2" s="1"/>
  <c r="G501" i="2"/>
  <c r="O501" i="2" s="1"/>
  <c r="G502" i="2"/>
  <c r="O502" i="2" s="1"/>
  <c r="G503" i="2"/>
  <c r="O503" i="2" s="1"/>
  <c r="G504" i="2"/>
  <c r="O504" i="2" s="1"/>
  <c r="G505" i="2"/>
  <c r="O505" i="2" s="1"/>
  <c r="G506" i="2"/>
  <c r="O506" i="2" s="1"/>
  <c r="G507" i="2"/>
  <c r="O507" i="2" s="1"/>
  <c r="G508" i="2"/>
  <c r="O508" i="2" s="1"/>
  <c r="G509" i="2"/>
  <c r="O509" i="2" s="1"/>
  <c r="G510" i="2"/>
  <c r="O510" i="2" s="1"/>
  <c r="G511" i="2"/>
  <c r="O511" i="2" s="1"/>
  <c r="G512" i="2"/>
  <c r="O512" i="2" s="1"/>
  <c r="G513" i="2"/>
  <c r="O513" i="2" s="1"/>
  <c r="G514" i="2"/>
  <c r="O514" i="2" s="1"/>
  <c r="G515" i="2"/>
  <c r="O515" i="2" s="1"/>
  <c r="G516" i="2"/>
  <c r="O516" i="2" s="1"/>
  <c r="G517" i="2"/>
  <c r="O517" i="2" s="1"/>
  <c r="G518" i="2"/>
  <c r="O518" i="2" s="1"/>
  <c r="G519" i="2"/>
  <c r="O519" i="2" s="1"/>
  <c r="G520" i="2"/>
  <c r="O520" i="2" s="1"/>
  <c r="G521" i="2"/>
  <c r="O521" i="2" s="1"/>
  <c r="G522" i="2"/>
  <c r="O522" i="2" s="1"/>
  <c r="G523" i="2"/>
  <c r="O523" i="2" s="1"/>
  <c r="G524" i="2"/>
  <c r="O524" i="2" s="1"/>
  <c r="G525" i="2"/>
  <c r="O525" i="2" s="1"/>
  <c r="G526" i="2"/>
  <c r="O526" i="2" s="1"/>
  <c r="G527" i="2"/>
  <c r="O527" i="2" s="1"/>
  <c r="G528" i="2"/>
  <c r="O528" i="2" s="1"/>
  <c r="G529" i="2"/>
  <c r="O529" i="2" s="1"/>
  <c r="G530" i="2"/>
  <c r="O530" i="2" s="1"/>
  <c r="G531" i="2"/>
  <c r="O531" i="2" s="1"/>
  <c r="G532" i="2"/>
  <c r="O532" i="2" s="1"/>
  <c r="G533" i="2"/>
  <c r="O533" i="2" s="1"/>
  <c r="G534" i="2"/>
  <c r="O534" i="2" s="1"/>
  <c r="G535" i="2"/>
  <c r="O535" i="2" s="1"/>
  <c r="G536" i="2"/>
  <c r="O536" i="2" s="1"/>
  <c r="G537" i="2"/>
  <c r="O537" i="2" s="1"/>
  <c r="G538" i="2"/>
  <c r="O538" i="2" s="1"/>
  <c r="G539" i="2"/>
  <c r="O539" i="2" s="1"/>
  <c r="G540" i="2"/>
  <c r="O540" i="2" s="1"/>
  <c r="G541" i="2"/>
  <c r="O541" i="2" s="1"/>
  <c r="G542" i="2"/>
  <c r="O542" i="2" s="1"/>
  <c r="G543" i="2"/>
  <c r="O543" i="2" s="1"/>
  <c r="G544" i="2"/>
  <c r="O544" i="2" s="1"/>
  <c r="G545" i="2"/>
  <c r="O545" i="2" s="1"/>
  <c r="G546" i="2"/>
  <c r="O546" i="2" s="1"/>
  <c r="G547" i="2"/>
  <c r="O547" i="2" s="1"/>
  <c r="G548" i="2"/>
  <c r="O548" i="2" s="1"/>
  <c r="G549" i="2"/>
  <c r="O549" i="2" s="1"/>
  <c r="G550" i="2"/>
  <c r="O550" i="2" s="1"/>
  <c r="G551" i="2"/>
  <c r="O551" i="2" s="1"/>
  <c r="G552" i="2"/>
  <c r="O552" i="2" s="1"/>
  <c r="G553" i="2"/>
  <c r="O553" i="2" s="1"/>
  <c r="G554" i="2"/>
  <c r="O554" i="2" s="1"/>
  <c r="G555" i="2"/>
  <c r="O555" i="2" s="1"/>
  <c r="G556" i="2"/>
  <c r="O556" i="2" s="1"/>
  <c r="G557" i="2"/>
  <c r="O557" i="2" s="1"/>
  <c r="G558" i="2"/>
  <c r="O558" i="2" s="1"/>
  <c r="G559" i="2"/>
  <c r="O559" i="2" s="1"/>
  <c r="G560" i="2"/>
  <c r="O560" i="2" s="1"/>
  <c r="G561" i="2"/>
  <c r="O561" i="2" s="1"/>
  <c r="G562" i="2"/>
  <c r="O562" i="2" s="1"/>
  <c r="G563" i="2"/>
  <c r="O563" i="2" s="1"/>
  <c r="G564" i="2"/>
  <c r="O564" i="2" s="1"/>
  <c r="G565" i="2"/>
  <c r="O565" i="2" s="1"/>
  <c r="G566" i="2"/>
  <c r="O566" i="2" s="1"/>
  <c r="G567" i="2"/>
  <c r="O567" i="2" s="1"/>
  <c r="G568" i="2"/>
  <c r="O568" i="2" s="1"/>
  <c r="G569" i="2"/>
  <c r="O569" i="2" s="1"/>
  <c r="G570" i="2"/>
  <c r="O570" i="2" s="1"/>
  <c r="G571" i="2"/>
  <c r="O571" i="2" s="1"/>
  <c r="G572" i="2"/>
  <c r="O572" i="2" s="1"/>
  <c r="G573" i="2"/>
  <c r="O573" i="2" s="1"/>
  <c r="G574" i="2"/>
  <c r="O574" i="2" s="1"/>
  <c r="G575" i="2"/>
  <c r="O575" i="2" s="1"/>
  <c r="G576" i="2"/>
  <c r="O576" i="2" s="1"/>
  <c r="G577" i="2"/>
  <c r="O577" i="2" s="1"/>
  <c r="G578" i="2"/>
  <c r="O578" i="2" s="1"/>
  <c r="G579" i="2"/>
  <c r="O579" i="2" s="1"/>
  <c r="G580" i="2"/>
  <c r="O580" i="2" s="1"/>
  <c r="G581" i="2"/>
  <c r="O581" i="2" s="1"/>
  <c r="G582" i="2"/>
  <c r="O582" i="2" s="1"/>
  <c r="G583" i="2"/>
  <c r="O583" i="2" s="1"/>
  <c r="G584" i="2"/>
  <c r="O584" i="2" s="1"/>
  <c r="G585" i="2"/>
  <c r="O585" i="2" s="1"/>
  <c r="G586" i="2"/>
  <c r="O586" i="2" s="1"/>
  <c r="G587" i="2"/>
  <c r="O587" i="2" s="1"/>
  <c r="G588" i="2"/>
  <c r="O588" i="2" s="1"/>
  <c r="G589" i="2"/>
  <c r="O589" i="2" s="1"/>
  <c r="G590" i="2"/>
  <c r="O590" i="2" s="1"/>
  <c r="G591" i="2"/>
  <c r="O591" i="2" s="1"/>
  <c r="G592" i="2"/>
  <c r="O592" i="2" s="1"/>
  <c r="G593" i="2"/>
  <c r="O593" i="2" s="1"/>
  <c r="G594" i="2"/>
  <c r="O594" i="2" s="1"/>
  <c r="G595" i="2"/>
  <c r="O595" i="2" s="1"/>
  <c r="G596" i="2"/>
  <c r="O596" i="2" s="1"/>
  <c r="G597" i="2"/>
  <c r="O597" i="2" s="1"/>
  <c r="G598" i="2"/>
  <c r="O598" i="2" s="1"/>
  <c r="G599" i="2"/>
  <c r="O599" i="2" s="1"/>
  <c r="G600" i="2"/>
  <c r="O600" i="2" s="1"/>
  <c r="G601" i="2"/>
  <c r="O601" i="2" s="1"/>
  <c r="G602" i="2"/>
  <c r="O602" i="2" s="1"/>
  <c r="G603" i="2"/>
  <c r="O603" i="2" s="1"/>
  <c r="G604" i="2"/>
  <c r="O604" i="2" s="1"/>
  <c r="G605" i="2"/>
  <c r="O605" i="2" s="1"/>
  <c r="G606" i="2"/>
  <c r="O606" i="2" s="1"/>
  <c r="G607" i="2"/>
  <c r="O607" i="2" s="1"/>
  <c r="G608" i="2"/>
  <c r="O608" i="2" s="1"/>
  <c r="G609" i="2"/>
  <c r="O609" i="2" s="1"/>
  <c r="G610" i="2"/>
  <c r="O610" i="2" s="1"/>
  <c r="G611" i="2"/>
  <c r="O611" i="2" s="1"/>
  <c r="G612" i="2"/>
  <c r="O612" i="2" s="1"/>
  <c r="G613" i="2"/>
  <c r="O613" i="2" s="1"/>
  <c r="G614" i="2"/>
  <c r="O614" i="2" s="1"/>
  <c r="G615" i="2"/>
  <c r="O615" i="2" s="1"/>
  <c r="G616" i="2"/>
  <c r="O616" i="2" s="1"/>
  <c r="G617" i="2"/>
  <c r="O617" i="2" s="1"/>
  <c r="G618" i="2"/>
  <c r="O618" i="2" s="1"/>
  <c r="G619" i="2"/>
  <c r="O619" i="2" s="1"/>
  <c r="G620" i="2"/>
  <c r="O620" i="2" s="1"/>
  <c r="G621" i="2"/>
  <c r="O621" i="2" s="1"/>
  <c r="G622" i="2"/>
  <c r="O622" i="2" s="1"/>
  <c r="G623" i="2"/>
  <c r="O623" i="2" s="1"/>
  <c r="G624" i="2"/>
  <c r="O624" i="2" s="1"/>
  <c r="G625" i="2"/>
  <c r="O625" i="2" s="1"/>
  <c r="G626" i="2"/>
  <c r="O626" i="2" s="1"/>
  <c r="G627" i="2"/>
  <c r="O627" i="2" s="1"/>
  <c r="G628" i="2"/>
  <c r="O628" i="2" s="1"/>
  <c r="G629" i="2"/>
  <c r="O629" i="2" s="1"/>
  <c r="G630" i="2"/>
  <c r="O630" i="2" s="1"/>
  <c r="G631" i="2"/>
  <c r="O631" i="2" s="1"/>
  <c r="G632" i="2"/>
  <c r="O632" i="2" s="1"/>
  <c r="G633" i="2"/>
  <c r="O633" i="2" s="1"/>
  <c r="G634" i="2"/>
  <c r="O634" i="2" s="1"/>
  <c r="G635" i="2"/>
  <c r="O635" i="2" s="1"/>
  <c r="G636" i="2"/>
  <c r="O636" i="2" s="1"/>
  <c r="G637" i="2"/>
  <c r="O637" i="2" s="1"/>
  <c r="G638" i="2"/>
  <c r="O638" i="2" s="1"/>
  <c r="G639" i="2"/>
  <c r="O639" i="2" s="1"/>
  <c r="G640" i="2"/>
  <c r="O640" i="2" s="1"/>
  <c r="G641" i="2"/>
  <c r="O641" i="2" s="1"/>
  <c r="G642" i="2"/>
  <c r="O642" i="2" s="1"/>
  <c r="G643" i="2"/>
  <c r="O643" i="2" s="1"/>
  <c r="G644" i="2"/>
  <c r="O644" i="2" s="1"/>
  <c r="G645" i="2"/>
  <c r="O645" i="2" s="1"/>
  <c r="G646" i="2"/>
  <c r="O646" i="2" s="1"/>
  <c r="G647" i="2"/>
  <c r="O647" i="2" s="1"/>
  <c r="G648" i="2"/>
  <c r="O648" i="2" s="1"/>
  <c r="G649" i="2"/>
  <c r="O649" i="2" s="1"/>
  <c r="G650" i="2"/>
  <c r="O650" i="2" s="1"/>
  <c r="G651" i="2"/>
  <c r="O651" i="2" s="1"/>
  <c r="G652" i="2"/>
  <c r="O652" i="2" s="1"/>
  <c r="G653" i="2"/>
  <c r="O653" i="2" s="1"/>
  <c r="G654" i="2"/>
  <c r="O654" i="2" s="1"/>
  <c r="G655" i="2"/>
  <c r="O655" i="2" s="1"/>
  <c r="G656" i="2"/>
  <c r="O656" i="2" s="1"/>
  <c r="G657" i="2"/>
  <c r="O657" i="2" s="1"/>
  <c r="G658" i="2"/>
  <c r="O658" i="2" s="1"/>
  <c r="G659" i="2"/>
  <c r="O659" i="2" s="1"/>
  <c r="G660" i="2"/>
  <c r="O660" i="2" s="1"/>
  <c r="G661" i="2"/>
  <c r="O661" i="2" s="1"/>
  <c r="G662" i="2"/>
  <c r="O662" i="2" s="1"/>
  <c r="G663" i="2"/>
  <c r="O663" i="2" s="1"/>
  <c r="G664" i="2"/>
  <c r="O664" i="2" s="1"/>
  <c r="G665" i="2"/>
  <c r="O665" i="2" s="1"/>
  <c r="G666" i="2"/>
  <c r="O666" i="2" s="1"/>
  <c r="G667" i="2"/>
  <c r="O667" i="2" s="1"/>
  <c r="G668" i="2"/>
  <c r="O668" i="2" s="1"/>
  <c r="G669" i="2"/>
  <c r="O669" i="2" s="1"/>
  <c r="G670" i="2"/>
  <c r="O670" i="2" s="1"/>
  <c r="G671" i="2"/>
  <c r="O671" i="2" s="1"/>
  <c r="G672" i="2"/>
  <c r="O672" i="2" s="1"/>
  <c r="G673" i="2"/>
  <c r="O673" i="2" s="1"/>
  <c r="G674" i="2"/>
  <c r="O674" i="2" s="1"/>
  <c r="G675" i="2"/>
  <c r="O675" i="2" s="1"/>
  <c r="G676" i="2"/>
  <c r="O676" i="2" s="1"/>
  <c r="G677" i="2"/>
  <c r="O677" i="2" s="1"/>
  <c r="G678" i="2"/>
  <c r="O678" i="2" s="1"/>
  <c r="G679" i="2"/>
  <c r="O679" i="2" s="1"/>
  <c r="G680" i="2"/>
  <c r="O680" i="2" s="1"/>
  <c r="G681" i="2"/>
  <c r="O681" i="2" s="1"/>
  <c r="G682" i="2"/>
  <c r="O682" i="2" s="1"/>
  <c r="G683" i="2"/>
  <c r="O683" i="2" s="1"/>
  <c r="G684" i="2"/>
  <c r="O684" i="2" s="1"/>
  <c r="G685" i="2"/>
  <c r="O685" i="2" s="1"/>
  <c r="G686" i="2"/>
  <c r="O686" i="2" s="1"/>
  <c r="G687" i="2"/>
  <c r="O687" i="2" s="1"/>
  <c r="G688" i="2"/>
  <c r="O688" i="2" s="1"/>
  <c r="G689" i="2"/>
  <c r="O689" i="2" s="1"/>
  <c r="G690" i="2"/>
  <c r="O690" i="2" s="1"/>
  <c r="G691" i="2"/>
  <c r="O691" i="2" s="1"/>
  <c r="G692" i="2"/>
  <c r="O692" i="2" s="1"/>
  <c r="G693" i="2"/>
  <c r="O693" i="2" s="1"/>
  <c r="G694" i="2"/>
  <c r="O694" i="2" s="1"/>
  <c r="G695" i="2"/>
  <c r="O695" i="2" s="1"/>
  <c r="G696" i="2"/>
  <c r="O696" i="2" s="1"/>
  <c r="G697" i="2"/>
  <c r="O697" i="2" s="1"/>
  <c r="G698" i="2"/>
  <c r="O698" i="2" s="1"/>
  <c r="G699" i="2"/>
  <c r="O699" i="2" s="1"/>
  <c r="G700" i="2"/>
  <c r="O700" i="2" s="1"/>
  <c r="G701" i="2"/>
  <c r="O701" i="2" s="1"/>
  <c r="G702" i="2"/>
  <c r="O702" i="2" s="1"/>
  <c r="G703" i="2"/>
  <c r="O703" i="2" s="1"/>
  <c r="G704" i="2"/>
  <c r="O704" i="2" s="1"/>
  <c r="G705" i="2"/>
  <c r="O705" i="2" s="1"/>
  <c r="G706" i="2"/>
  <c r="O706" i="2" s="1"/>
  <c r="G707" i="2"/>
  <c r="O707" i="2" s="1"/>
  <c r="G708" i="2"/>
  <c r="O708" i="2" s="1"/>
  <c r="G709" i="2"/>
  <c r="O709" i="2" s="1"/>
  <c r="G710" i="2"/>
  <c r="O710" i="2" s="1"/>
  <c r="G711" i="2"/>
  <c r="O711" i="2" s="1"/>
  <c r="G712" i="2"/>
  <c r="O712" i="2" s="1"/>
  <c r="G713" i="2"/>
  <c r="O713" i="2" s="1"/>
  <c r="G714" i="2"/>
  <c r="O714" i="2" s="1"/>
  <c r="G715" i="2"/>
  <c r="O715" i="2" s="1"/>
  <c r="G716" i="2"/>
  <c r="O716" i="2" s="1"/>
  <c r="G717" i="2"/>
  <c r="O717" i="2" s="1"/>
  <c r="G718" i="2"/>
  <c r="O718" i="2" s="1"/>
  <c r="G719" i="2"/>
  <c r="O719" i="2" s="1"/>
  <c r="G720" i="2"/>
  <c r="O720" i="2" s="1"/>
  <c r="G721" i="2"/>
  <c r="O721" i="2" s="1"/>
  <c r="G722" i="2"/>
  <c r="O722" i="2" s="1"/>
  <c r="G723" i="2"/>
  <c r="O723" i="2" s="1"/>
  <c r="G724" i="2"/>
  <c r="O724" i="2" s="1"/>
  <c r="G725" i="2"/>
  <c r="O725" i="2" s="1"/>
  <c r="G726" i="2"/>
  <c r="O726" i="2" s="1"/>
  <c r="G727" i="2"/>
  <c r="O727" i="2" s="1"/>
  <c r="G728" i="2"/>
  <c r="O728" i="2" s="1"/>
  <c r="G729" i="2"/>
  <c r="O729" i="2" s="1"/>
  <c r="G730" i="2"/>
  <c r="O730" i="2" s="1"/>
  <c r="G731" i="2"/>
  <c r="O731" i="2" s="1"/>
  <c r="G732" i="2"/>
  <c r="O732" i="2" s="1"/>
  <c r="G733" i="2"/>
  <c r="O733" i="2" s="1"/>
  <c r="G734" i="2"/>
  <c r="O734" i="2" s="1"/>
  <c r="G735" i="2"/>
  <c r="O735" i="2" s="1"/>
  <c r="G736" i="2"/>
  <c r="O736" i="2" s="1"/>
  <c r="G737" i="2"/>
  <c r="O737" i="2" s="1"/>
  <c r="G738" i="2"/>
  <c r="O738" i="2" s="1"/>
  <c r="G739" i="2"/>
  <c r="O739" i="2" s="1"/>
  <c r="G740" i="2"/>
  <c r="O740" i="2" s="1"/>
  <c r="G741" i="2"/>
  <c r="O741" i="2" s="1"/>
  <c r="G742" i="2"/>
  <c r="O742" i="2" s="1"/>
  <c r="G743" i="2"/>
  <c r="O743" i="2" s="1"/>
  <c r="G744" i="2"/>
  <c r="O744" i="2" s="1"/>
  <c r="G745" i="2"/>
  <c r="O745" i="2" s="1"/>
  <c r="G746" i="2"/>
  <c r="O746" i="2" s="1"/>
  <c r="G747" i="2"/>
  <c r="O747" i="2" s="1"/>
  <c r="G748" i="2"/>
  <c r="O748" i="2" s="1"/>
  <c r="G749" i="2"/>
  <c r="O749" i="2" s="1"/>
  <c r="G750" i="2"/>
  <c r="O750" i="2" s="1"/>
  <c r="G751" i="2"/>
  <c r="O751" i="2" s="1"/>
  <c r="G752" i="2"/>
  <c r="O752" i="2" s="1"/>
  <c r="G753" i="2"/>
  <c r="O753" i="2" s="1"/>
  <c r="G754" i="2"/>
  <c r="O754" i="2" s="1"/>
  <c r="G755" i="2"/>
  <c r="O755" i="2" s="1"/>
  <c r="G756" i="2"/>
  <c r="O756" i="2" s="1"/>
  <c r="G757" i="2"/>
  <c r="O757" i="2" s="1"/>
  <c r="G758" i="2"/>
  <c r="O758" i="2" s="1"/>
  <c r="G759" i="2"/>
  <c r="O759" i="2" s="1"/>
  <c r="G760" i="2"/>
  <c r="O760" i="2" s="1"/>
  <c r="G761" i="2"/>
  <c r="O761" i="2" s="1"/>
  <c r="G762" i="2"/>
  <c r="O762" i="2" s="1"/>
  <c r="G763" i="2"/>
  <c r="O763" i="2" s="1"/>
  <c r="G764" i="2"/>
  <c r="O764" i="2" s="1"/>
  <c r="G765" i="2"/>
  <c r="O765" i="2" s="1"/>
  <c r="G766" i="2"/>
  <c r="O766" i="2" s="1"/>
  <c r="G767" i="2"/>
  <c r="O767" i="2" s="1"/>
  <c r="G768" i="2"/>
  <c r="O768" i="2" s="1"/>
  <c r="G769" i="2"/>
  <c r="O769" i="2" s="1"/>
  <c r="G770" i="2"/>
  <c r="O770" i="2" s="1"/>
  <c r="G771" i="2"/>
  <c r="O771" i="2" s="1"/>
  <c r="G772" i="2"/>
  <c r="O772" i="2" s="1"/>
  <c r="G773" i="2"/>
  <c r="O773" i="2" s="1"/>
  <c r="G774" i="2"/>
  <c r="O774" i="2" s="1"/>
  <c r="G775" i="2"/>
  <c r="O775" i="2" s="1"/>
  <c r="G776" i="2"/>
  <c r="O776" i="2" s="1"/>
  <c r="G777" i="2"/>
  <c r="O777" i="2" s="1"/>
  <c r="G778" i="2"/>
  <c r="O778" i="2" s="1"/>
  <c r="G779" i="2"/>
  <c r="O779" i="2" s="1"/>
  <c r="G780" i="2"/>
  <c r="O780" i="2" s="1"/>
  <c r="G781" i="2"/>
  <c r="O781" i="2" s="1"/>
  <c r="G782" i="2"/>
  <c r="O782" i="2" s="1"/>
  <c r="G783" i="2"/>
  <c r="O783" i="2" s="1"/>
  <c r="G784" i="2"/>
  <c r="O784" i="2" s="1"/>
  <c r="G785" i="2"/>
  <c r="O785" i="2" s="1"/>
  <c r="G786" i="2"/>
  <c r="O786" i="2" s="1"/>
  <c r="G787" i="2"/>
  <c r="O787" i="2" s="1"/>
  <c r="G788" i="2"/>
  <c r="O788" i="2" s="1"/>
  <c r="G789" i="2"/>
  <c r="O789" i="2" s="1"/>
  <c r="G790" i="2"/>
  <c r="O790" i="2" s="1"/>
  <c r="G791" i="2"/>
  <c r="O791" i="2" s="1"/>
  <c r="G792" i="2"/>
  <c r="O792" i="2" s="1"/>
  <c r="G793" i="2"/>
  <c r="O793" i="2" s="1"/>
  <c r="G794" i="2"/>
  <c r="O794" i="2" s="1"/>
  <c r="G795" i="2"/>
  <c r="O795" i="2" s="1"/>
  <c r="G796" i="2"/>
  <c r="O796" i="2" s="1"/>
  <c r="G797" i="2"/>
  <c r="O797" i="2" s="1"/>
  <c r="G798" i="2"/>
  <c r="O798" i="2" s="1"/>
  <c r="G799" i="2"/>
  <c r="O799" i="2" s="1"/>
  <c r="G800" i="2"/>
  <c r="O800" i="2" s="1"/>
  <c r="G801" i="2"/>
  <c r="O801" i="2" s="1"/>
  <c r="G802" i="2"/>
  <c r="O802" i="2" s="1"/>
  <c r="G803" i="2"/>
  <c r="O803" i="2" s="1"/>
  <c r="G804" i="2"/>
  <c r="O804" i="2" s="1"/>
  <c r="G805" i="2"/>
  <c r="O805" i="2" s="1"/>
  <c r="G806" i="2"/>
  <c r="O806" i="2" s="1"/>
  <c r="G807" i="2"/>
  <c r="O807" i="2" s="1"/>
  <c r="G808" i="2"/>
  <c r="O808" i="2" s="1"/>
  <c r="G809" i="2"/>
  <c r="O809" i="2" s="1"/>
  <c r="G810" i="2"/>
  <c r="O810" i="2" s="1"/>
  <c r="G811" i="2"/>
  <c r="O811" i="2" s="1"/>
  <c r="G812" i="2"/>
  <c r="O812" i="2" s="1"/>
  <c r="G813" i="2"/>
  <c r="O813" i="2" s="1"/>
  <c r="G814" i="2"/>
  <c r="O814" i="2" s="1"/>
  <c r="G815" i="2"/>
  <c r="O815" i="2" s="1"/>
  <c r="G816" i="2"/>
  <c r="O816" i="2" s="1"/>
  <c r="G817" i="2"/>
  <c r="O817" i="2" s="1"/>
  <c r="G818" i="2"/>
  <c r="O818" i="2" s="1"/>
  <c r="G819" i="2"/>
  <c r="O819" i="2" s="1"/>
  <c r="G820" i="2"/>
  <c r="O820" i="2" s="1"/>
  <c r="G821" i="2"/>
  <c r="O821" i="2" s="1"/>
  <c r="G822" i="2"/>
  <c r="O822" i="2" s="1"/>
  <c r="G823" i="2"/>
  <c r="O823" i="2" s="1"/>
  <c r="G824" i="2"/>
  <c r="O824" i="2" s="1"/>
  <c r="G825" i="2"/>
  <c r="O825" i="2" s="1"/>
  <c r="G826" i="2"/>
  <c r="O826" i="2" s="1"/>
  <c r="G827" i="2"/>
  <c r="O827" i="2" s="1"/>
  <c r="G828" i="2"/>
  <c r="O828" i="2" s="1"/>
  <c r="G829" i="2"/>
  <c r="O829" i="2" s="1"/>
  <c r="G830" i="2"/>
  <c r="O830" i="2" s="1"/>
  <c r="G831" i="2"/>
  <c r="O831" i="2" s="1"/>
  <c r="G832" i="2"/>
  <c r="O832" i="2" s="1"/>
  <c r="G833" i="2"/>
  <c r="O833" i="2" s="1"/>
  <c r="G834" i="2"/>
  <c r="O834" i="2" s="1"/>
  <c r="G835" i="2"/>
  <c r="O835" i="2" s="1"/>
  <c r="G836" i="2"/>
  <c r="O836" i="2" s="1"/>
  <c r="G837" i="2"/>
  <c r="O837" i="2" s="1"/>
  <c r="G838" i="2"/>
  <c r="O838" i="2" s="1"/>
  <c r="G839" i="2"/>
  <c r="O839" i="2" s="1"/>
  <c r="G840" i="2"/>
  <c r="O840" i="2" s="1"/>
  <c r="G841" i="2"/>
  <c r="O841" i="2" s="1"/>
  <c r="G842" i="2"/>
  <c r="O842" i="2" s="1"/>
  <c r="G843" i="2"/>
  <c r="O843" i="2" s="1"/>
  <c r="G844" i="2"/>
  <c r="O844" i="2" s="1"/>
  <c r="G845" i="2"/>
  <c r="O845" i="2" s="1"/>
  <c r="G846" i="2"/>
  <c r="O846" i="2" s="1"/>
  <c r="G847" i="2"/>
  <c r="O847" i="2" s="1"/>
  <c r="G848" i="2"/>
  <c r="O848" i="2" s="1"/>
  <c r="G849" i="2"/>
  <c r="O849" i="2" s="1"/>
  <c r="G850" i="2"/>
  <c r="O850" i="2" s="1"/>
  <c r="G851" i="2"/>
  <c r="O851" i="2" s="1"/>
  <c r="G852" i="2"/>
  <c r="O852" i="2" s="1"/>
  <c r="G853" i="2"/>
  <c r="O853" i="2" s="1"/>
  <c r="G854" i="2"/>
  <c r="O854" i="2" s="1"/>
  <c r="G855" i="2"/>
  <c r="O855" i="2" s="1"/>
  <c r="G856" i="2"/>
  <c r="O856" i="2" s="1"/>
  <c r="G857" i="2"/>
  <c r="O857" i="2" s="1"/>
  <c r="G858" i="2"/>
  <c r="O858" i="2" s="1"/>
  <c r="G859" i="2"/>
  <c r="O859" i="2" s="1"/>
  <c r="G860" i="2"/>
  <c r="O860" i="2" s="1"/>
  <c r="G861" i="2"/>
  <c r="O861" i="2" s="1"/>
  <c r="G862" i="2"/>
  <c r="O862" i="2" s="1"/>
  <c r="G863" i="2"/>
  <c r="O863" i="2" s="1"/>
  <c r="G864" i="2"/>
  <c r="O864" i="2" s="1"/>
  <c r="G865" i="2"/>
  <c r="O865" i="2" s="1"/>
  <c r="G866" i="2"/>
  <c r="O866" i="2" s="1"/>
  <c r="G867" i="2"/>
  <c r="O867" i="2" s="1"/>
  <c r="G868" i="2"/>
  <c r="O868" i="2" s="1"/>
  <c r="G869" i="2"/>
  <c r="O869" i="2" s="1"/>
  <c r="G870" i="2"/>
  <c r="O870" i="2" s="1"/>
  <c r="G871" i="2"/>
  <c r="O871" i="2" s="1"/>
  <c r="G872" i="2"/>
  <c r="O872" i="2" s="1"/>
  <c r="G873" i="2"/>
  <c r="O873" i="2" s="1"/>
  <c r="G874" i="2"/>
  <c r="O874" i="2" s="1"/>
  <c r="G875" i="2"/>
  <c r="O875" i="2" s="1"/>
  <c r="G876" i="2"/>
  <c r="O876" i="2" s="1"/>
  <c r="G877" i="2"/>
  <c r="O877" i="2" s="1"/>
  <c r="G878" i="2"/>
  <c r="O878" i="2" s="1"/>
  <c r="G879" i="2"/>
  <c r="O879" i="2" s="1"/>
  <c r="G880" i="2"/>
  <c r="O880" i="2" s="1"/>
  <c r="G881" i="2"/>
  <c r="O881" i="2" s="1"/>
  <c r="G882" i="2"/>
  <c r="O882" i="2" s="1"/>
  <c r="G883" i="2"/>
  <c r="O883" i="2" s="1"/>
  <c r="G884" i="2"/>
  <c r="O884" i="2" s="1"/>
  <c r="G885" i="2"/>
  <c r="O885" i="2" s="1"/>
  <c r="G886" i="2"/>
  <c r="O886" i="2" s="1"/>
  <c r="G887" i="2"/>
  <c r="O887" i="2" s="1"/>
  <c r="G888" i="2"/>
  <c r="O888" i="2" s="1"/>
  <c r="G889" i="2"/>
  <c r="O889" i="2" s="1"/>
  <c r="G890" i="2"/>
  <c r="O890" i="2" s="1"/>
  <c r="G891" i="2"/>
  <c r="O891" i="2" s="1"/>
  <c r="G892" i="2"/>
  <c r="O892" i="2" s="1"/>
  <c r="G893" i="2"/>
  <c r="O893" i="2" s="1"/>
  <c r="G894" i="2"/>
  <c r="O894" i="2" s="1"/>
  <c r="G895" i="2"/>
  <c r="O895" i="2" s="1"/>
  <c r="G896" i="2"/>
  <c r="O896" i="2" s="1"/>
  <c r="G897" i="2"/>
  <c r="O897" i="2" s="1"/>
  <c r="G898" i="2"/>
  <c r="O898" i="2" s="1"/>
  <c r="G899" i="2"/>
  <c r="O899" i="2" s="1"/>
  <c r="G900" i="2"/>
  <c r="O900" i="2" s="1"/>
  <c r="G901" i="2"/>
  <c r="O901" i="2" s="1"/>
  <c r="G902" i="2"/>
  <c r="O902" i="2" s="1"/>
  <c r="G903" i="2"/>
  <c r="O903" i="2" s="1"/>
  <c r="G904" i="2"/>
  <c r="O904" i="2" s="1"/>
  <c r="G905" i="2"/>
  <c r="O905" i="2" s="1"/>
  <c r="G906" i="2"/>
  <c r="O906" i="2" s="1"/>
  <c r="G907" i="2"/>
  <c r="O907" i="2" s="1"/>
  <c r="G908" i="2"/>
  <c r="O908" i="2" s="1"/>
  <c r="G909" i="2"/>
  <c r="O909" i="2" s="1"/>
  <c r="G910" i="2"/>
  <c r="O910" i="2" s="1"/>
  <c r="G911" i="2"/>
  <c r="O911" i="2" s="1"/>
  <c r="G912" i="2"/>
  <c r="O912" i="2" s="1"/>
  <c r="G913" i="2"/>
  <c r="O913" i="2" s="1"/>
  <c r="G914" i="2"/>
  <c r="O914" i="2" s="1"/>
  <c r="G915" i="2"/>
  <c r="O915" i="2" s="1"/>
  <c r="G916" i="2"/>
  <c r="O916" i="2" s="1"/>
  <c r="G917" i="2"/>
  <c r="O917" i="2" s="1"/>
  <c r="G918" i="2"/>
  <c r="O918" i="2" s="1"/>
  <c r="G919" i="2"/>
  <c r="O919" i="2" s="1"/>
  <c r="G920" i="2"/>
  <c r="O920" i="2" s="1"/>
  <c r="G921" i="2"/>
  <c r="O921" i="2" s="1"/>
  <c r="G922" i="2"/>
  <c r="O922" i="2" s="1"/>
  <c r="G923" i="2"/>
  <c r="O923" i="2" s="1"/>
  <c r="G924" i="2"/>
  <c r="O924" i="2" s="1"/>
  <c r="G925" i="2"/>
  <c r="O925" i="2" s="1"/>
  <c r="G926" i="2"/>
  <c r="O926" i="2" s="1"/>
  <c r="G927" i="2"/>
  <c r="O927" i="2" s="1"/>
  <c r="G928" i="2"/>
  <c r="O928" i="2" s="1"/>
  <c r="G929" i="2"/>
  <c r="O929" i="2" s="1"/>
  <c r="G930" i="2"/>
  <c r="O930" i="2" s="1"/>
  <c r="G931" i="2"/>
  <c r="O931" i="2" s="1"/>
  <c r="G932" i="2"/>
  <c r="O932" i="2" s="1"/>
  <c r="G933" i="2"/>
  <c r="O933" i="2" s="1"/>
  <c r="G934" i="2"/>
  <c r="O934" i="2" s="1"/>
  <c r="G935" i="2"/>
  <c r="O935" i="2" s="1"/>
  <c r="G936" i="2"/>
  <c r="O936" i="2" s="1"/>
  <c r="G937" i="2"/>
  <c r="O937" i="2" s="1"/>
  <c r="G938" i="2"/>
  <c r="O938" i="2" s="1"/>
  <c r="G939" i="2"/>
  <c r="O939" i="2" s="1"/>
  <c r="G940" i="2"/>
  <c r="O940" i="2" s="1"/>
  <c r="G941" i="2"/>
  <c r="O941" i="2" s="1"/>
  <c r="G942" i="2"/>
  <c r="O942" i="2" s="1"/>
  <c r="G943" i="2"/>
  <c r="O943" i="2" s="1"/>
  <c r="G944" i="2"/>
  <c r="O944" i="2" s="1"/>
  <c r="G945" i="2"/>
  <c r="O945" i="2" s="1"/>
  <c r="G946" i="2"/>
  <c r="O946" i="2" s="1"/>
  <c r="G947" i="2"/>
  <c r="O947" i="2" s="1"/>
  <c r="G948" i="2"/>
  <c r="O948" i="2" s="1"/>
  <c r="G949" i="2"/>
  <c r="O949" i="2" s="1"/>
  <c r="G950" i="2"/>
  <c r="O950" i="2" s="1"/>
  <c r="G951" i="2"/>
  <c r="O951" i="2" s="1"/>
  <c r="G952" i="2"/>
  <c r="O952" i="2" s="1"/>
  <c r="G953" i="2"/>
  <c r="O953" i="2" s="1"/>
  <c r="G954" i="2"/>
  <c r="O954" i="2" s="1"/>
  <c r="G955" i="2"/>
  <c r="O955" i="2" s="1"/>
  <c r="G956" i="2"/>
  <c r="O956" i="2" s="1"/>
  <c r="G957" i="2"/>
  <c r="O957" i="2" s="1"/>
  <c r="G958" i="2"/>
  <c r="O958" i="2" s="1"/>
  <c r="G959" i="2"/>
  <c r="O959" i="2" s="1"/>
  <c r="G960" i="2"/>
  <c r="O960" i="2" s="1"/>
  <c r="G961" i="2"/>
  <c r="O961" i="2" s="1"/>
  <c r="G962" i="2"/>
  <c r="O962" i="2" s="1"/>
  <c r="G963" i="2"/>
  <c r="O963" i="2" s="1"/>
  <c r="G964" i="2"/>
  <c r="O964" i="2" s="1"/>
  <c r="G965" i="2"/>
  <c r="O965" i="2" s="1"/>
  <c r="G966" i="2"/>
  <c r="O966" i="2" s="1"/>
  <c r="G967" i="2"/>
  <c r="O967" i="2" s="1"/>
  <c r="G968" i="2"/>
  <c r="O968" i="2" s="1"/>
  <c r="G969" i="2"/>
  <c r="O969" i="2" s="1"/>
  <c r="G970" i="2"/>
  <c r="O970" i="2" s="1"/>
  <c r="G971" i="2"/>
  <c r="O971" i="2" s="1"/>
  <c r="G972" i="2"/>
  <c r="O972" i="2" s="1"/>
  <c r="G973" i="2"/>
  <c r="O973" i="2" s="1"/>
  <c r="G974" i="2"/>
  <c r="O974" i="2" s="1"/>
  <c r="G975" i="2"/>
  <c r="O975" i="2" s="1"/>
  <c r="G976" i="2"/>
  <c r="O976" i="2" s="1"/>
  <c r="G977" i="2"/>
  <c r="O977" i="2" s="1"/>
  <c r="G978" i="2"/>
  <c r="O978" i="2" s="1"/>
  <c r="G979" i="2"/>
  <c r="O979" i="2" s="1"/>
  <c r="G980" i="2"/>
  <c r="O980" i="2" s="1"/>
  <c r="G981" i="2"/>
  <c r="O981" i="2" s="1"/>
  <c r="G982" i="2"/>
  <c r="O982" i="2" s="1"/>
  <c r="G983" i="2"/>
  <c r="O983" i="2" s="1"/>
  <c r="G984" i="2"/>
  <c r="O984" i="2" s="1"/>
  <c r="G985" i="2"/>
  <c r="O985" i="2" s="1"/>
  <c r="G986" i="2"/>
  <c r="O986" i="2" s="1"/>
  <c r="G987" i="2"/>
  <c r="O987" i="2" s="1"/>
  <c r="G988" i="2"/>
  <c r="O988" i="2" s="1"/>
  <c r="G989" i="2"/>
  <c r="O989" i="2" s="1"/>
  <c r="G990" i="2"/>
  <c r="O990" i="2" s="1"/>
  <c r="G991" i="2"/>
  <c r="O991" i="2" s="1"/>
  <c r="G992" i="2"/>
  <c r="O992" i="2" s="1"/>
  <c r="G993" i="2"/>
  <c r="O993" i="2" s="1"/>
  <c r="G994" i="2"/>
  <c r="O994" i="2" s="1"/>
  <c r="G995" i="2"/>
  <c r="O995" i="2" s="1"/>
  <c r="G996" i="2"/>
  <c r="O996" i="2" s="1"/>
  <c r="G997" i="2"/>
  <c r="O997" i="2" s="1"/>
  <c r="G998" i="2"/>
  <c r="O998" i="2" s="1"/>
  <c r="G999" i="2"/>
  <c r="O999" i="2" s="1"/>
  <c r="G1000" i="2"/>
  <c r="O1000" i="2" s="1"/>
  <c r="G1001" i="2"/>
  <c r="O1001" i="2" s="1"/>
  <c r="G1002" i="2"/>
  <c r="O1002" i="2" s="1"/>
  <c r="G1003" i="2"/>
  <c r="O1003" i="2" s="1"/>
  <c r="G1004" i="2"/>
  <c r="O1004" i="2" s="1"/>
  <c r="G1005" i="2"/>
  <c r="O1005" i="2" s="1"/>
  <c r="G1006" i="2"/>
  <c r="O1006" i="2" s="1"/>
  <c r="G1007" i="2"/>
  <c r="O1007" i="2" s="1"/>
  <c r="G1008" i="2"/>
  <c r="O1008" i="2" s="1"/>
  <c r="G1009" i="2"/>
  <c r="O1009" i="2" s="1"/>
  <c r="G1010" i="2"/>
  <c r="O1010" i="2" s="1"/>
  <c r="G1011" i="2"/>
  <c r="O1011" i="2" s="1"/>
  <c r="G1012" i="2"/>
  <c r="O1012" i="2" s="1"/>
  <c r="G1013" i="2"/>
  <c r="O1013" i="2" s="1"/>
  <c r="G1014" i="2"/>
  <c r="O1014" i="2" s="1"/>
  <c r="G1015" i="2"/>
  <c r="O1015" i="2" s="1"/>
  <c r="G1016" i="2"/>
  <c r="O1016" i="2" s="1"/>
  <c r="G1017" i="2"/>
  <c r="O1017" i="2" s="1"/>
  <c r="G1018" i="2"/>
  <c r="O1018" i="2" s="1"/>
  <c r="G1019" i="2"/>
  <c r="O1019" i="2" s="1"/>
  <c r="G1020" i="2"/>
  <c r="O1020" i="2" s="1"/>
  <c r="G1021" i="2"/>
  <c r="O1021" i="2" s="1"/>
  <c r="G3" i="2"/>
  <c r="O3" i="2" s="1"/>
  <c r="G4" i="2"/>
  <c r="O4" i="2" s="1"/>
  <c r="G5" i="2"/>
  <c r="O5" i="2" s="1"/>
  <c r="G6" i="2"/>
  <c r="O6" i="2" s="1"/>
  <c r="G2" i="2"/>
  <c r="O2" i="2" s="1"/>
  <c r="N2" i="2" l="1"/>
  <c r="N5" i="2"/>
  <c r="H836" i="2" l="1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2" i="2"/>
  <c r="D2" i="2"/>
  <c r="L102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B8" i="2"/>
  <c r="M8" i="2" s="1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M55" i="2" s="1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M71" i="2" s="1"/>
  <c r="C71" i="2"/>
  <c r="B72" i="2"/>
  <c r="M72" i="2" s="1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M151" i="2" s="1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M199" i="2" s="1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M263" i="2" s="1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M391" i="2" s="1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M455" i="2" s="1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M583" i="2" s="1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C2" i="2"/>
  <c r="C3" i="2"/>
  <c r="C4" i="2"/>
  <c r="C5" i="2"/>
  <c r="C6" i="2"/>
  <c r="C7" i="2"/>
  <c r="B2" i="2"/>
  <c r="B3" i="2"/>
  <c r="B4" i="2"/>
  <c r="B5" i="2"/>
  <c r="B6" i="2"/>
  <c r="B7" i="2"/>
  <c r="I3" i="2"/>
  <c r="I4" i="2"/>
  <c r="I5" i="2"/>
  <c r="I6" i="2"/>
  <c r="I7" i="2"/>
  <c r="I8" i="2"/>
  <c r="I9" i="2"/>
  <c r="I2" i="2"/>
  <c r="L2" i="2"/>
  <c r="K2" i="2"/>
  <c r="A3" i="2"/>
  <c r="A4" i="2"/>
  <c r="A5" i="2"/>
  <c r="A6" i="2"/>
  <c r="A7" i="2"/>
  <c r="A8" i="2"/>
  <c r="A2" i="2"/>
  <c r="M3" i="2" l="1"/>
  <c r="M984" i="2"/>
  <c r="M952" i="2"/>
  <c r="M904" i="2"/>
  <c r="M808" i="2"/>
  <c r="M760" i="2"/>
  <c r="M728" i="2"/>
  <c r="M568" i="2"/>
  <c r="M552" i="2"/>
  <c r="M360" i="2"/>
  <c r="M296" i="2"/>
  <c r="M264" i="2"/>
  <c r="M822" i="2"/>
  <c r="M585" i="2"/>
  <c r="M974" i="2"/>
  <c r="M910" i="2"/>
  <c r="M846" i="2"/>
  <c r="M782" i="2"/>
  <c r="M710" i="2"/>
  <c r="M646" i="2"/>
  <c r="M574" i="2"/>
  <c r="M502" i="2"/>
  <c r="M430" i="2"/>
  <c r="M358" i="2"/>
  <c r="M286" i="2"/>
  <c r="M214" i="2"/>
  <c r="M126" i="2"/>
  <c r="M46" i="2"/>
  <c r="M309" i="2"/>
  <c r="M990" i="2"/>
  <c r="M950" i="2"/>
  <c r="M918" i="2"/>
  <c r="M886" i="2"/>
  <c r="M854" i="2"/>
  <c r="M806" i="2"/>
  <c r="M758" i="2"/>
  <c r="M726" i="2"/>
  <c r="M686" i="2"/>
  <c r="M654" i="2"/>
  <c r="M614" i="2"/>
  <c r="M598" i="2"/>
  <c r="M566" i="2"/>
  <c r="M534" i="2"/>
  <c r="M486" i="2"/>
  <c r="M446" i="2"/>
  <c r="M398" i="2"/>
  <c r="M366" i="2"/>
  <c r="M326" i="2"/>
  <c r="M302" i="2"/>
  <c r="M270" i="2"/>
  <c r="M238" i="2"/>
  <c r="M206" i="2"/>
  <c r="M182" i="2"/>
  <c r="M150" i="2"/>
  <c r="M118" i="2"/>
  <c r="M86" i="2"/>
  <c r="M70" i="2"/>
  <c r="M22" i="2"/>
  <c r="M998" i="2"/>
  <c r="M958" i="2"/>
  <c r="M926" i="2"/>
  <c r="M878" i="2"/>
  <c r="M830" i="2"/>
  <c r="M790" i="2"/>
  <c r="M750" i="2"/>
  <c r="M718" i="2"/>
  <c r="M678" i="2"/>
  <c r="M638" i="2"/>
  <c r="M606" i="2"/>
  <c r="M558" i="2"/>
  <c r="M518" i="2"/>
  <c r="M470" i="2"/>
  <c r="M438" i="2"/>
  <c r="M406" i="2"/>
  <c r="M374" i="2"/>
  <c r="M342" i="2"/>
  <c r="M310" i="2"/>
  <c r="M262" i="2"/>
  <c r="M230" i="2"/>
  <c r="M190" i="2"/>
  <c r="M166" i="2"/>
  <c r="M134" i="2"/>
  <c r="M110" i="2"/>
  <c r="M78" i="2"/>
  <c r="M62" i="2"/>
  <c r="M38" i="2"/>
  <c r="M14" i="2"/>
  <c r="M7" i="2"/>
  <c r="M1014" i="2"/>
  <c r="M982" i="2"/>
  <c r="M942" i="2"/>
  <c r="M902" i="2"/>
  <c r="M870" i="2"/>
  <c r="M838" i="2"/>
  <c r="M814" i="2"/>
  <c r="M774" i="2"/>
  <c r="M742" i="2"/>
  <c r="M702" i="2"/>
  <c r="M670" i="2"/>
  <c r="M630" i="2"/>
  <c r="M590" i="2"/>
  <c r="M550" i="2"/>
  <c r="M526" i="2"/>
  <c r="M494" i="2"/>
  <c r="M462" i="2"/>
  <c r="M422" i="2"/>
  <c r="M390" i="2"/>
  <c r="M350" i="2"/>
  <c r="M318" i="2"/>
  <c r="M278" i="2"/>
  <c r="M254" i="2"/>
  <c r="M222" i="2"/>
  <c r="M174" i="2"/>
  <c r="M142" i="2"/>
  <c r="M94" i="2"/>
  <c r="M54" i="2"/>
  <c r="M1006" i="2"/>
  <c r="M966" i="2"/>
  <c r="M934" i="2"/>
  <c r="M894" i="2"/>
  <c r="M862" i="2"/>
  <c r="M798" i="2"/>
  <c r="M766" i="2"/>
  <c r="M734" i="2"/>
  <c r="M694" i="2"/>
  <c r="M662" i="2"/>
  <c r="M622" i="2"/>
  <c r="M582" i="2"/>
  <c r="M542" i="2"/>
  <c r="M510" i="2"/>
  <c r="M478" i="2"/>
  <c r="M454" i="2"/>
  <c r="M414" i="2"/>
  <c r="M382" i="2"/>
  <c r="M334" i="2"/>
  <c r="M294" i="2"/>
  <c r="M246" i="2"/>
  <c r="M198" i="2"/>
  <c r="M158" i="2"/>
  <c r="M102" i="2"/>
  <c r="M30" i="2"/>
  <c r="M5" i="2"/>
  <c r="M12" i="2"/>
  <c r="M903" i="2"/>
  <c r="M871" i="2"/>
  <c r="M995" i="2"/>
  <c r="M891" i="2"/>
  <c r="M771" i="2"/>
  <c r="M659" i="2"/>
  <c r="M547" i="2"/>
  <c r="M443" i="2"/>
  <c r="M347" i="2"/>
  <c r="M251" i="2"/>
  <c r="M171" i="2"/>
  <c r="M99" i="2"/>
  <c r="M43" i="2"/>
  <c r="M762" i="2"/>
  <c r="M370" i="2"/>
  <c r="M859" i="2"/>
  <c r="M739" i="2"/>
  <c r="M627" i="2"/>
  <c r="M531" i="2"/>
  <c r="M427" i="2"/>
  <c r="M323" i="2"/>
  <c r="M243" i="2"/>
  <c r="M163" i="2"/>
  <c r="M91" i="2"/>
  <c r="M19" i="2"/>
  <c r="M714" i="2"/>
  <c r="M354" i="2"/>
  <c r="M6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947" i="2"/>
  <c r="M851" i="2"/>
  <c r="M763" i="2"/>
  <c r="M683" i="2"/>
  <c r="M587" i="2"/>
  <c r="M507" i="2"/>
  <c r="M435" i="2"/>
  <c r="M355" i="2"/>
  <c r="M283" i="2"/>
  <c r="M211" i="2"/>
  <c r="M139" i="2"/>
  <c r="M59" i="2"/>
  <c r="M954" i="2"/>
  <c r="M818" i="2"/>
  <c r="M514" i="2"/>
  <c r="M1003" i="2"/>
  <c r="M931" i="2"/>
  <c r="M843" i="2"/>
  <c r="M755" i="2"/>
  <c r="M675" i="2"/>
  <c r="M579" i="2"/>
  <c r="M491" i="2"/>
  <c r="M411" i="2"/>
  <c r="M339" i="2"/>
  <c r="M259" i="2"/>
  <c r="M179" i="2"/>
  <c r="M83" i="2"/>
  <c r="M978" i="2"/>
  <c r="M890" i="2"/>
  <c r="M794" i="2"/>
  <c r="M698" i="2"/>
  <c r="M626" i="2"/>
  <c r="M530" i="2"/>
  <c r="M418" i="2"/>
  <c r="M266" i="2"/>
  <c r="M4" i="2"/>
  <c r="M915" i="2"/>
  <c r="M779" i="2"/>
  <c r="M635" i="2"/>
  <c r="M515" i="2"/>
  <c r="M395" i="2"/>
  <c r="M291" i="2"/>
  <c r="M195" i="2"/>
  <c r="M115" i="2"/>
  <c r="M35" i="2"/>
  <c r="M923" i="2"/>
  <c r="M819" i="2"/>
  <c r="M715" i="2"/>
  <c r="M619" i="2"/>
  <c r="M539" i="2"/>
  <c r="M451" i="2"/>
  <c r="M363" i="2"/>
  <c r="M267" i="2"/>
  <c r="M187" i="2"/>
  <c r="M123" i="2"/>
  <c r="M75" i="2"/>
  <c r="M27" i="2"/>
  <c r="M1002" i="2"/>
  <c r="M930" i="2"/>
  <c r="M858" i="2"/>
  <c r="M786" i="2"/>
  <c r="M690" i="2"/>
  <c r="M642" i="2"/>
  <c r="M578" i="2"/>
  <c r="M506" i="2"/>
  <c r="M442" i="2"/>
  <c r="M378" i="2"/>
  <c r="M322" i="2"/>
  <c r="M274" i="2"/>
  <c r="M210" i="2"/>
  <c r="M170" i="2"/>
  <c r="M122" i="2"/>
  <c r="M74" i="2"/>
  <c r="M10" i="2"/>
  <c r="M1019" i="2"/>
  <c r="M939" i="2"/>
  <c r="M827" i="2"/>
  <c r="M723" i="2"/>
  <c r="M643" i="2"/>
  <c r="M563" i="2"/>
  <c r="M475" i="2"/>
  <c r="M379" i="2"/>
  <c r="M299" i="2"/>
  <c r="M147" i="2"/>
  <c r="M962" i="2"/>
  <c r="M898" i="2"/>
  <c r="M834" i="2"/>
  <c r="M754" i="2"/>
  <c r="M634" i="2"/>
  <c r="M570" i="2"/>
  <c r="M498" i="2"/>
  <c r="M450" i="2"/>
  <c r="M402" i="2"/>
  <c r="M330" i="2"/>
  <c r="M282" i="2"/>
  <c r="M218" i="2"/>
  <c r="M162" i="2"/>
  <c r="M106" i="2"/>
  <c r="M66" i="2"/>
  <c r="M26" i="2"/>
  <c r="M1017" i="2"/>
  <c r="M1009" i="2"/>
  <c r="M1001" i="2"/>
  <c r="M993" i="2"/>
  <c r="M985" i="2"/>
  <c r="M977" i="2"/>
  <c r="M969" i="2"/>
  <c r="M961" i="2"/>
  <c r="M953" i="2"/>
  <c r="M945" i="2"/>
  <c r="M937" i="2"/>
  <c r="M929" i="2"/>
  <c r="M921" i="2"/>
  <c r="M913" i="2"/>
  <c r="M905" i="2"/>
  <c r="M897" i="2"/>
  <c r="M889" i="2"/>
  <c r="M881" i="2"/>
  <c r="M873" i="2"/>
  <c r="M865" i="2"/>
  <c r="M857" i="2"/>
  <c r="M849" i="2"/>
  <c r="M841" i="2"/>
  <c r="M833" i="2"/>
  <c r="M825" i="2"/>
  <c r="M817" i="2"/>
  <c r="M809" i="2"/>
  <c r="M801" i="2"/>
  <c r="M793" i="2"/>
  <c r="M785" i="2"/>
  <c r="M777" i="2"/>
  <c r="M769" i="2"/>
  <c r="M761" i="2"/>
  <c r="M753" i="2"/>
  <c r="M745" i="2"/>
  <c r="M737" i="2"/>
  <c r="M729" i="2"/>
  <c r="M721" i="2"/>
  <c r="M713" i="2"/>
  <c r="M705" i="2"/>
  <c r="M697" i="2"/>
  <c r="M665" i="2"/>
  <c r="M537" i="2"/>
  <c r="M393" i="2"/>
  <c r="M361" i="2"/>
  <c r="M185" i="2"/>
  <c r="M979" i="2"/>
  <c r="M899" i="2"/>
  <c r="M811" i="2"/>
  <c r="M731" i="2"/>
  <c r="M651" i="2"/>
  <c r="M555" i="2"/>
  <c r="M467" i="2"/>
  <c r="M371" i="2"/>
  <c r="M219" i="2"/>
  <c r="M986" i="2"/>
  <c r="M922" i="2"/>
  <c r="M866" i="2"/>
  <c r="M802" i="2"/>
  <c r="M730" i="2"/>
  <c r="M666" i="2"/>
  <c r="M602" i="2"/>
  <c r="M546" i="2"/>
  <c r="M482" i="2"/>
  <c r="M426" i="2"/>
  <c r="M362" i="2"/>
  <c r="M298" i="2"/>
  <c r="M258" i="2"/>
  <c r="M202" i="2"/>
  <c r="M154" i="2"/>
  <c r="M98" i="2"/>
  <c r="M58" i="2"/>
  <c r="M18" i="2"/>
  <c r="M2" i="2"/>
  <c r="M712" i="2"/>
  <c r="M680" i="2"/>
  <c r="M536" i="2"/>
  <c r="M504" i="2"/>
  <c r="M987" i="2"/>
  <c r="M907" i="2"/>
  <c r="M835" i="2"/>
  <c r="M747" i="2"/>
  <c r="M667" i="2"/>
  <c r="M571" i="2"/>
  <c r="M483" i="2"/>
  <c r="M387" i="2"/>
  <c r="M307" i="2"/>
  <c r="M227" i="2"/>
  <c r="M131" i="2"/>
  <c r="M51" i="2"/>
  <c r="M1018" i="2"/>
  <c r="M946" i="2"/>
  <c r="M882" i="2"/>
  <c r="M826" i="2"/>
  <c r="M746" i="2"/>
  <c r="M674" i="2"/>
  <c r="M610" i="2"/>
  <c r="M554" i="2"/>
  <c r="M474" i="2"/>
  <c r="M410" i="2"/>
  <c r="M346" i="2"/>
  <c r="M290" i="2"/>
  <c r="M226" i="2"/>
  <c r="M178" i="2"/>
  <c r="M130" i="2"/>
  <c r="M50" i="2"/>
  <c r="M971" i="2"/>
  <c r="M883" i="2"/>
  <c r="M803" i="2"/>
  <c r="M707" i="2"/>
  <c r="M611" i="2"/>
  <c r="M523" i="2"/>
  <c r="M419" i="2"/>
  <c r="M331" i="2"/>
  <c r="M203" i="2"/>
  <c r="M994" i="2"/>
  <c r="M914" i="2"/>
  <c r="M850" i="2"/>
  <c r="M770" i="2"/>
  <c r="M706" i="2"/>
  <c r="M650" i="2"/>
  <c r="M586" i="2"/>
  <c r="M522" i="2"/>
  <c r="M458" i="2"/>
  <c r="M386" i="2"/>
  <c r="M314" i="2"/>
  <c r="M250" i="2"/>
  <c r="M194" i="2"/>
  <c r="M146" i="2"/>
  <c r="M90" i="2"/>
  <c r="M34" i="2"/>
  <c r="M1011" i="2"/>
  <c r="M955" i="2"/>
  <c r="M875" i="2"/>
  <c r="M795" i="2"/>
  <c r="M699" i="2"/>
  <c r="M595" i="2"/>
  <c r="M459" i="2"/>
  <c r="M275" i="2"/>
  <c r="M970" i="2"/>
  <c r="M906" i="2"/>
  <c r="M842" i="2"/>
  <c r="M778" i="2"/>
  <c r="M738" i="2"/>
  <c r="M682" i="2"/>
  <c r="M618" i="2"/>
  <c r="M562" i="2"/>
  <c r="M490" i="2"/>
  <c r="M434" i="2"/>
  <c r="M338" i="2"/>
  <c r="M234" i="2"/>
  <c r="M114" i="2"/>
  <c r="M935" i="2"/>
  <c r="M855" i="2"/>
  <c r="M963" i="2"/>
  <c r="M867" i="2"/>
  <c r="M787" i="2"/>
  <c r="M691" i="2"/>
  <c r="M603" i="2"/>
  <c r="M499" i="2"/>
  <c r="M403" i="2"/>
  <c r="M315" i="2"/>
  <c r="M235" i="2"/>
  <c r="M155" i="2"/>
  <c r="M107" i="2"/>
  <c r="M67" i="2"/>
  <c r="M11" i="2"/>
  <c r="M1010" i="2"/>
  <c r="M938" i="2"/>
  <c r="M874" i="2"/>
  <c r="M810" i="2"/>
  <c r="M722" i="2"/>
  <c r="M658" i="2"/>
  <c r="M594" i="2"/>
  <c r="M538" i="2"/>
  <c r="M466" i="2"/>
  <c r="M394" i="2"/>
  <c r="M306" i="2"/>
  <c r="M242" i="2"/>
  <c r="M186" i="2"/>
  <c r="M138" i="2"/>
  <c r="M82" i="2"/>
  <c r="M42" i="2"/>
  <c r="M951" i="2"/>
  <c r="M689" i="2"/>
  <c r="M681" i="2"/>
  <c r="M673" i="2"/>
  <c r="M657" i="2"/>
  <c r="M649" i="2"/>
  <c r="M641" i="2"/>
  <c r="M633" i="2"/>
  <c r="M625" i="2"/>
  <c r="M617" i="2"/>
  <c r="M609" i="2"/>
  <c r="M601" i="2"/>
  <c r="M593" i="2"/>
  <c r="M577" i="2"/>
  <c r="M569" i="2"/>
  <c r="M561" i="2"/>
  <c r="M553" i="2"/>
  <c r="M545" i="2"/>
  <c r="M529" i="2"/>
  <c r="M521" i="2"/>
  <c r="M513" i="2"/>
  <c r="M505" i="2"/>
  <c r="M497" i="2"/>
  <c r="M489" i="2"/>
  <c r="M481" i="2"/>
  <c r="M473" i="2"/>
  <c r="M465" i="2"/>
  <c r="M457" i="2"/>
  <c r="M449" i="2"/>
  <c r="M441" i="2"/>
  <c r="M433" i="2"/>
  <c r="M425" i="2"/>
  <c r="M417" i="2"/>
  <c r="M409" i="2"/>
  <c r="M401" i="2"/>
  <c r="M385" i="2"/>
  <c r="M377" i="2"/>
  <c r="M369" i="2"/>
  <c r="M353" i="2"/>
  <c r="M345" i="2"/>
  <c r="M337" i="2"/>
  <c r="M329" i="2"/>
  <c r="M321" i="2"/>
  <c r="M313" i="2"/>
  <c r="M305" i="2"/>
  <c r="M297" i="2"/>
  <c r="M289" i="2"/>
  <c r="M281" i="2"/>
  <c r="M273" i="2"/>
  <c r="M265" i="2"/>
  <c r="M257" i="2"/>
  <c r="M249" i="2"/>
  <c r="M241" i="2"/>
  <c r="M233" i="2"/>
  <c r="M225" i="2"/>
  <c r="M217" i="2"/>
  <c r="M209" i="2"/>
  <c r="M201" i="2"/>
  <c r="M193" i="2"/>
  <c r="M177" i="2"/>
  <c r="M169" i="2"/>
  <c r="M161" i="2"/>
  <c r="M153" i="2"/>
  <c r="M145" i="2"/>
  <c r="M137" i="2"/>
  <c r="M129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M232" i="2"/>
  <c r="M200" i="2"/>
  <c r="M679" i="2"/>
  <c r="M535" i="2"/>
  <c r="M503" i="2"/>
  <c r="M439" i="2"/>
  <c r="M359" i="2"/>
  <c r="M311" i="2"/>
  <c r="M119" i="2"/>
  <c r="M87" i="2"/>
  <c r="M711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1021" i="2"/>
  <c r="M1005" i="2"/>
  <c r="M989" i="2"/>
  <c r="M973" i="2"/>
  <c r="M957" i="2"/>
  <c r="M941" i="2"/>
  <c r="M925" i="2"/>
  <c r="M909" i="2"/>
  <c r="M893" i="2"/>
  <c r="M877" i="2"/>
  <c r="M861" i="2"/>
  <c r="M1020" i="2"/>
  <c r="M1012" i="2"/>
  <c r="M1004" i="2"/>
  <c r="M996" i="2"/>
  <c r="M988" i="2"/>
  <c r="M980" i="2"/>
  <c r="M972" i="2"/>
  <c r="M964" i="2"/>
  <c r="M956" i="2"/>
  <c r="M948" i="2"/>
  <c r="M940" i="2"/>
  <c r="M932" i="2"/>
  <c r="M924" i="2"/>
  <c r="M916" i="2"/>
  <c r="M908" i="2"/>
  <c r="M900" i="2"/>
  <c r="M892" i="2"/>
  <c r="M884" i="2"/>
  <c r="M876" i="2"/>
  <c r="M868" i="2"/>
  <c r="M860" i="2"/>
  <c r="M852" i="2"/>
  <c r="M844" i="2"/>
  <c r="M836" i="2"/>
  <c r="M828" i="2"/>
  <c r="M820" i="2"/>
  <c r="M812" i="2"/>
  <c r="M804" i="2"/>
  <c r="M796" i="2"/>
  <c r="M788" i="2"/>
  <c r="M780" i="2"/>
  <c r="M772" i="2"/>
  <c r="M764" i="2"/>
  <c r="M756" i="2"/>
  <c r="M748" i="2"/>
  <c r="M740" i="2"/>
  <c r="M732" i="2"/>
  <c r="M724" i="2"/>
  <c r="M716" i="2"/>
  <c r="M708" i="2"/>
  <c r="M700" i="2"/>
  <c r="M692" i="2"/>
  <c r="M684" i="2"/>
  <c r="M676" i="2"/>
  <c r="M668" i="2"/>
  <c r="M660" i="2"/>
  <c r="M652" i="2"/>
  <c r="M644" i="2"/>
  <c r="M636" i="2"/>
  <c r="M628" i="2"/>
  <c r="M620" i="2"/>
  <c r="M612" i="2"/>
  <c r="M604" i="2"/>
  <c r="M596" i="2"/>
  <c r="M588" i="2"/>
  <c r="M580" i="2"/>
  <c r="M572" i="2"/>
  <c r="M564" i="2"/>
  <c r="M556" i="2"/>
  <c r="M548" i="2"/>
  <c r="M540" i="2"/>
  <c r="M532" i="2"/>
  <c r="M524" i="2"/>
  <c r="M516" i="2"/>
  <c r="M508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16" i="2"/>
  <c r="M1008" i="2"/>
  <c r="M1000" i="2"/>
  <c r="M992" i="2"/>
  <c r="M976" i="2"/>
  <c r="M968" i="2"/>
  <c r="M960" i="2"/>
  <c r="M944" i="2"/>
  <c r="M936" i="2"/>
  <c r="M928" i="2"/>
  <c r="M920" i="2"/>
  <c r="M912" i="2"/>
  <c r="M896" i="2"/>
  <c r="M888" i="2"/>
  <c r="M880" i="2"/>
  <c r="M872" i="2"/>
  <c r="M864" i="2"/>
  <c r="M856" i="2"/>
  <c r="M848" i="2"/>
  <c r="M840" i="2"/>
  <c r="M832" i="2"/>
  <c r="M824" i="2"/>
  <c r="M816" i="2"/>
  <c r="M800" i="2"/>
  <c r="M792" i="2"/>
  <c r="M784" i="2"/>
  <c r="M776" i="2"/>
  <c r="M768" i="2"/>
  <c r="M752" i="2"/>
  <c r="M696" i="2"/>
  <c r="M648" i="2"/>
  <c r="M616" i="2"/>
  <c r="M472" i="2"/>
  <c r="M456" i="2"/>
  <c r="M440" i="2"/>
  <c r="M424" i="2"/>
  <c r="M392" i="2"/>
  <c r="M328" i="2"/>
  <c r="M216" i="2"/>
  <c r="M152" i="2"/>
  <c r="M120" i="2"/>
  <c r="M88" i="2"/>
  <c r="M56" i="2"/>
  <c r="M40" i="2"/>
  <c r="M100" i="2"/>
  <c r="M92" i="2"/>
  <c r="M84" i="2"/>
  <c r="M76" i="2"/>
  <c r="M68" i="2"/>
  <c r="M60" i="2"/>
  <c r="M52" i="2"/>
  <c r="M44" i="2"/>
  <c r="M36" i="2"/>
  <c r="M28" i="2"/>
  <c r="M20" i="2"/>
  <c r="M1015" i="2"/>
  <c r="M999" i="2"/>
  <c r="M983" i="2"/>
  <c r="M967" i="2"/>
  <c r="M943" i="2"/>
  <c r="M919" i="2"/>
  <c r="M879" i="2"/>
  <c r="M863" i="2"/>
  <c r="M839" i="2"/>
  <c r="M823" i="2"/>
  <c r="M807" i="2"/>
  <c r="M791" i="2"/>
  <c r="M775" i="2"/>
  <c r="M759" i="2"/>
  <c r="M743" i="2"/>
  <c r="M727" i="2"/>
  <c r="M695" i="2"/>
  <c r="M655" i="2"/>
  <c r="M631" i="2"/>
  <c r="M575" i="2"/>
  <c r="M423" i="2"/>
  <c r="M407" i="2"/>
  <c r="M383" i="2"/>
  <c r="M367" i="2"/>
  <c r="M351" i="2"/>
  <c r="M335" i="2"/>
  <c r="M319" i="2"/>
  <c r="M295" i="2"/>
  <c r="M279" i="2"/>
  <c r="M247" i="2"/>
  <c r="M223" i="2"/>
  <c r="M191" i="2"/>
  <c r="M175" i="2"/>
  <c r="M159" i="2"/>
  <c r="M143" i="2"/>
  <c r="M135" i="2"/>
  <c r="M103" i="2"/>
  <c r="M79" i="2"/>
  <c r="M63" i="2"/>
  <c r="M47" i="2"/>
  <c r="M39" i="2"/>
  <c r="M31" i="2"/>
  <c r="M15" i="2"/>
  <c r="M1007" i="2"/>
  <c r="M991" i="2"/>
  <c r="M975" i="2"/>
  <c r="M959" i="2"/>
  <c r="M927" i="2"/>
  <c r="M911" i="2"/>
  <c r="M895" i="2"/>
  <c r="M887" i="2"/>
  <c r="M847" i="2"/>
  <c r="M831" i="2"/>
  <c r="M815" i="2"/>
  <c r="M799" i="2"/>
  <c r="M783" i="2"/>
  <c r="M767" i="2"/>
  <c r="M751" i="2"/>
  <c r="M735" i="2"/>
  <c r="M719" i="2"/>
  <c r="M703" i="2"/>
  <c r="M687" i="2"/>
  <c r="M671" i="2"/>
  <c r="M663" i="2"/>
  <c r="M647" i="2"/>
  <c r="M639" i="2"/>
  <c r="M623" i="2"/>
  <c r="M615" i="2"/>
  <c r="M607" i="2"/>
  <c r="M599" i="2"/>
  <c r="M591" i="2"/>
  <c r="M567" i="2"/>
  <c r="M559" i="2"/>
  <c r="M551" i="2"/>
  <c r="M543" i="2"/>
  <c r="M527" i="2"/>
  <c r="M519" i="2"/>
  <c r="M511" i="2"/>
  <c r="M495" i="2"/>
  <c r="M487" i="2"/>
  <c r="M479" i="2"/>
  <c r="M471" i="2"/>
  <c r="M463" i="2"/>
  <c r="M447" i="2"/>
  <c r="M431" i="2"/>
  <c r="M415" i="2"/>
  <c r="M399" i="2"/>
  <c r="M375" i="2"/>
  <c r="M343" i="2"/>
  <c r="M327" i="2"/>
  <c r="M303" i="2"/>
  <c r="M287" i="2"/>
  <c r="M271" i="2"/>
  <c r="M255" i="2"/>
  <c r="M239" i="2"/>
  <c r="M231" i="2"/>
  <c r="M215" i="2"/>
  <c r="M207" i="2"/>
  <c r="M183" i="2"/>
  <c r="M167" i="2"/>
  <c r="M127" i="2"/>
  <c r="M111" i="2"/>
  <c r="M95" i="2"/>
  <c r="M23" i="2"/>
  <c r="M744" i="2"/>
  <c r="M736" i="2"/>
  <c r="M720" i="2"/>
  <c r="M704" i="2"/>
  <c r="M688" i="2"/>
  <c r="M672" i="2"/>
  <c r="M664" i="2"/>
  <c r="M656" i="2"/>
  <c r="M640" i="2"/>
  <c r="M632" i="2"/>
  <c r="M624" i="2"/>
  <c r="M608" i="2"/>
  <c r="M600" i="2"/>
  <c r="M592" i="2"/>
  <c r="M584" i="2"/>
  <c r="M576" i="2"/>
  <c r="M560" i="2"/>
  <c r="M544" i="2"/>
  <c r="M528" i="2"/>
  <c r="M520" i="2"/>
  <c r="M512" i="2"/>
  <c r="M496" i="2"/>
  <c r="M488" i="2"/>
  <c r="M480" i="2"/>
  <c r="M464" i="2"/>
  <c r="M448" i="2"/>
  <c r="M432" i="2"/>
  <c r="M416" i="2"/>
  <c r="M408" i="2"/>
  <c r="M400" i="2"/>
  <c r="M384" i="2"/>
  <c r="M376" i="2"/>
  <c r="M368" i="2"/>
  <c r="M352" i="2"/>
  <c r="M344" i="2"/>
  <c r="M336" i="2"/>
  <c r="M320" i="2"/>
  <c r="M312" i="2"/>
  <c r="M304" i="2"/>
  <c r="M288" i="2"/>
  <c r="M280" i="2"/>
  <c r="M272" i="2"/>
  <c r="M256" i="2"/>
  <c r="M248" i="2"/>
  <c r="M240" i="2"/>
  <c r="M224" i="2"/>
  <c r="M208" i="2"/>
  <c r="M192" i="2"/>
  <c r="M184" i="2"/>
  <c r="M176" i="2"/>
  <c r="M168" i="2"/>
  <c r="M160" i="2"/>
  <c r="M144" i="2"/>
  <c r="M136" i="2"/>
  <c r="M128" i="2"/>
  <c r="M112" i="2"/>
  <c r="M104" i="2"/>
  <c r="M96" i="2"/>
  <c r="M80" i="2"/>
  <c r="M64" i="2"/>
  <c r="M48" i="2"/>
  <c r="M32" i="2"/>
  <c r="M24" i="2"/>
  <c r="M16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N325" i="2" l="1"/>
  <c r="N806" i="2"/>
  <c r="N719" i="2"/>
  <c r="N721" i="2"/>
  <c r="N886" i="2"/>
  <c r="N440" i="2"/>
  <c r="N883" i="2"/>
  <c r="N435" i="2"/>
  <c r="N326" i="2"/>
  <c r="N361" i="2"/>
  <c r="N949" i="2"/>
  <c r="N837" i="2"/>
  <c r="N751" i="2"/>
  <c r="N434" i="2"/>
  <c r="N363" i="2"/>
  <c r="N929" i="2"/>
  <c r="N294" i="2"/>
  <c r="N310" i="2"/>
  <c r="N437" i="2"/>
  <c r="N671" i="2"/>
  <c r="N928" i="2"/>
  <c r="N850" i="2"/>
  <c r="N924" i="2"/>
  <c r="N849" i="2"/>
  <c r="N707" i="2"/>
  <c r="N609" i="2"/>
  <c r="N177" i="2"/>
  <c r="N309" i="2"/>
  <c r="N54" i="2"/>
  <c r="N433" i="2"/>
  <c r="N566" i="2"/>
  <c r="N67" i="2"/>
  <c r="N105" i="2"/>
  <c r="N382" i="2"/>
  <c r="N64" i="2"/>
  <c r="N923" i="2"/>
  <c r="N290" i="2"/>
  <c r="N38" i="2"/>
  <c r="N568" i="2"/>
  <c r="N792" i="2"/>
  <c r="N1003" i="2"/>
  <c r="N894" i="2"/>
  <c r="N623" i="2"/>
  <c r="N966" i="2"/>
  <c r="N912" i="2"/>
  <c r="N839" i="2"/>
  <c r="N763" i="2"/>
  <c r="N674" i="2"/>
  <c r="N503" i="2"/>
  <c r="N367" i="2"/>
  <c r="N35" i="2"/>
  <c r="N513" i="2"/>
  <c r="N664" i="2"/>
  <c r="N199" i="2"/>
  <c r="N1008" i="2"/>
  <c r="N507" i="2"/>
  <c r="N987" i="2"/>
  <c r="N606" i="2"/>
  <c r="N291" i="2"/>
  <c r="N844" i="2"/>
  <c r="N758" i="2"/>
  <c r="N393" i="2"/>
  <c r="N789" i="2"/>
  <c r="N993" i="2"/>
  <c r="N893" i="2"/>
  <c r="N255" i="2"/>
  <c r="N965" i="2"/>
  <c r="N838" i="2"/>
  <c r="N127" i="2"/>
  <c r="N34" i="2"/>
  <c r="N796" i="2"/>
  <c r="N383" i="2"/>
  <c r="N1015" i="2"/>
  <c r="N902" i="2"/>
  <c r="N856" i="2"/>
  <c r="N818" i="2"/>
  <c r="N731" i="2"/>
  <c r="N689" i="2"/>
  <c r="N581" i="2"/>
  <c r="N470" i="2"/>
  <c r="N399" i="2"/>
  <c r="N272" i="2"/>
  <c r="N210" i="2"/>
  <c r="N108" i="2"/>
  <c r="N1014" i="2"/>
  <c r="N975" i="2"/>
  <c r="N895" i="2"/>
  <c r="N855" i="2"/>
  <c r="N678" i="2"/>
  <c r="N527" i="2"/>
  <c r="N466" i="2"/>
  <c r="N398" i="2"/>
  <c r="N327" i="2"/>
  <c r="N656" i="2"/>
  <c r="N492" i="2"/>
  <c r="N320" i="2"/>
  <c r="N254" i="2"/>
  <c r="N142" i="2"/>
  <c r="N875" i="2"/>
  <c r="N787" i="2"/>
  <c r="N741" i="2"/>
  <c r="N701" i="2"/>
  <c r="N655" i="2"/>
  <c r="N601" i="2"/>
  <c r="N101" i="2"/>
  <c r="N930" i="2"/>
  <c r="N1000" i="2"/>
  <c r="N749" i="2"/>
  <c r="N985" i="2"/>
  <c r="N947" i="2"/>
  <c r="N869" i="2"/>
  <c r="N824" i="2"/>
  <c r="N785" i="2"/>
  <c r="N697" i="2"/>
  <c r="N600" i="2"/>
  <c r="N288" i="2"/>
  <c r="N147" i="2"/>
  <c r="N32" i="2"/>
  <c r="N960" i="2"/>
  <c r="N748" i="2"/>
  <c r="N984" i="2"/>
  <c r="N641" i="2"/>
  <c r="N403" i="2"/>
  <c r="N89" i="2"/>
  <c r="N178" i="2"/>
  <c r="N397" i="2"/>
  <c r="N972" i="2"/>
  <c r="N221" i="2"/>
  <c r="N880" i="2"/>
  <c r="N800" i="2"/>
  <c r="N544" i="2"/>
  <c r="N477" i="2"/>
  <c r="N236" i="2"/>
  <c r="N941" i="2"/>
  <c r="N865" i="2"/>
  <c r="N734" i="2"/>
  <c r="N639" i="2"/>
  <c r="N536" i="2"/>
  <c r="N401" i="2"/>
  <c r="N345" i="2"/>
  <c r="N284" i="2"/>
  <c r="N215" i="2"/>
  <c r="N144" i="2"/>
  <c r="N546" i="2"/>
  <c r="N179" i="2"/>
  <c r="N847" i="2"/>
  <c r="N237" i="2"/>
  <c r="N1020" i="2"/>
  <c r="N946" i="2"/>
  <c r="N782" i="2"/>
  <c r="N696" i="2"/>
  <c r="N594" i="2"/>
  <c r="N473" i="2"/>
  <c r="N216" i="2"/>
  <c r="N145" i="2"/>
  <c r="N739" i="2"/>
  <c r="N162" i="2"/>
  <c r="N182" i="2"/>
  <c r="N905" i="2"/>
  <c r="N887" i="2"/>
  <c r="N219" i="2"/>
  <c r="N879" i="2"/>
  <c r="N543" i="2"/>
  <c r="N111" i="2"/>
  <c r="N939" i="2"/>
  <c r="N819" i="2"/>
  <c r="N777" i="2"/>
  <c r="N733" i="2"/>
  <c r="N533" i="2"/>
  <c r="N400" i="2"/>
  <c r="N331" i="2"/>
  <c r="N273" i="2"/>
  <c r="N214" i="2"/>
  <c r="N75" i="2"/>
  <c r="N16" i="2"/>
  <c r="N28" i="2"/>
  <c r="N722" i="2"/>
  <c r="N642" i="2"/>
  <c r="N579" i="2"/>
  <c r="N438" i="2"/>
  <c r="N323" i="2"/>
  <c r="N70" i="2"/>
  <c r="N217" i="2"/>
  <c r="N569" i="2"/>
  <c r="N107" i="2"/>
  <c r="N825" i="2"/>
  <c r="N957" i="2"/>
  <c r="N540" i="2"/>
  <c r="N365" i="2"/>
  <c r="N184" i="2"/>
  <c r="N990" i="2"/>
  <c r="N935" i="2"/>
  <c r="N817" i="2"/>
  <c r="N781" i="2"/>
  <c r="N605" i="2"/>
  <c r="N430" i="2"/>
  <c r="N979" i="2"/>
  <c r="N927" i="2"/>
  <c r="N898" i="2"/>
  <c r="N873" i="2"/>
  <c r="N843" i="2"/>
  <c r="N814" i="2"/>
  <c r="N784" i="2"/>
  <c r="N727" i="2"/>
  <c r="N694" i="2"/>
  <c r="N661" i="2"/>
  <c r="N631" i="2"/>
  <c r="N599" i="2"/>
  <c r="N565" i="2"/>
  <c r="N531" i="2"/>
  <c r="N499" i="2"/>
  <c r="N390" i="2"/>
  <c r="N317" i="2"/>
  <c r="N207" i="2"/>
  <c r="N134" i="2"/>
  <c r="N61" i="2"/>
  <c r="N709" i="2"/>
  <c r="N603" i="2"/>
  <c r="N91" i="2"/>
  <c r="N364" i="2"/>
  <c r="N989" i="2"/>
  <c r="N920" i="2"/>
  <c r="N877" i="2"/>
  <c r="N978" i="2"/>
  <c r="N925" i="2"/>
  <c r="N897" i="2"/>
  <c r="N840" i="2"/>
  <c r="N813" i="2"/>
  <c r="N783" i="2"/>
  <c r="N752" i="2"/>
  <c r="N726" i="2"/>
  <c r="N693" i="2"/>
  <c r="N659" i="2"/>
  <c r="N627" i="2"/>
  <c r="N563" i="2"/>
  <c r="N529" i="2"/>
  <c r="N495" i="2"/>
  <c r="N459" i="2"/>
  <c r="N422" i="2"/>
  <c r="N385" i="2"/>
  <c r="N349" i="2"/>
  <c r="N312" i="2"/>
  <c r="N275" i="2"/>
  <c r="N203" i="2"/>
  <c r="N93" i="2"/>
  <c r="N19" i="2"/>
  <c r="N472" i="2"/>
  <c r="N1019" i="2"/>
  <c r="N910" i="2"/>
  <c r="N767" i="2"/>
  <c r="N638" i="2"/>
  <c r="N588" i="2"/>
  <c r="N511" i="2"/>
  <c r="N475" i="2"/>
  <c r="N253" i="2"/>
  <c r="N104" i="2"/>
  <c r="N17" i="2"/>
  <c r="N998" i="2"/>
  <c r="N971" i="2"/>
  <c r="N945" i="2"/>
  <c r="N917" i="2"/>
  <c r="N892" i="2"/>
  <c r="N835" i="2"/>
  <c r="N803" i="2"/>
  <c r="N716" i="2"/>
  <c r="N686" i="2"/>
  <c r="N654" i="2"/>
  <c r="N620" i="2"/>
  <c r="N555" i="2"/>
  <c r="N525" i="2"/>
  <c r="N489" i="2"/>
  <c r="N453" i="2"/>
  <c r="N380" i="2"/>
  <c r="N233" i="2"/>
  <c r="N197" i="2"/>
  <c r="N160" i="2"/>
  <c r="N87" i="2"/>
  <c r="N50" i="2"/>
  <c r="N14" i="2"/>
  <c r="N526" i="2"/>
  <c r="N454" i="2"/>
  <c r="N235" i="2"/>
  <c r="N15" i="2"/>
  <c r="N306" i="2"/>
  <c r="N166" i="2"/>
  <c r="N934" i="2"/>
  <c r="N126" i="2"/>
  <c r="N174" i="2"/>
  <c r="N690" i="2"/>
  <c r="N613" i="2"/>
  <c r="N419" i="2"/>
  <c r="N950" i="2"/>
  <c r="N953" i="2"/>
  <c r="N728" i="2"/>
  <c r="N854" i="2"/>
  <c r="N747" i="2"/>
  <c r="N471" i="2"/>
  <c r="N907" i="2"/>
  <c r="N862" i="2"/>
  <c r="N811" i="2"/>
  <c r="N765" i="2"/>
  <c r="N636" i="2"/>
  <c r="N510" i="2"/>
  <c r="N347" i="2"/>
  <c r="N251" i="2"/>
  <c r="N997" i="2"/>
  <c r="N968" i="2"/>
  <c r="N943" i="2"/>
  <c r="N915" i="2"/>
  <c r="N891" i="2"/>
  <c r="N861" i="2"/>
  <c r="N802" i="2"/>
  <c r="N774" i="2"/>
  <c r="N745" i="2"/>
  <c r="N683" i="2"/>
  <c r="N653" i="2"/>
  <c r="N584" i="2"/>
  <c r="N551" i="2"/>
  <c r="N451" i="2"/>
  <c r="N415" i="2"/>
  <c r="N342" i="2"/>
  <c r="N305" i="2"/>
  <c r="N269" i="2"/>
  <c r="N232" i="2"/>
  <c r="N195" i="2"/>
  <c r="N159" i="2"/>
  <c r="N123" i="2"/>
  <c r="N86" i="2"/>
  <c r="N49" i="2"/>
  <c r="N558" i="2"/>
  <c r="N417" i="2"/>
  <c r="N344" i="2"/>
  <c r="N271" i="2"/>
  <c r="N198" i="2"/>
  <c r="N125" i="2"/>
  <c r="N691" i="2"/>
  <c r="N562" i="2"/>
  <c r="N53" i="2"/>
  <c r="N1011" i="2"/>
  <c r="N137" i="2"/>
  <c r="N72" i="2"/>
  <c r="N983" i="2"/>
  <c r="N867" i="2"/>
  <c r="N755" i="2"/>
  <c r="N675" i="2"/>
  <c r="N163" i="2"/>
  <c r="N51" i="2"/>
  <c r="N710" i="2"/>
  <c r="N13" i="2"/>
  <c r="N952" i="2"/>
  <c r="N977" i="2"/>
  <c r="N619" i="2"/>
  <c r="N456" i="2"/>
  <c r="N124" i="2"/>
  <c r="N1016" i="2"/>
  <c r="N904" i="2"/>
  <c r="N857" i="2"/>
  <c r="N561" i="2"/>
  <c r="N508" i="2"/>
  <c r="N463" i="2"/>
  <c r="N343" i="2"/>
  <c r="N289" i="2"/>
  <c r="N171" i="2"/>
  <c r="N1021" i="2"/>
  <c r="N995" i="2"/>
  <c r="N967" i="2"/>
  <c r="N942" i="2"/>
  <c r="N913" i="2"/>
  <c r="N888" i="2"/>
  <c r="N859" i="2"/>
  <c r="N801" i="2"/>
  <c r="N770" i="2"/>
  <c r="N744" i="2"/>
  <c r="N712" i="2"/>
  <c r="N679" i="2"/>
  <c r="N649" i="2"/>
  <c r="N617" i="2"/>
  <c r="N550" i="2"/>
  <c r="N518" i="2"/>
  <c r="N485" i="2"/>
  <c r="N412" i="2"/>
  <c r="N375" i="2"/>
  <c r="N338" i="2"/>
  <c r="N302" i="2"/>
  <c r="N265" i="2"/>
  <c r="N229" i="2"/>
  <c r="N119" i="2"/>
  <c r="N82" i="2"/>
  <c r="N9" i="2"/>
  <c r="N646" i="2"/>
  <c r="N616" i="2"/>
  <c r="N582" i="2"/>
  <c r="N547" i="2"/>
  <c r="N514" i="2"/>
  <c r="N481" i="2"/>
  <c r="N408" i="2"/>
  <c r="N371" i="2"/>
  <c r="N335" i="2"/>
  <c r="N299" i="2"/>
  <c r="N262" i="2"/>
  <c r="N225" i="2"/>
  <c r="N189" i="2"/>
  <c r="N152" i="2"/>
  <c r="N115" i="2"/>
  <c r="N43" i="2"/>
  <c r="N6" i="2"/>
  <c r="N129" i="2"/>
  <c r="N24" i="2"/>
  <c r="N1006" i="2"/>
  <c r="N988" i="2"/>
  <c r="N969" i="2"/>
  <c r="N951" i="2"/>
  <c r="N933" i="2"/>
  <c r="N914" i="2"/>
  <c r="N896" i="2"/>
  <c r="N878" i="2"/>
  <c r="N860" i="2"/>
  <c r="N841" i="2"/>
  <c r="N823" i="2"/>
  <c r="N805" i="2"/>
  <c r="N786" i="2"/>
  <c r="N768" i="2"/>
  <c r="N750" i="2"/>
  <c r="N732" i="2"/>
  <c r="N713" i="2"/>
  <c r="N695" i="2"/>
  <c r="N677" i="2"/>
  <c r="N658" i="2"/>
  <c r="N640" i="2"/>
  <c r="N585" i="2"/>
  <c r="N567" i="2"/>
  <c r="N549" i="2"/>
  <c r="N530" i="2"/>
  <c r="N512" i="2"/>
  <c r="N494" i="2"/>
  <c r="N476" i="2"/>
  <c r="N457" i="2"/>
  <c r="N439" i="2"/>
  <c r="N402" i="2"/>
  <c r="N384" i="2"/>
  <c r="N366" i="2"/>
  <c r="N348" i="2"/>
  <c r="N329" i="2"/>
  <c r="N311" i="2"/>
  <c r="N293" i="2"/>
  <c r="N274" i="2"/>
  <c r="N238" i="2"/>
  <c r="N220" i="2"/>
  <c r="N201" i="2"/>
  <c r="N165" i="2"/>
  <c r="N146" i="2"/>
  <c r="N110" i="2"/>
  <c r="N92" i="2"/>
  <c r="N73" i="2"/>
  <c r="N55" i="2"/>
  <c r="N37" i="2"/>
  <c r="N18" i="2"/>
  <c r="N807" i="2"/>
  <c r="N776" i="2"/>
  <c r="N737" i="2"/>
  <c r="N672" i="2"/>
  <c r="N635" i="2"/>
  <c r="N591" i="2"/>
  <c r="N528" i="2"/>
  <c r="N427" i="2"/>
  <c r="N381" i="2"/>
  <c r="N257" i="2"/>
  <c r="N161" i="2"/>
  <c r="N109" i="2"/>
  <c r="N1017" i="2"/>
  <c r="N999" i="2"/>
  <c r="N981" i="2"/>
  <c r="N962" i="2"/>
  <c r="N944" i="2"/>
  <c r="N926" i="2"/>
  <c r="N889" i="2"/>
  <c r="N853" i="2"/>
  <c r="N834" i="2"/>
  <c r="N816" i="2"/>
  <c r="N798" i="2"/>
  <c r="N780" i="2"/>
  <c r="N761" i="2"/>
  <c r="N743" i="2"/>
  <c r="N725" i="2"/>
  <c r="N706" i="2"/>
  <c r="N670" i="2"/>
  <c r="N652" i="2"/>
  <c r="N633" i="2"/>
  <c r="N615" i="2"/>
  <c r="N597" i="2"/>
  <c r="N578" i="2"/>
  <c r="N560" i="2"/>
  <c r="N542" i="2"/>
  <c r="N505" i="2"/>
  <c r="N487" i="2"/>
  <c r="N469" i="2"/>
  <c r="N450" i="2"/>
  <c r="N432" i="2"/>
  <c r="N396" i="2"/>
  <c r="N377" i="2"/>
  <c r="N359" i="2"/>
  <c r="N341" i="2"/>
  <c r="N322" i="2"/>
  <c r="N304" i="2"/>
  <c r="N286" i="2"/>
  <c r="N268" i="2"/>
  <c r="N249" i="2"/>
  <c r="N213" i="2"/>
  <c r="N194" i="2"/>
  <c r="N176" i="2"/>
  <c r="N158" i="2"/>
  <c r="N121" i="2"/>
  <c r="N103" i="2"/>
  <c r="N85" i="2"/>
  <c r="N66" i="2"/>
  <c r="N48" i="2"/>
  <c r="N12" i="2"/>
  <c r="N870" i="2"/>
  <c r="N851" i="2"/>
  <c r="N833" i="2"/>
  <c r="N815" i="2"/>
  <c r="N779" i="2"/>
  <c r="N760" i="2"/>
  <c r="N742" i="2"/>
  <c r="N723" i="2"/>
  <c r="N705" i="2"/>
  <c r="N687" i="2"/>
  <c r="N669" i="2"/>
  <c r="N651" i="2"/>
  <c r="N632" i="2"/>
  <c r="N614" i="2"/>
  <c r="N595" i="2"/>
  <c r="N577" i="2"/>
  <c r="N559" i="2"/>
  <c r="N541" i="2"/>
  <c r="N523" i="2"/>
  <c r="N504" i="2"/>
  <c r="N486" i="2"/>
  <c r="N467" i="2"/>
  <c r="N431" i="2"/>
  <c r="N395" i="2"/>
  <c r="N376" i="2"/>
  <c r="N358" i="2"/>
  <c r="N339" i="2"/>
  <c r="N321" i="2"/>
  <c r="N303" i="2"/>
  <c r="N267" i="2"/>
  <c r="N230" i="2"/>
  <c r="N211" i="2"/>
  <c r="N175" i="2"/>
  <c r="N157" i="2"/>
  <c r="N120" i="2"/>
  <c r="N102" i="2"/>
  <c r="N83" i="2"/>
  <c r="N65" i="2"/>
  <c r="N47" i="2"/>
  <c r="N11" i="2"/>
  <c r="N685" i="2"/>
  <c r="N667" i="2"/>
  <c r="N648" i="2"/>
  <c r="N630" i="2"/>
  <c r="N611" i="2"/>
  <c r="N593" i="2"/>
  <c r="N557" i="2"/>
  <c r="N539" i="2"/>
  <c r="N502" i="2"/>
  <c r="N483" i="2"/>
  <c r="N465" i="2"/>
  <c r="N447" i="2"/>
  <c r="N429" i="2"/>
  <c r="N392" i="2"/>
  <c r="N374" i="2"/>
  <c r="N355" i="2"/>
  <c r="N337" i="2"/>
  <c r="N264" i="2"/>
  <c r="N246" i="2"/>
  <c r="N227" i="2"/>
  <c r="N209" i="2"/>
  <c r="N191" i="2"/>
  <c r="N136" i="2"/>
  <c r="N118" i="2"/>
  <c r="N99" i="2"/>
  <c r="N81" i="2"/>
  <c r="N63" i="2"/>
  <c r="N45" i="2"/>
  <c r="N27" i="2"/>
  <c r="N8" i="2"/>
  <c r="N360" i="2"/>
  <c r="N183" i="2"/>
  <c r="N71" i="2"/>
  <c r="N1007" i="2"/>
  <c r="N961" i="2"/>
  <c r="N911" i="2"/>
  <c r="N876" i="2"/>
  <c r="N831" i="2"/>
  <c r="N797" i="2"/>
  <c r="N766" i="2"/>
  <c r="N711" i="2"/>
  <c r="N668" i="2"/>
  <c r="N624" i="2"/>
  <c r="N583" i="2"/>
  <c r="N524" i="2"/>
  <c r="N493" i="2"/>
  <c r="N416" i="2"/>
  <c r="N319" i="2"/>
  <c r="N285" i="2"/>
  <c r="N252" i="2"/>
  <c r="N143" i="2"/>
  <c r="N33" i="2"/>
  <c r="N1013" i="2"/>
  <c r="N994" i="2"/>
  <c r="N976" i="2"/>
  <c r="N940" i="2"/>
  <c r="N903" i="2"/>
  <c r="N885" i="2"/>
  <c r="N866" i="2"/>
  <c r="N848" i="2"/>
  <c r="N830" i="2"/>
  <c r="N812" i="2"/>
  <c r="N793" i="2"/>
  <c r="N775" i="2"/>
  <c r="N757" i="2"/>
  <c r="N720" i="2"/>
  <c r="N702" i="2"/>
  <c r="N684" i="2"/>
  <c r="N665" i="2"/>
  <c r="N647" i="2"/>
  <c r="N629" i="2"/>
  <c r="N610" i="2"/>
  <c r="N592" i="2"/>
  <c r="N574" i="2"/>
  <c r="N556" i="2"/>
  <c r="N537" i="2"/>
  <c r="N501" i="2"/>
  <c r="N464" i="2"/>
  <c r="N446" i="2"/>
  <c r="N428" i="2"/>
  <c r="N409" i="2"/>
  <c r="N391" i="2"/>
  <c r="N373" i="2"/>
  <c r="N354" i="2"/>
  <c r="N336" i="2"/>
  <c r="N300" i="2"/>
  <c r="N281" i="2"/>
  <c r="N263" i="2"/>
  <c r="N245" i="2"/>
  <c r="N226" i="2"/>
  <c r="N208" i="2"/>
  <c r="N190" i="2"/>
  <c r="N172" i="2"/>
  <c r="N153" i="2"/>
  <c r="N135" i="2"/>
  <c r="N117" i="2"/>
  <c r="N98" i="2"/>
  <c r="N62" i="2"/>
  <c r="N44" i="2"/>
  <c r="N25" i="2"/>
  <c r="N7" i="2"/>
  <c r="N931" i="2"/>
  <c r="N822" i="2"/>
  <c r="N738" i="2"/>
  <c r="N598" i="2"/>
  <c r="N482" i="2"/>
  <c r="N418" i="2"/>
  <c r="N357" i="2"/>
  <c r="N307" i="2"/>
  <c r="N243" i="2"/>
  <c r="N181" i="2"/>
  <c r="N69" i="2"/>
  <c r="N421" i="2"/>
  <c r="N921" i="2"/>
  <c r="N1001" i="2"/>
  <c r="N729" i="2"/>
  <c r="N982" i="2"/>
  <c r="N521" i="2"/>
  <c r="N88" i="2"/>
  <c r="N963" i="2"/>
  <c r="N821" i="2"/>
  <c r="N715" i="2"/>
  <c r="N587" i="2"/>
  <c r="N455" i="2"/>
  <c r="N328" i="2"/>
  <c r="N156" i="2"/>
  <c r="N1005" i="2"/>
  <c r="N959" i="2"/>
  <c r="N909" i="2"/>
  <c r="N872" i="2"/>
  <c r="N829" i="2"/>
  <c r="N795" i="2"/>
  <c r="N764" i="2"/>
  <c r="N704" i="2"/>
  <c r="N622" i="2"/>
  <c r="N576" i="2"/>
  <c r="N520" i="2"/>
  <c r="N491" i="2"/>
  <c r="N449" i="2"/>
  <c r="N414" i="2"/>
  <c r="N353" i="2"/>
  <c r="N283" i="2"/>
  <c r="N248" i="2"/>
  <c r="N200" i="2"/>
  <c r="N140" i="2"/>
  <c r="N80" i="2"/>
  <c r="N31" i="2"/>
  <c r="N1010" i="2"/>
  <c r="N992" i="2"/>
  <c r="N974" i="2"/>
  <c r="N956" i="2"/>
  <c r="N937" i="2"/>
  <c r="N919" i="2"/>
  <c r="N901" i="2"/>
  <c r="N882" i="2"/>
  <c r="N864" i="2"/>
  <c r="N846" i="2"/>
  <c r="N809" i="2"/>
  <c r="N773" i="2"/>
  <c r="N754" i="2"/>
  <c r="N718" i="2"/>
  <c r="N700" i="2"/>
  <c r="N681" i="2"/>
  <c r="N663" i="2"/>
  <c r="N645" i="2"/>
  <c r="N626" i="2"/>
  <c r="N608" i="2"/>
  <c r="N590" i="2"/>
  <c r="N572" i="2"/>
  <c r="N553" i="2"/>
  <c r="N535" i="2"/>
  <c r="N517" i="2"/>
  <c r="N498" i="2"/>
  <c r="N480" i="2"/>
  <c r="N462" i="2"/>
  <c r="N425" i="2"/>
  <c r="N407" i="2"/>
  <c r="N389" i="2"/>
  <c r="N370" i="2"/>
  <c r="N334" i="2"/>
  <c r="N316" i="2"/>
  <c r="N297" i="2"/>
  <c r="N279" i="2"/>
  <c r="N261" i="2"/>
  <c r="N242" i="2"/>
  <c r="N224" i="2"/>
  <c r="N206" i="2"/>
  <c r="N188" i="2"/>
  <c r="N169" i="2"/>
  <c r="N151" i="2"/>
  <c r="N133" i="2"/>
  <c r="N114" i="2"/>
  <c r="N96" i="2"/>
  <c r="N78" i="2"/>
  <c r="N60" i="2"/>
  <c r="N41" i="2"/>
  <c r="N23" i="2"/>
  <c r="N688" i="2"/>
  <c r="N573" i="2"/>
  <c r="N444" i="2"/>
  <c r="N155" i="2"/>
  <c r="N56" i="2"/>
  <c r="N1004" i="2"/>
  <c r="N958" i="2"/>
  <c r="N908" i="2"/>
  <c r="N871" i="2"/>
  <c r="N828" i="2"/>
  <c r="N791" i="2"/>
  <c r="N759" i="2"/>
  <c r="N703" i="2"/>
  <c r="N657" i="2"/>
  <c r="N621" i="2"/>
  <c r="N575" i="2"/>
  <c r="N519" i="2"/>
  <c r="N488" i="2"/>
  <c r="N448" i="2"/>
  <c r="N413" i="2"/>
  <c r="N280" i="2"/>
  <c r="N247" i="2"/>
  <c r="N193" i="2"/>
  <c r="N139" i="2"/>
  <c r="N79" i="2"/>
  <c r="N29" i="2"/>
  <c r="N1009" i="2"/>
  <c r="N991" i="2"/>
  <c r="N973" i="2"/>
  <c r="N955" i="2"/>
  <c r="N936" i="2"/>
  <c r="N918" i="2"/>
  <c r="N899" i="2"/>
  <c r="N881" i="2"/>
  <c r="N863" i="2"/>
  <c r="N845" i="2"/>
  <c r="N827" i="2"/>
  <c r="N808" i="2"/>
  <c r="N790" i="2"/>
  <c r="N771" i="2"/>
  <c r="N753" i="2"/>
  <c r="N735" i="2"/>
  <c r="N717" i="2"/>
  <c r="N699" i="2"/>
  <c r="N680" i="2"/>
  <c r="N662" i="2"/>
  <c r="N643" i="2"/>
  <c r="N625" i="2"/>
  <c r="N607" i="2"/>
  <c r="N589" i="2"/>
  <c r="N571" i="2"/>
  <c r="N552" i="2"/>
  <c r="N534" i="2"/>
  <c r="N515" i="2"/>
  <c r="N497" i="2"/>
  <c r="N461" i="2"/>
  <c r="N443" i="2"/>
  <c r="N424" i="2"/>
  <c r="N406" i="2"/>
  <c r="N387" i="2"/>
  <c r="N369" i="2"/>
  <c r="N351" i="2"/>
  <c r="N315" i="2"/>
  <c r="N296" i="2"/>
  <c r="N278" i="2"/>
  <c r="N259" i="2"/>
  <c r="N241" i="2"/>
  <c r="N223" i="2"/>
  <c r="N205" i="2"/>
  <c r="N187" i="2"/>
  <c r="N168" i="2"/>
  <c r="N150" i="2"/>
  <c r="N131" i="2"/>
  <c r="N113" i="2"/>
  <c r="N95" i="2"/>
  <c r="N59" i="2"/>
  <c r="N40" i="2"/>
  <c r="N22" i="2"/>
  <c r="N3" i="2"/>
  <c r="N496" i="2"/>
  <c r="N478" i="2"/>
  <c r="N460" i="2"/>
  <c r="N441" i="2"/>
  <c r="N423" i="2"/>
  <c r="N405" i="2"/>
  <c r="N386" i="2"/>
  <c r="N368" i="2"/>
  <c r="N350" i="2"/>
  <c r="N332" i="2"/>
  <c r="N313" i="2"/>
  <c r="N295" i="2"/>
  <c r="N277" i="2"/>
  <c r="N258" i="2"/>
  <c r="N240" i="2"/>
  <c r="N222" i="2"/>
  <c r="N204" i="2"/>
  <c r="N185" i="2"/>
  <c r="N167" i="2"/>
  <c r="N149" i="2"/>
  <c r="N130" i="2"/>
  <c r="N112" i="2"/>
  <c r="N94" i="2"/>
  <c r="N76" i="2"/>
  <c r="N57" i="2"/>
  <c r="N39" i="2"/>
  <c r="N21" i="2"/>
  <c r="N379" i="2"/>
  <c r="N333" i="2"/>
  <c r="N301" i="2"/>
  <c r="N270" i="2"/>
  <c r="N239" i="2"/>
  <c r="N192" i="2"/>
  <c r="N141" i="2"/>
  <c r="N97" i="2"/>
  <c r="N46" i="2"/>
  <c r="N1018" i="2"/>
  <c r="N1002" i="2"/>
  <c r="N986" i="2"/>
  <c r="N970" i="2"/>
  <c r="N954" i="2"/>
  <c r="N938" i="2"/>
  <c r="N922" i="2"/>
  <c r="N906" i="2"/>
  <c r="N890" i="2"/>
  <c r="N874" i="2"/>
  <c r="N858" i="2"/>
  <c r="N842" i="2"/>
  <c r="N826" i="2"/>
  <c r="N810" i="2"/>
  <c r="N794" i="2"/>
  <c r="N778" i="2"/>
  <c r="N762" i="2"/>
  <c r="N746" i="2"/>
  <c r="N730" i="2"/>
  <c r="N714" i="2"/>
  <c r="N698" i="2"/>
  <c r="N682" i="2"/>
  <c r="N666" i="2"/>
  <c r="N650" i="2"/>
  <c r="N634" i="2"/>
  <c r="N618" i="2"/>
  <c r="N602" i="2"/>
  <c r="N586" i="2"/>
  <c r="N570" i="2"/>
  <c r="N554" i="2"/>
  <c r="N538" i="2"/>
  <c r="N522" i="2"/>
  <c r="N506" i="2"/>
  <c r="N490" i="2"/>
  <c r="N474" i="2"/>
  <c r="N458" i="2"/>
  <c r="N442" i="2"/>
  <c r="N426" i="2"/>
  <c r="N410" i="2"/>
  <c r="N394" i="2"/>
  <c r="N378" i="2"/>
  <c r="N362" i="2"/>
  <c r="N346" i="2"/>
  <c r="N330" i="2"/>
  <c r="N314" i="2"/>
  <c r="N298" i="2"/>
  <c r="N282" i="2"/>
  <c r="N266" i="2"/>
  <c r="N250" i="2"/>
  <c r="N234" i="2"/>
  <c r="N218" i="2"/>
  <c r="N202" i="2"/>
  <c r="N186" i="2"/>
  <c r="N170" i="2"/>
  <c r="N154" i="2"/>
  <c r="N138" i="2"/>
  <c r="N122" i="2"/>
  <c r="N106" i="2"/>
  <c r="N90" i="2"/>
  <c r="N74" i="2"/>
  <c r="N58" i="2"/>
  <c r="N42" i="2"/>
  <c r="N26" i="2"/>
  <c r="N10" i="2"/>
  <c r="N832" i="2"/>
  <c r="N799" i="2"/>
  <c r="N769" i="2"/>
  <c r="N736" i="2"/>
  <c r="N673" i="2"/>
  <c r="N637" i="2"/>
  <c r="N604" i="2"/>
  <c r="N545" i="2"/>
  <c r="N509" i="2"/>
  <c r="N479" i="2"/>
  <c r="N445" i="2"/>
  <c r="N411" i="2"/>
  <c r="N352" i="2"/>
  <c r="N318" i="2"/>
  <c r="N287" i="2"/>
  <c r="N256" i="2"/>
  <c r="N231" i="2"/>
  <c r="N173" i="2"/>
  <c r="N128" i="2"/>
  <c r="N77" i="2"/>
  <c r="N30" i="2"/>
  <c r="N1012" i="2"/>
  <c r="N996" i="2"/>
  <c r="N980" i="2"/>
  <c r="N964" i="2"/>
  <c r="N948" i="2"/>
  <c r="N932" i="2"/>
  <c r="N916" i="2"/>
  <c r="N900" i="2"/>
  <c r="N884" i="2"/>
  <c r="N868" i="2"/>
  <c r="N852" i="2"/>
  <c r="N836" i="2"/>
  <c r="N820" i="2"/>
  <c r="N804" i="2"/>
  <c r="N788" i="2"/>
  <c r="N772" i="2"/>
  <c r="N756" i="2"/>
  <c r="N740" i="2"/>
  <c r="N724" i="2"/>
  <c r="N708" i="2"/>
  <c r="N692" i="2"/>
  <c r="N676" i="2"/>
  <c r="N660" i="2"/>
  <c r="N644" i="2"/>
  <c r="N628" i="2"/>
  <c r="N612" i="2"/>
  <c r="N596" i="2"/>
  <c r="N580" i="2"/>
  <c r="N564" i="2"/>
  <c r="N548" i="2"/>
  <c r="N532" i="2"/>
  <c r="N516" i="2"/>
  <c r="N500" i="2"/>
  <c r="N484" i="2"/>
  <c r="N468" i="2"/>
  <c r="N452" i="2"/>
  <c r="N436" i="2"/>
  <c r="N420" i="2"/>
  <c r="N404" i="2"/>
  <c r="N388" i="2"/>
  <c r="N372" i="2"/>
  <c r="N356" i="2"/>
  <c r="N340" i="2"/>
  <c r="N324" i="2"/>
  <c r="N308" i="2"/>
  <c r="N292" i="2"/>
  <c r="N276" i="2"/>
  <c r="N260" i="2"/>
  <c r="N244" i="2"/>
  <c r="N228" i="2"/>
  <c r="N212" i="2"/>
  <c r="N196" i="2"/>
  <c r="N180" i="2"/>
  <c r="N164" i="2"/>
  <c r="N148" i="2"/>
  <c r="N132" i="2"/>
  <c r="N116" i="2"/>
  <c r="N100" i="2"/>
  <c r="N84" i="2"/>
  <c r="N68" i="2"/>
  <c r="N52" i="2"/>
  <c r="N36" i="2"/>
  <c r="N20" i="2"/>
  <c r="N4" i="2"/>
</calcChain>
</file>

<file path=xl/sharedStrings.xml><?xml version="1.0" encoding="utf-8"?>
<sst xmlns="http://schemas.openxmlformats.org/spreadsheetml/2006/main" count="10841" uniqueCount="1628">
  <si>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</si>
  <si>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</si>
  <si>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</si>
  <si>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</si>
  <si>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</si>
  <si>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</si>
  <si>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</si>
  <si>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</si>
  <si>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</si>
  <si>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</si>
  <si>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</si>
  <si>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</si>
  <si>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</si>
  <si>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</si>
  <si>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</si>
  <si>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</si>
  <si>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</si>
  <si>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</si>
  <si>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</si>
  <si>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</si>
  <si>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</si>
  <si>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</si>
  <si>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</si>
  <si>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</si>
  <si>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</si>
  <si>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</si>
  <si>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</si>
  <si>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</si>
  <si>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</si>
  <si>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</si>
  <si>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</si>
  <si>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</si>
  <si>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</si>
  <si>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</si>
  <si>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</si>
  <si>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</si>
  <si>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</si>
  <si>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</si>
  <si>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</si>
  <si>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</si>
  <si>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</si>
  <si>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</si>
  <si>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</si>
  <si>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</si>
  <si>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</si>
  <si>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</si>
  <si>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</si>
  <si>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</si>
  <si>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</si>
  <si>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</si>
  <si>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</si>
  <si>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</si>
  <si>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</si>
  <si>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</si>
  <si>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</si>
  <si>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</si>
  <si>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</si>
  <si>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</si>
  <si>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</si>
  <si>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</si>
  <si>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</si>
  <si>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</si>
  <si>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</si>
  <si>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</si>
  <si>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</si>
  <si>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</si>
  <si>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</si>
  <si>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</si>
  <si>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</si>
  <si>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</si>
  <si>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</si>
  <si>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</si>
  <si>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</si>
  <si>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</si>
  <si>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</si>
  <si>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</si>
  <si>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</si>
  <si>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</si>
  <si>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</si>
  <si>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</si>
  <si>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</si>
  <si>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</si>
  <si>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</si>
  <si>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</si>
  <si>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</si>
  <si>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</si>
  <si>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</si>
  <si>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</si>
  <si>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</si>
  <si>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</si>
  <si>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</si>
  <si>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</si>
  <si>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</si>
  <si>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</si>
  <si>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</si>
  <si>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</si>
  <si>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</si>
  <si>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</si>
  <si>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</si>
  <si>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</si>
  <si>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</si>
  <si>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</si>
  <si>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</si>
  <si>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</si>
  <si>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</si>
  <si>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</si>
  <si>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</si>
  <si>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</si>
  <si>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</si>
  <si>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</si>
  <si>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</si>
  <si>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</si>
  <si>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</si>
  <si>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</si>
  <si>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</si>
  <si>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</si>
  <si>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</si>
  <si>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</si>
  <si>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</si>
  <si>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</si>
  <si>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</si>
  <si>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</si>
  <si>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</si>
  <si>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</si>
  <si>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</si>
  <si>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</si>
  <si>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</si>
  <si>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</si>
  <si>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</si>
  <si>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</si>
  <si>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</si>
  <si>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</si>
  <si>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</si>
  <si>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</si>
  <si>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</si>
  <si>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</si>
  <si>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</si>
  <si>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</si>
  <si>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</si>
  <si>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</si>
  <si>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</si>
  <si>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</si>
  <si>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</si>
  <si>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</si>
  <si>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</si>
  <si>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</si>
  <si>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</si>
  <si>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</si>
  <si>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</si>
  <si>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</si>
  <si>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</si>
  <si>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</si>
  <si>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</si>
  <si>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</si>
  <si>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</si>
  <si>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</si>
  <si>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</si>
  <si>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</si>
  <si>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</si>
  <si>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</si>
  <si>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</si>
  <si>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</si>
  <si>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</si>
  <si>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</si>
  <si>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</si>
  <si>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</si>
  <si>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</si>
  <si>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</si>
  <si>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</si>
  <si>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</si>
  <si>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</si>
  <si>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</si>
  <si>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</si>
  <si>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</si>
  <si>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</si>
  <si>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</si>
  <si>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</si>
  <si>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</si>
  <si>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</si>
  <si>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</si>
  <si>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</si>
  <si>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</si>
  <si>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</si>
  <si>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</si>
  <si>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</si>
  <si>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</si>
  <si>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</si>
  <si>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</si>
  <si>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</si>
  <si>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</si>
  <si>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</si>
  <si>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</si>
  <si>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</si>
  <si>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</si>
  <si>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</si>
  <si>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</si>
  <si>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</si>
  <si>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</si>
  <si>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</si>
  <si>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</si>
  <si>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</si>
  <si>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</si>
  <si>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</si>
  <si>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</si>
  <si>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</si>
  <si>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</si>
  <si>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</si>
  <si>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</si>
  <si>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</si>
  <si>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</si>
  <si>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</si>
  <si>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</si>
  <si>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</si>
  <si>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</si>
  <si>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</si>
  <si>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</si>
  <si>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</si>
  <si>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</si>
  <si>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</si>
  <si>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</si>
  <si>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</si>
  <si>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</si>
  <si>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</si>
  <si>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</si>
  <si>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</si>
  <si>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</si>
  <si>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</si>
  <si>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</si>
  <si>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</si>
  <si>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</si>
  <si>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</si>
  <si>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</si>
  <si>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</si>
  <si>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</si>
  <si>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</si>
  <si>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</si>
  <si>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</si>
  <si>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</si>
  <si>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</si>
  <si>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</si>
  <si>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</si>
  <si>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</si>
  <si>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</si>
  <si>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</si>
  <si>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</si>
  <si>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</si>
  <si>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</si>
  <si>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</si>
  <si>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</si>
  <si>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</si>
  <si>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</si>
  <si>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</si>
  <si>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</si>
  <si>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</si>
  <si>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</si>
  <si>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</si>
  <si>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</si>
  <si>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</si>
  <si>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</si>
  <si>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</si>
  <si>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</si>
  <si>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</si>
  <si>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</si>
  <si>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</si>
  <si>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</si>
  <si>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</si>
  <si>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</si>
  <si>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</si>
  <si>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</si>
  <si>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</si>
  <si>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</si>
  <si>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</si>
  <si>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</si>
  <si>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</si>
  <si>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</si>
  <si>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</si>
  <si>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</si>
  <si>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</si>
  <si>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</si>
  <si>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</si>
  <si>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</si>
  <si>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</si>
  <si>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</si>
  <si>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</si>
  <si>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</si>
  <si>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</si>
  <si>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</si>
  <si>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</si>
  <si>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</si>
  <si>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</si>
  <si>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</si>
  <si>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</si>
  <si>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</si>
  <si>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</si>
  <si>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</si>
  <si>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</si>
  <si>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</si>
  <si>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</si>
  <si>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</si>
  <si>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</si>
  <si>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</si>
  <si>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</si>
  <si>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</si>
  <si>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</si>
  <si>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</si>
  <si>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</si>
  <si>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</si>
  <si>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</si>
  <si>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</si>
  <si>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</si>
  <si>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</si>
  <si>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</si>
  <si>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</si>
  <si>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</si>
  <si>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</si>
  <si>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</si>
  <si>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</si>
  <si>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</si>
  <si>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</si>
  <si>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</si>
  <si>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</si>
  <si>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</si>
  <si>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</si>
  <si>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</si>
  <si>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</si>
  <si>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</si>
  <si>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</si>
  <si>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</si>
  <si>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</si>
  <si>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</si>
  <si>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</si>
  <si>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</si>
  <si>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</si>
  <si>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</si>
  <si>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</si>
  <si>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</si>
  <si>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</si>
  <si>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</si>
  <si>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</si>
  <si>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</si>
  <si>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</si>
  <si>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</si>
  <si>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</si>
  <si>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</si>
  <si>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</si>
  <si>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</si>
  <si>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</si>
  <si>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</si>
  <si>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</si>
  <si>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</si>
  <si>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</si>
  <si>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</si>
  <si>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</si>
  <si>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</si>
  <si>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</si>
  <si>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</si>
  <si>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</si>
  <si>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</si>
  <si>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</si>
  <si>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</si>
  <si>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</si>
  <si>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</si>
  <si>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</si>
  <si>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</si>
  <si>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</si>
  <si>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</si>
  <si>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</si>
  <si>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</si>
  <si>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</si>
  <si>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</si>
  <si>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</si>
  <si>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</si>
  <si>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</si>
  <si>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</si>
  <si>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</si>
  <si>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</si>
  <si>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</si>
  <si>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</si>
  <si>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</si>
  <si>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</si>
  <si>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</si>
  <si>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</si>
  <si>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</si>
  <si>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</si>
  <si>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</si>
  <si>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</si>
  <si>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</si>
  <si>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</si>
  <si>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</si>
  <si>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</si>
  <si>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</si>
  <si>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</si>
  <si>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</si>
  <si>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</si>
  <si>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</si>
  <si>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</si>
  <si>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</si>
  <si>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</si>
  <si>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</si>
  <si>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</si>
  <si>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</si>
  <si>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</si>
  <si>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</si>
  <si>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</si>
  <si>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</si>
  <si>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</si>
  <si>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</si>
  <si>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</si>
  <si>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</si>
  <si>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</si>
  <si>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</si>
  <si>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</si>
  <si>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</si>
  <si>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</si>
  <si>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</si>
  <si>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</si>
  <si>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</si>
  <si>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</si>
  <si>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</si>
  <si>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</si>
  <si>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</si>
  <si>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</si>
  <si>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</si>
  <si>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</si>
  <si>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</si>
  <si>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</si>
  <si>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</si>
  <si>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</si>
  <si>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</si>
  <si>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</si>
  <si>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</si>
  <si>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</si>
  <si>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</si>
  <si>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</si>
  <si>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</si>
  <si>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</si>
  <si>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</si>
  <si>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</si>
  <si>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</si>
  <si>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</si>
  <si>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</si>
  <si>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</si>
  <si>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</si>
  <si>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</si>
  <si>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</si>
  <si>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</si>
  <si>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</si>
  <si>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</si>
  <si>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</si>
  <si>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</si>
  <si>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</si>
  <si>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</si>
  <si>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</si>
  <si>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</si>
  <si>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</si>
  <si>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</si>
  <si>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</si>
  <si>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</si>
  <si>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</si>
  <si>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</si>
  <si>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</si>
  <si>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</si>
  <si>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</si>
  <si>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</si>
  <si>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</si>
  <si>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</si>
  <si>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</si>
  <si>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</si>
  <si>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</si>
  <si>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</si>
  <si>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</si>
  <si>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</si>
  <si>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</si>
  <si>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</si>
  <si>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</si>
  <si>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</si>
  <si>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</si>
  <si>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</si>
  <si>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</si>
  <si>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</si>
  <si>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</si>
  <si>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</si>
  <si>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</si>
  <si>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</si>
  <si>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</si>
  <si>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</si>
  <si>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</si>
  <si>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</si>
  <si>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</si>
  <si>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</si>
  <si>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</si>
  <si>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</si>
  <si>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</si>
  <si>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</si>
  <si>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</si>
  <si>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</si>
  <si>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</si>
  <si>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</si>
  <si>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</si>
  <si>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</si>
  <si>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</si>
  <si>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</si>
  <si>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</si>
  <si>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</si>
  <si>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</si>
  <si>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</si>
  <si>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</si>
  <si>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</si>
  <si>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</si>
  <si>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</si>
  <si>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</si>
  <si>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</si>
  <si>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</si>
  <si>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</si>
  <si>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</si>
  <si>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</si>
  <si>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</si>
  <si>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</si>
  <si>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</si>
  <si>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</si>
  <si>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</si>
  <si>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</si>
  <si>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</si>
  <si>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</si>
  <si>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</si>
  <si>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</si>
  <si>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</si>
  <si>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</si>
  <si>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</si>
  <si>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</si>
  <si>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</si>
  <si>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</si>
  <si>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</si>
  <si>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</si>
  <si>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</si>
  <si>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</si>
  <si>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</si>
  <si>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</si>
  <si>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</si>
  <si>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</si>
  <si>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</si>
  <si>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</si>
  <si>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</si>
  <si>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</si>
  <si>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</si>
  <si>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</si>
  <si>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</si>
  <si>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</si>
  <si>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</si>
  <si>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</si>
  <si>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</si>
  <si>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</si>
  <si>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</si>
  <si>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</si>
  <si>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</si>
  <si>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</si>
  <si>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</si>
  <si>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</si>
  <si>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</si>
  <si>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</si>
  <si>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</si>
  <si>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</si>
  <si>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</si>
  <si>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</si>
  <si>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</si>
  <si>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</si>
  <si>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</si>
  <si>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</si>
  <si>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</si>
  <si>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</si>
  <si>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</si>
  <si>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</si>
  <si>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</si>
  <si>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</si>
  <si>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</si>
  <si>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</si>
  <si>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</si>
  <si>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</si>
  <si>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</si>
  <si>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</si>
  <si>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</si>
  <si>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</si>
  <si>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</si>
  <si>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</si>
  <si>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</si>
  <si>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</si>
  <si>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</si>
  <si>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</si>
  <si>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</si>
  <si>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</si>
  <si>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</si>
  <si>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</si>
  <si>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</si>
  <si>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</si>
  <si>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</si>
  <si>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</si>
  <si>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</si>
  <si>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</si>
  <si>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</si>
  <si>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</si>
  <si>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</si>
  <si>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</si>
  <si>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</si>
  <si>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</si>
  <si>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</si>
  <si>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</si>
  <si>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</si>
  <si>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</si>
  <si>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</si>
  <si>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</si>
  <si>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</si>
  <si>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</si>
  <si>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</si>
  <si>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</si>
  <si>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</si>
  <si>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</si>
  <si>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</si>
  <si>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</si>
  <si>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</si>
  <si>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</si>
  <si>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</si>
  <si>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</si>
  <si>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</si>
  <si>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</si>
  <si>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</si>
  <si>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</si>
  <si>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</si>
  <si>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</si>
  <si>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</si>
  <si>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</si>
  <si>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</si>
  <si>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</si>
  <si>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</si>
  <si>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</si>
  <si>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</si>
  <si>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</si>
  <si>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</si>
  <si>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</si>
  <si>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</si>
  <si>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</si>
  <si>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</si>
  <si>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</si>
  <si>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</si>
  <si>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</si>
  <si>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</si>
  <si>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</si>
  <si>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</si>
  <si>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</si>
  <si>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</si>
  <si>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</si>
  <si>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</si>
  <si>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</si>
  <si>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</si>
  <si>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</si>
  <si>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</si>
  <si>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</si>
  <si>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</si>
  <si>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</si>
  <si>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</si>
  <si>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</si>
  <si>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</si>
  <si>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</si>
  <si>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</si>
  <si>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</si>
  <si>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</si>
  <si>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</si>
  <si>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</si>
  <si>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</si>
  <si>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</si>
  <si>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</si>
  <si>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</si>
  <si>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</si>
  <si>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</si>
  <si>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</si>
  <si>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</si>
  <si>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</si>
  <si>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</si>
  <si>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</si>
  <si>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</si>
  <si>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</si>
  <si>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</si>
  <si>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</si>
  <si>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</si>
  <si>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</si>
  <si>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</si>
  <si>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</si>
  <si>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</si>
  <si>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</si>
  <si>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</si>
  <si>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</si>
  <si>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</si>
  <si>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</si>
  <si>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</si>
  <si>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</si>
  <si>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</si>
  <si>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</si>
  <si>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</si>
  <si>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</si>
  <si>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</si>
  <si>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</si>
  <si>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</si>
  <si>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</si>
  <si>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</si>
  <si>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</si>
  <si>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</si>
  <si>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</si>
  <si>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</si>
  <si>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</si>
  <si>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</si>
  <si>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</si>
  <si>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</si>
  <si>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</si>
  <si>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</si>
  <si>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</si>
  <si>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</si>
  <si>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</si>
  <si>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</si>
  <si>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</si>
  <si>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</si>
  <si>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</si>
  <si>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</si>
  <si>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</si>
  <si>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</si>
  <si>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</si>
  <si>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</si>
  <si>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</si>
  <si>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</si>
  <si>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</si>
  <si>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</si>
  <si>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</si>
  <si>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</si>
  <si>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</si>
  <si>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</si>
  <si>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</si>
  <si>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</si>
  <si>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</si>
  <si>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</si>
  <si>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</si>
  <si>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</si>
  <si>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</si>
  <si>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</si>
  <si>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</si>
  <si>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</si>
  <si>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</si>
  <si>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</si>
  <si>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</si>
  <si>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</si>
  <si>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</si>
  <si>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</si>
  <si>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</si>
  <si>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</si>
  <si>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</si>
  <si>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</si>
  <si>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</si>
  <si>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</si>
  <si>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</si>
  <si>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</si>
  <si>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</si>
  <si>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</si>
  <si>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</si>
  <si>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</si>
  <si>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</si>
  <si>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</si>
  <si>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</si>
  <si>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</si>
  <si>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</si>
  <si>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</si>
  <si>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</si>
  <si>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</si>
  <si>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</si>
  <si>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</si>
  <si>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</si>
  <si>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</si>
  <si>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</si>
  <si>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</si>
  <si>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</si>
  <si>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</si>
  <si>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</si>
  <si>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</si>
  <si>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</si>
  <si>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</si>
  <si>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</si>
  <si>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</si>
  <si>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</si>
  <si>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</si>
  <si>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</si>
  <si>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</si>
  <si>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</si>
  <si>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</si>
  <si>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</si>
  <si>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</si>
  <si>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</si>
  <si>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</si>
  <si>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</si>
  <si>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</si>
  <si>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</si>
  <si>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</si>
  <si>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</si>
  <si>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</si>
  <si>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</si>
  <si>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</si>
  <si>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</si>
  <si>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</si>
  <si>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</si>
  <si>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</si>
  <si>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</si>
  <si>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</si>
  <si>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</si>
  <si>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</si>
  <si>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</si>
  <si>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</si>
  <si>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</si>
  <si>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</si>
  <si>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</si>
  <si>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</si>
  <si>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</si>
  <si>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</si>
  <si>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</si>
  <si>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</si>
  <si>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</si>
  <si>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</si>
  <si>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</si>
  <si>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</si>
  <si>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</si>
  <si>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</si>
  <si>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</si>
  <si>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</si>
  <si>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</si>
  <si>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</si>
  <si>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</si>
  <si>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</si>
  <si>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</si>
  <si>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</si>
  <si>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</si>
  <si>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</si>
  <si>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</si>
  <si>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</si>
  <si>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</si>
  <si>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</si>
  <si>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</si>
  <si>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</si>
  <si>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</si>
  <si>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</si>
  <si>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</si>
  <si>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</si>
  <si>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</si>
  <si>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</si>
  <si>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</si>
  <si>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</si>
  <si>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</si>
  <si>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</si>
  <si>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</si>
  <si>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</si>
  <si>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</si>
  <si>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</si>
  <si>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</si>
  <si>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</si>
  <si>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</si>
  <si>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</si>
  <si>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</si>
  <si>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</si>
  <si>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</si>
  <si>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</si>
  <si>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</si>
  <si>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</si>
  <si>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</si>
  <si>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</si>
  <si>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</si>
  <si>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</si>
  <si>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</si>
  <si>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</si>
  <si>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</si>
  <si>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</si>
  <si>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</si>
  <si>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</si>
  <si>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</si>
  <si>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</si>
  <si>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</si>
  <si>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</si>
  <si>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</si>
  <si>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</si>
  <si>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</si>
  <si>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</si>
  <si>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</si>
  <si>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</si>
  <si>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</si>
  <si>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</si>
  <si>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</si>
  <si>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</si>
  <si>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</si>
  <si>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</si>
  <si>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</si>
  <si>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</si>
  <si>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</si>
  <si>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</si>
  <si>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</si>
  <si>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</si>
  <si>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</si>
  <si>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</si>
  <si>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</si>
  <si>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</si>
  <si>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</si>
  <si>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</si>
  <si>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</si>
  <si>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</si>
  <si>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</si>
  <si>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</si>
  <si>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</si>
  <si>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</si>
  <si>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</si>
  <si>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</si>
  <si>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</si>
  <si>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</si>
  <si>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</si>
  <si>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</si>
  <si>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</si>
  <si>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</si>
  <si>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</si>
  <si>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</si>
  <si>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</si>
  <si>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</si>
  <si>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</si>
  <si>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</si>
  <si>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</si>
  <si>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</si>
  <si>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</si>
  <si>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</si>
  <si>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</si>
  <si>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</si>
  <si>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</si>
  <si>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</si>
  <si>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</si>
  <si>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</si>
  <si>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</si>
  <si>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</si>
  <si>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</si>
  <si>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</si>
  <si>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</si>
  <si>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</si>
  <si>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</si>
  <si>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</si>
  <si>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</si>
  <si>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</si>
  <si>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</si>
  <si>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</si>
  <si>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</si>
  <si>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</si>
  <si>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</si>
  <si>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</si>
  <si>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</si>
  <si>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</si>
  <si>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</si>
  <si>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</si>
  <si>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</si>
  <si>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</si>
  <si>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</si>
  <si>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</si>
  <si>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</si>
  <si>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</si>
  <si>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</si>
  <si>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</si>
  <si>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</si>
  <si>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</si>
  <si>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</si>
  <si>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</si>
  <si>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</si>
  <si>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</si>
  <si>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</si>
  <si>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</si>
  <si>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</si>
  <si>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</si>
  <si>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</si>
  <si>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</si>
  <si>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</si>
  <si>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</si>
  <si>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</si>
  <si>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</si>
  <si>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</si>
  <si>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</si>
  <si>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</si>
  <si>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</si>
  <si>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</si>
  <si>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</si>
  <si>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</si>
  <si>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</si>
  <si>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</si>
  <si>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</si>
  <si>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</si>
  <si>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</si>
  <si>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</si>
  <si>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</si>
  <si>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</si>
  <si>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</si>
  <si>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</si>
  <si>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</si>
  <si>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</si>
  <si>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</si>
  <si>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</si>
  <si>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</si>
  <si>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</si>
  <si>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</si>
  <si>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</si>
  <si>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</si>
  <si>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</si>
  <si>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</si>
  <si>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</si>
  <si>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</si>
  <si>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</si>
  <si>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</si>
  <si>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</si>
  <si>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</si>
  <si>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</si>
  <si>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</si>
  <si>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</si>
  <si>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</si>
  <si>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</si>
  <si>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</si>
  <si>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</si>
  <si>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</si>
  <si>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</si>
  <si>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</si>
  <si>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</si>
  <si>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</si>
  <si>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</si>
  <si>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</si>
  <si>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</si>
  <si>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</si>
  <si>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</si>
  <si>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</si>
  <si>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</si>
  <si>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</si>
  <si>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</si>
  <si>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</si>
  <si>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</si>
  <si>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</si>
  <si>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</si>
  <si>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</si>
  <si>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</si>
  <si>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</si>
  <si>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</si>
  <si>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</si>
  <si>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</si>
  <si>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</si>
  <si>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</si>
  <si>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</si>
  <si>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</si>
  <si>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</si>
  <si>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</si>
  <si>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</si>
  <si>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</si>
  <si>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</si>
  <si>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</si>
  <si>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</si>
  <si>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</si>
  <si>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</si>
  <si>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</si>
  <si>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</si>
  <si>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</si>
  <si>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</si>
  <si>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</si>
  <si>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</si>
  <si>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</si>
  <si>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</si>
  <si>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</si>
  <si>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</si>
  <si>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</si>
  <si>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</si>
  <si>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</si>
  <si>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</si>
  <si>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</si>
  <si>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</si>
  <si>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</si>
  <si>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</si>
  <si>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</si>
  <si>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</si>
  <si>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</si>
  <si>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</si>
  <si>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</si>
  <si>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</si>
  <si>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</si>
  <si>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</si>
  <si>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</si>
  <si>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</si>
  <si>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</si>
  <si>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</si>
  <si>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</si>
  <si>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</si>
  <si>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</si>
  <si>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</si>
  <si>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</si>
  <si>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</si>
  <si>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</si>
  <si>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</si>
  <si>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</si>
  <si>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</si>
  <si>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</si>
  <si>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</si>
  <si>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</si>
  <si>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</si>
  <si>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</si>
  <si>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</si>
  <si>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</si>
  <si>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</si>
  <si>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</si>
  <si>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</si>
  <si>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</si>
  <si>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</si>
  <si>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</si>
  <si>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</si>
  <si>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</si>
  <si>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</si>
  <si>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</si>
  <si>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</si>
  <si>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</si>
  <si>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</si>
  <si>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</si>
  <si>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</si>
  <si>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</si>
  <si>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</si>
  <si>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</si>
  <si>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</si>
  <si>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</si>
  <si>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</si>
  <si>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</si>
  <si>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</si>
  <si>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</si>
  <si>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</si>
  <si>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</si>
  <si>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</si>
  <si>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</si>
  <si>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</si>
  <si>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</si>
  <si>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</si>
  <si>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</si>
  <si>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</si>
  <si>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</si>
  <si>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</si>
  <si>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</si>
  <si>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</si>
  <si>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</si>
  <si>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</si>
  <si>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</si>
  <si>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</si>
  <si>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</si>
  <si>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</si>
  <si>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</si>
  <si>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</si>
  <si>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</si>
  <si>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</si>
  <si>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</si>
  <si>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</si>
  <si>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</si>
  <si>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</si>
  <si>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</si>
  <si>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</si>
  <si>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</si>
  <si>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</si>
  <si>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</si>
  <si>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</si>
  <si>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</si>
  <si>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</si>
  <si>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</si>
  <si>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</si>
  <si>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</si>
  <si>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</si>
  <si>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</si>
  <si>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</si>
  <si>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</si>
  <si>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</si>
  <si>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</si>
  <si>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</si>
  <si>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</si>
  <si>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</si>
  <si>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</si>
  <si>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</si>
  <si>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</si>
  <si>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</si>
  <si>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</si>
  <si>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</si>
  <si>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</si>
  <si>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</si>
  <si>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</si>
  <si>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</si>
  <si>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</si>
  <si>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</si>
  <si>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</si>
  <si>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</si>
  <si>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</si>
  <si>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</si>
  <si>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</si>
  <si>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</si>
  <si>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</si>
  <si>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</si>
  <si>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</si>
  <si>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</si>
  <si>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</si>
  <si>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</si>
  <si>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</si>
  <si>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</si>
  <si>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</si>
  <si>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</si>
  <si>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</si>
  <si>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</si>
  <si>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</si>
  <si>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</si>
  <si>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</si>
  <si>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</si>
  <si>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</si>
  <si>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</si>
  <si>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</si>
  <si>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</si>
  <si>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</si>
  <si>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</si>
  <si>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</si>
  <si>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</si>
  <si>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</si>
  <si>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</si>
  <si>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</si>
  <si>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</si>
  <si>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</si>
  <si>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</si>
  <si>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</si>
  <si>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</si>
  <si>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</si>
  <si>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</si>
  <si>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</si>
  <si>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</si>
  <si>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</si>
  <si>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</si>
  <si>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</si>
  <si>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</si>
  <si>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</si>
  <si>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</si>
  <si>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</si>
  <si>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</si>
  <si>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</si>
  <si>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</si>
  <si>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</si>
  <si>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</si>
  <si>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</si>
  <si>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</si>
  <si>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</si>
  <si>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</si>
  <si>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</si>
  <si>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</si>
  <si>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</si>
  <si>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</si>
  <si>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</si>
  <si>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</si>
  <si>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</si>
  <si>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</si>
  <si>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</si>
  <si>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</si>
  <si>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</si>
  <si>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</si>
  <si>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</si>
  <si>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</si>
  <si>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</si>
  <si>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</si>
  <si>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</si>
  <si>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</si>
  <si>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</si>
  <si>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</si>
  <si>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</si>
  <si>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</si>
  <si>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</si>
  <si>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</si>
  <si>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</si>
  <si>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</si>
  <si>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</si>
  <si>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</si>
  <si>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</si>
  <si>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</si>
  <si>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</si>
  <si>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</si>
  <si>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</si>
  <si>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</si>
  <si>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</si>
  <si>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</si>
  <si>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</si>
  <si>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</si>
  <si>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</si>
  <si>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</si>
  <si>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</si>
  <si>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</si>
  <si>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</si>
  <si>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</si>
  <si>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</si>
  <si>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</si>
  <si>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</si>
  <si>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</si>
  <si>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</si>
  <si>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</si>
  <si>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</si>
  <si>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</si>
  <si>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</si>
  <si>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</si>
  <si>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</si>
  <si>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</si>
  <si>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</si>
  <si>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</si>
  <si>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</si>
  <si>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</si>
  <si>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</si>
  <si>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</si>
  <si>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</si>
  <si>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</si>
  <si>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</si>
  <si>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</si>
  <si>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</si>
  <si>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</si>
  <si>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</si>
  <si>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</si>
  <si>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</si>
  <si>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</si>
  <si>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</si>
  <si>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</si>
  <si>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</si>
  <si>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</si>
  <si>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</si>
  <si>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</si>
  <si>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</si>
  <si>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</si>
  <si>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</si>
  <si>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</si>
  <si>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</si>
  <si>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</si>
  <si>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</si>
  <si>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</si>
  <si>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</si>
  <si>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</si>
  <si>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</si>
  <si>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</si>
  <si>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</si>
  <si>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</si>
  <si>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</si>
  <si>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</si>
  <si>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</si>
  <si>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</si>
  <si>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</si>
  <si>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</si>
  <si>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</si>
  <si>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</si>
  <si>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</si>
  <si>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</si>
  <si>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</si>
  <si>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</si>
  <si>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</si>
  <si>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</si>
  <si>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</si>
  <si>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</si>
  <si>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</si>
  <si>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</si>
  <si>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</si>
  <si>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</si>
  <si>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</si>
  <si>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</si>
  <si>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</si>
  <si>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</si>
  <si>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</si>
  <si>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</si>
  <si>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</si>
  <si>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</si>
  <si>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</si>
  <si>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</si>
  <si>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</si>
  <si>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</si>
  <si>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</si>
  <si>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</si>
  <si>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</si>
  <si>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</si>
  <si>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</si>
  <si>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</si>
  <si>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</si>
  <si>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</si>
  <si>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</si>
  <si>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</si>
  <si>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</si>
  <si>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</si>
  <si>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</si>
  <si>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</si>
  <si>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</si>
  <si>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</si>
  <si>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</si>
  <si>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</si>
  <si>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</si>
  <si>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</si>
  <si>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</si>
  <si>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</si>
  <si>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</si>
  <si>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</si>
  <si>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</si>
  <si>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</si>
  <si>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</si>
  <si>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</si>
  <si>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</si>
  <si>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</si>
  <si>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</si>
  <si>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</si>
  <si>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</si>
  <si>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</si>
  <si>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</si>
  <si>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</si>
  <si>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</si>
  <si>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</si>
  <si>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</si>
  <si>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</si>
  <si>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</si>
  <si>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</si>
  <si>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</si>
  <si>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</si>
  <si>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</si>
  <si>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</si>
  <si>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</si>
  <si>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</si>
  <si>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</si>
  <si>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</si>
  <si>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</si>
  <si>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</si>
  <si>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</si>
  <si>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</si>
  <si>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</si>
  <si>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</si>
  <si>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</si>
  <si>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</si>
  <si>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</si>
  <si>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</si>
  <si>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</si>
  <si>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</si>
  <si>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</si>
  <si>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</si>
  <si>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</si>
  <si>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</si>
  <si>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</si>
  <si>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</si>
  <si>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</si>
  <si>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</si>
  <si>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</si>
  <si>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</si>
  <si>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</si>
  <si>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</si>
  <si>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</si>
  <si>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</si>
  <si>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</si>
  <si>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</si>
  <si>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</si>
  <si>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</si>
  <si>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</si>
  <si>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</si>
  <si>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</si>
  <si>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</si>
  <si>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</si>
  <si>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</si>
  <si>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</si>
  <si>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</si>
  <si>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</si>
  <si>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</si>
  <si>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</si>
  <si>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</si>
  <si>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</si>
  <si>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</si>
  <si>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</si>
  <si>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</si>
  <si>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</si>
  <si>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</si>
  <si>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</si>
  <si>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</si>
  <si>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</si>
  <si>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</si>
  <si>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</si>
  <si>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</si>
  <si>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</si>
  <si>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</si>
  <si>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</si>
  <si>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</si>
  <si>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</si>
  <si>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</si>
  <si>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</si>
  <si>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</si>
  <si>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</si>
  <si>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</si>
  <si>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</si>
  <si>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</si>
  <si>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</si>
  <si>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</si>
  <si>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</si>
  <si>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</si>
  <si>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</si>
  <si>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</si>
  <si>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</si>
  <si>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</si>
  <si>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</si>
  <si>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</si>
  <si>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</si>
  <si>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</si>
  <si>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</si>
  <si>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</si>
  <si>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</si>
  <si>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</si>
  <si>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</si>
  <si>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</si>
  <si>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</si>
  <si>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</si>
  <si>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</si>
  <si>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</si>
  <si>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</si>
  <si>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</si>
  <si>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</si>
  <si>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</si>
  <si>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</si>
  <si>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</si>
  <si>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</si>
  <si>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</si>
  <si>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</si>
  <si>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</si>
  <si>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</si>
  <si>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</si>
  <si>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</si>
  <si>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</si>
  <si>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</si>
  <si>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</si>
  <si>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</si>
  <si>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</si>
  <si>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</si>
  <si>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</si>
  <si>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</si>
  <si>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</si>
  <si>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</si>
  <si>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</si>
  <si>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</si>
  <si>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</si>
  <si>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</si>
  <si>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</si>
  <si>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</si>
  <si>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</si>
  <si>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</si>
  <si>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</si>
  <si>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</si>
  <si>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</si>
  <si>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</si>
  <si>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</si>
  <si>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</si>
  <si>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</si>
  <si>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</si>
  <si>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</si>
  <si>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</si>
  <si>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</si>
  <si>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</si>
  <si>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</si>
  <si>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</si>
  <si>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</si>
  <si>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</si>
  <si>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</si>
  <si>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</si>
  <si>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</si>
  <si>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</si>
  <si>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</si>
  <si>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</si>
  <si>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</si>
  <si>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</si>
  <si>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</si>
  <si>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</si>
  <si>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</si>
  <si>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</si>
  <si>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</si>
  <si>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</si>
  <si>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</si>
  <si>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</si>
  <si>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</si>
  <si>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</si>
  <si>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</si>
  <si>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</si>
  <si>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</si>
  <si>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</si>
  <si>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</si>
  <si>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</si>
  <si>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</si>
  <si>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</si>
  <si>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</si>
  <si>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</si>
  <si>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</si>
  <si>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</si>
  <si>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</si>
  <si>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</si>
  <si>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</si>
  <si>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</si>
  <si>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</si>
  <si>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</si>
  <si>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</si>
  <si>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</si>
  <si>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</si>
  <si>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</si>
  <si>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</si>
  <si>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</si>
  <si>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</si>
  <si>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</si>
  <si>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</si>
  <si>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</si>
  <si>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</si>
  <si>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</si>
  <si>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</si>
  <si>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</si>
  <si>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</si>
  <si>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</si>
  <si>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</si>
  <si>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</si>
  <si>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</si>
  <si>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</si>
  <si>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</si>
  <si>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</si>
  <si>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</si>
  <si>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</si>
  <si>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</si>
  <si>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</si>
  <si>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</si>
  <si>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</si>
  <si>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</si>
  <si>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</si>
  <si>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</si>
  <si>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</si>
  <si>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</si>
  <si>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</si>
  <si>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</si>
  <si>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Full Name</t>
  </si>
  <si>
    <t>Join_Month</t>
  </si>
  <si>
    <t>Join_Year</t>
  </si>
  <si>
    <t>Department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</si>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</sst>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EA1B3-5A92-436E-8F7E-17459F57650B}" name="Table1" displayName="Table1" ref="A1:L1021" totalsRowShown="0" headerRowDxfId="13" dataDxfId="12">
  <autoFilter ref="A1:L1021" xr:uid="{767EA1B3-5A92-436E-8F7E-17459F57650B}"/>
  <tableColumns count="12">
    <tableColumn id="1" xr3:uid="{21FDBB63-D4E7-4073-B151-57D9D8E32595}" name="Employee_ID" dataDxfId="11"/>
    <tableColumn id="2" xr3:uid="{A8C54D8D-6936-4E9E-8D3F-F54614C28EAF}" name="First_Name" dataDxfId="10"/>
    <tableColumn id="3" xr3:uid="{A4A6FBC9-BB83-44E8-A904-7FE4C3E03125}" name="Last_Name" dataDxfId="9"/>
    <tableColumn id="4" xr3:uid="{66CB290E-21A6-4C21-B9F4-872E7C32FFB1}" name="Age" dataDxfId="8"/>
    <tableColumn id="5" xr3:uid="{29E49259-17D9-4C44-AE5B-AE30387916B4}" name="Department_Region" dataDxfId="7"/>
    <tableColumn id="6" xr3:uid="{61990394-00B3-4A16-AFD6-43F16FC5CAA9}" name="Status" dataDxfId="6"/>
    <tableColumn id="7" xr3:uid="{91C23AA0-F715-42F7-932D-E6299669BC6A}" name="Join_Date" dataDxfId="5"/>
    <tableColumn id="8" xr3:uid="{64F6852E-0416-4D4F-9780-15C6AC239DD2}" name="Salary" dataDxfId="4"/>
    <tableColumn id="9" xr3:uid="{D0CD68C7-4A48-47CE-920A-7CB53B52A2E8}" name="Email" dataDxfId="3"/>
    <tableColumn id="10" xr3:uid="{DDDD9C69-F1D7-46EF-A50A-5A2394C482E3}" name="Phone" dataDxfId="2"/>
    <tableColumn id="11" xr3:uid="{7A155431-4797-48A7-9EC4-B8216448F356}" name="Performance_Score" dataDxfId="1"/>
    <tableColumn id="12" xr3:uid="{3B236110-BF09-404B-814E-52BC059B77B4}" name="Remote_Work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54E5B-0E54-43E0-97B0-7A47DA12F069}" name="Table13" displayName="Table13" ref="A1:Q1021" totalsRowShown="0" headerRowDxfId="50" dataDxfId="49" totalsRowDxfId="48">
  <autoFilter ref="A1:Q1021" xr:uid="{A5154E5B-0E54-43E0-97B0-7A47DA12F069}"/>
  <tableColumns count="17">
    <tableColumn id="1" xr3:uid="{51FD0B0B-46EE-4722-9E76-21B5A6E23CF6}" name="Employee_ID" dataDxfId="47" totalsRowDxfId="46">
      <calculatedColumnFormula>TRIM(Table1[[#This Row],[Employee_ID]])</calculatedColumnFormula>
    </tableColumn>
    <tableColumn id="2" xr3:uid="{2EAC6F35-548E-44DA-BD98-12472197D586}" name="First_Name" dataDxfId="45" totalsRowDxfId="44">
      <calculatedColumnFormula>PROPER(TRIM(Table1[[#This Row],[First_Name]]))</calculatedColumnFormula>
    </tableColumn>
    <tableColumn id="3" xr3:uid="{52134246-EA24-40CB-9B39-D53F2AFFF887}" name="Last_Name" dataDxfId="43" totalsRowDxfId="42">
      <calculatedColumnFormula>PROPER(TRIM(Table1[[#This Row],[Last_Name]]))</calculatedColumnFormula>
    </tableColumn>
    <tableColumn id="4" xr3:uid="{965BF42E-4BBF-499A-A284-2683E12BDBBA}" name="Age" dataDxfId="41" totalsRowDxfId="40">
      <calculatedColumnFormula>IF(Table1[[#This Row],[Age]]="",AVERAGE(Table1[Age]),Table1[[#This Row],[Age]])</calculatedColumnFormula>
    </tableColumn>
    <tableColumn id="21" xr3:uid="{8F3604F0-EC29-4C25-806D-E8D449F42CC4}" name="Department_Region" dataDxfId="39" totalsRowDxfId="38"/>
    <tableColumn id="6" xr3:uid="{8F2BB228-622A-45E3-8C1E-0CCEFDE73285}" name="Status" dataDxfId="37" totalsRowDxfId="36"/>
    <tableColumn id="7" xr3:uid="{E830DBF7-4BBA-43AD-A469-0310785778D2}" name="Join_Date" dataDxfId="35" totalsRowDxfId="34">
      <calculatedColumnFormula>IF(ISNUMBER('Main Project Raw Data'!G2),'Main Project Raw Data'!G2,IF(ISNUMBER(SEARCH("/",'Main Project Raw Data'!G2)),DATE(RIGHT('Main Project Raw Data'!G2,4),LEFT('Main Project Raw Data'!G2,FIND("/",'Main Project Raw Data'!G2)-1),MID('Main Project Raw Data'!G2,FIND("/",'Main Project Raw Data'!G2)+1,2)),DATE(RIGHT('Main Project Raw Data'!G2,4),MID('Main Project Raw Data'!G2,4,2),LEFT('Main Project Raw Data'!G2,2))))</calculatedColumnFormula>
    </tableColumn>
    <tableColumn id="8" xr3:uid="{5CD3A9FF-1BC3-41D9-B80F-4F6F9B68F90F}" name="Salary" dataDxfId="33" totalsRowDxfId="32">
      <calculatedColumnFormula>IF(Table1[[#This Row],[Salary]]="",AVERAGE(Table1[Salary]),Table1[[#This Row],[Salary]])</calculatedColumnFormula>
    </tableColumn>
    <tableColumn id="9" xr3:uid="{CE6452BF-430A-4133-8869-C58D51AE9F62}" name="Email" dataDxfId="31" totalsRowDxfId="30">
      <calculatedColumnFormula>LOWER(TRIM(Table1[[#This Row],[Email]]))</calculatedColumnFormula>
    </tableColumn>
    <tableColumn id="10" xr3:uid="{E2978AE4-D73D-4ED4-AC7E-4DF92502C0FE}" name="Phone" dataDxfId="29" totalsRowDxfId="28">
      <calculatedColumnFormula>ABS(Table1[[#This Row],[Phone]])</calculatedColumnFormula>
    </tableColumn>
    <tableColumn id="11" xr3:uid="{23847B98-28B5-4FD9-B4DC-139734D481AB}" name="Performance_Score" dataDxfId="27" totalsRowDxfId="26">
      <calculatedColumnFormula>PROPER(TRIM(Table1[[#This Row],[Performance_Score]]))</calculatedColumnFormula>
    </tableColumn>
    <tableColumn id="12" xr3:uid="{767E733B-E99D-4760-84EF-AC546AEC3249}" name="Remote_Work" dataDxfId="25" totalsRowDxfId="24">
      <calculatedColumnFormula>Table1[[#This Row],[Remote_Work]]</calculatedColumnFormula>
    </tableColumn>
    <tableColumn id="15" xr3:uid="{FB1A6369-C482-4043-8B31-6FE216FD9C60}" name="Full Name" dataDxfId="23" totalsRowDxfId="22">
      <calculatedColumnFormula>PROPER(CONCATENATE(Table13[[#This Row],[First_Name]], Table13[[#This Row],[Last_Name]]))</calculatedColumnFormula>
    </tableColumn>
    <tableColumn id="13" xr3:uid="{C1A03373-45DB-43B8-9E0D-11B1DBF4AF9B}" name="Join_Month" dataDxfId="21" totalsRowDxfId="20">
      <calculatedColumnFormula>TEXT(G2,"mmm")</calculatedColumnFormula>
    </tableColumn>
    <tableColumn id="16" xr3:uid="{5292B60A-699C-4FD2-8F7D-1A9783408AE2}" name="Join_Year" dataDxfId="19" totalsRowDxfId="18">
      <calculatedColumnFormula>TEXT(Table13[[#This Row],[Join_Date]],"yyyy")</calculatedColumnFormula>
    </tableColumn>
    <tableColumn id="20" xr3:uid="{2A2D2597-1C26-48F2-83B3-023C3D9E4C55}" name="Department" dataDxfId="17" totalsRowDxfId="16">
      <calculatedColumnFormula>LEFT('Main Project Raw Data'!E2,FIND("-",'Main Project Raw Data'!E2)-1)</calculatedColumnFormula>
    </tableColumn>
    <tableColumn id="22" xr3:uid="{9122DF34-DD3E-4F28-A999-E9CB829C2922}" name="Region" dataDxfId="15" totalsRowDxfId="14">
      <calculatedColumnFormula>RIGHT('Main Project Raw Data'!E2,LEN('Main Project Raw Data'!E2)-FIND("-",'Main Project Raw Data'!E2))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CD72-3076-4CBA-8D9F-8EAB547AFE61}">
  <dimension ref="A1:L1021"/>
  <sheetViews>
    <sheetView workbookViewId="0">
      <selection activeCell="G5" sqref="G5"/>
    </sheetView>
  </sheetViews>
  <sheetFormatPr defaultRowHeight="14.4" x14ac:dyDescent="0.3"/>
  <cols>
    <col min="1" max="1" width="14" customWidth="1"/>
    <col min="2" max="2" width="14.44140625" customWidth="1"/>
    <col min="3" max="3" width="16.77734375" customWidth="1"/>
    <col min="4" max="4" width="11.109375" customWidth="1"/>
    <col min="5" max="5" width="19.77734375" customWidth="1"/>
    <col min="6" max="6" width="13.21875" customWidth="1"/>
    <col min="7" max="7" width="15.21875" customWidth="1"/>
    <col min="8" max="8" width="12.44140625" customWidth="1"/>
    <col min="9" max="9" width="22.5546875" customWidth="1"/>
    <col min="10" max="10" width="17.33203125" customWidth="1"/>
    <col min="11" max="11" width="19.44140625" customWidth="1"/>
    <col min="12" max="12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25</v>
      </c>
      <c r="E2" s="1" t="s">
        <v>15</v>
      </c>
      <c r="F2" s="1" t="s">
        <v>16</v>
      </c>
      <c r="G2" s="2">
        <v>44231</v>
      </c>
      <c r="H2" s="1">
        <v>59767.65</v>
      </c>
      <c r="I2" s="1" t="s">
        <v>17</v>
      </c>
      <c r="J2" s="1">
        <v>-1651623197</v>
      </c>
      <c r="K2" s="1" t="s">
        <v>18</v>
      </c>
      <c r="L2" s="1" t="b">
        <v>1</v>
      </c>
    </row>
    <row r="3" spans="1:12" x14ac:dyDescent="0.3">
      <c r="A3" s="1" t="s">
        <v>19</v>
      </c>
      <c r="B3" s="1" t="s">
        <v>13</v>
      </c>
      <c r="C3" s="1" t="s">
        <v>20</v>
      </c>
      <c r="D3" s="1"/>
      <c r="E3" s="1" t="s">
        <v>21</v>
      </c>
      <c r="F3" s="1" t="s">
        <v>16</v>
      </c>
      <c r="G3" s="2">
        <v>44111</v>
      </c>
      <c r="H3" s="1">
        <v>65304.66</v>
      </c>
      <c r="I3" s="1" t="s">
        <v>22</v>
      </c>
      <c r="J3" s="1">
        <v>-1898471390</v>
      </c>
      <c r="K3" s="1" t="s">
        <v>23</v>
      </c>
      <c r="L3" s="1" t="b">
        <v>1</v>
      </c>
    </row>
    <row r="4" spans="1:12" x14ac:dyDescent="0.3">
      <c r="A4" s="1" t="s">
        <v>24</v>
      </c>
      <c r="B4" s="1" t="s">
        <v>25</v>
      </c>
      <c r="C4" s="1" t="s">
        <v>26</v>
      </c>
      <c r="D4" s="1"/>
      <c r="E4" s="1" t="s">
        <v>27</v>
      </c>
      <c r="F4" s="1" t="s">
        <v>28</v>
      </c>
      <c r="G4" s="2">
        <v>45119</v>
      </c>
      <c r="H4" s="1">
        <v>88145.9</v>
      </c>
      <c r="I4" s="1" t="s">
        <v>29</v>
      </c>
      <c r="J4" s="1">
        <v>-5596363211</v>
      </c>
      <c r="K4" s="1" t="s">
        <v>30</v>
      </c>
      <c r="L4" s="1" t="b">
        <v>1</v>
      </c>
    </row>
    <row r="5" spans="1:12" x14ac:dyDescent="0.3">
      <c r="A5" s="1" t="s">
        <v>31</v>
      </c>
      <c r="B5" s="1" t="s">
        <v>32</v>
      </c>
      <c r="C5" s="1" t="s">
        <v>14</v>
      </c>
      <c r="D5" s="1">
        <v>25</v>
      </c>
      <c r="E5" s="1" t="s">
        <v>27</v>
      </c>
      <c r="F5" s="1" t="s">
        <v>33</v>
      </c>
      <c r="G5" s="1" t="s">
        <v>34</v>
      </c>
      <c r="H5" s="1">
        <v>69450.990000000005</v>
      </c>
      <c r="I5" s="1" t="s">
        <v>35</v>
      </c>
      <c r="J5" s="1">
        <v>-3476490784</v>
      </c>
      <c r="K5" s="1" t="s">
        <v>30</v>
      </c>
      <c r="L5" s="1" t="b">
        <v>1</v>
      </c>
    </row>
    <row r="6" spans="1:12" x14ac:dyDescent="0.3">
      <c r="A6" s="1" t="s">
        <v>36</v>
      </c>
      <c r="B6" s="1" t="s">
        <v>37</v>
      </c>
      <c r="C6" s="1" t="s">
        <v>38</v>
      </c>
      <c r="D6" s="1">
        <v>25</v>
      </c>
      <c r="E6" s="1" t="s">
        <v>39</v>
      </c>
      <c r="F6" s="1" t="s">
        <v>16</v>
      </c>
      <c r="G6" s="2">
        <v>44682</v>
      </c>
      <c r="H6" s="1">
        <v>109324.61</v>
      </c>
      <c r="I6" s="1" t="s">
        <v>40</v>
      </c>
      <c r="J6" s="1">
        <v>-1586734256</v>
      </c>
      <c r="K6" s="1" t="s">
        <v>41</v>
      </c>
      <c r="L6" s="1" t="b">
        <v>0</v>
      </c>
    </row>
    <row r="7" spans="1:12" x14ac:dyDescent="0.3">
      <c r="A7" s="1" t="s">
        <v>42</v>
      </c>
      <c r="B7" s="1" t="s">
        <v>25</v>
      </c>
      <c r="C7" s="1" t="s">
        <v>43</v>
      </c>
      <c r="D7" s="1">
        <v>40</v>
      </c>
      <c r="E7" s="1" t="s">
        <v>44</v>
      </c>
      <c r="F7" s="1" t="s">
        <v>33</v>
      </c>
      <c r="G7" s="2">
        <v>44110</v>
      </c>
      <c r="H7" s="1">
        <v>88642.84</v>
      </c>
      <c r="I7" s="1" t="s">
        <v>45</v>
      </c>
      <c r="J7" s="1">
        <v>-5409003485</v>
      </c>
      <c r="K7" s="1" t="s">
        <v>30</v>
      </c>
      <c r="L7" s="1" t="b">
        <v>0</v>
      </c>
    </row>
    <row r="8" spans="1:12" x14ac:dyDescent="0.3">
      <c r="A8" s="1" t="s">
        <v>46</v>
      </c>
      <c r="B8" s="1" t="s">
        <v>37</v>
      </c>
      <c r="C8" s="1" t="s">
        <v>26</v>
      </c>
      <c r="D8" s="1"/>
      <c r="E8" s="1" t="s">
        <v>27</v>
      </c>
      <c r="F8" s="1" t="s">
        <v>16</v>
      </c>
      <c r="G8" s="2">
        <v>43894</v>
      </c>
      <c r="H8" s="1">
        <v>96288.43</v>
      </c>
      <c r="I8" s="1" t="s">
        <v>47</v>
      </c>
      <c r="J8" s="1">
        <v>-4518376063</v>
      </c>
      <c r="K8" s="1" t="s">
        <v>30</v>
      </c>
      <c r="L8" s="1" t="b">
        <v>0</v>
      </c>
    </row>
    <row r="9" spans="1:12" x14ac:dyDescent="0.3">
      <c r="A9" s="1" t="s">
        <v>48</v>
      </c>
      <c r="B9" s="1" t="s">
        <v>13</v>
      </c>
      <c r="C9" s="1" t="s">
        <v>26</v>
      </c>
      <c r="D9" s="1">
        <v>30</v>
      </c>
      <c r="E9" s="1" t="s">
        <v>39</v>
      </c>
      <c r="F9" s="1" t="s">
        <v>33</v>
      </c>
      <c r="G9" s="1" t="s">
        <v>49</v>
      </c>
      <c r="H9" s="1">
        <v>94497.91</v>
      </c>
      <c r="I9" s="1" t="s">
        <v>50</v>
      </c>
      <c r="J9" s="1">
        <v>-4134327559</v>
      </c>
      <c r="K9" s="1" t="s">
        <v>18</v>
      </c>
      <c r="L9" s="1" t="b">
        <v>1</v>
      </c>
    </row>
    <row r="10" spans="1:12" x14ac:dyDescent="0.3">
      <c r="A10" s="1" t="s">
        <v>51</v>
      </c>
      <c r="B10" s="1" t="s">
        <v>37</v>
      </c>
      <c r="C10" s="1" t="s">
        <v>14</v>
      </c>
      <c r="D10" s="1">
        <v>35</v>
      </c>
      <c r="E10" s="1" t="s">
        <v>27</v>
      </c>
      <c r="F10" s="1" t="s">
        <v>33</v>
      </c>
      <c r="G10" s="2">
        <v>45150</v>
      </c>
      <c r="H10" s="1">
        <v>115565.82</v>
      </c>
      <c r="I10" s="1" t="s">
        <v>52</v>
      </c>
      <c r="J10" s="1">
        <v>-4177656123</v>
      </c>
      <c r="K10" s="1" t="s">
        <v>23</v>
      </c>
      <c r="L10" s="1" t="b">
        <v>1</v>
      </c>
    </row>
    <row r="11" spans="1:12" x14ac:dyDescent="0.3">
      <c r="A11" s="1" t="s">
        <v>53</v>
      </c>
      <c r="B11" s="1" t="s">
        <v>54</v>
      </c>
      <c r="C11" s="1" t="s">
        <v>55</v>
      </c>
      <c r="D11" s="1"/>
      <c r="E11" s="1" t="s">
        <v>56</v>
      </c>
      <c r="F11" s="1" t="s">
        <v>16</v>
      </c>
      <c r="G11" s="2">
        <v>44659</v>
      </c>
      <c r="H11" s="1">
        <v>76561.88</v>
      </c>
      <c r="I11" s="1" t="s">
        <v>57</v>
      </c>
      <c r="J11" s="1">
        <v>-8156985699</v>
      </c>
      <c r="K11" s="1" t="s">
        <v>23</v>
      </c>
      <c r="L11" s="1" t="b">
        <v>1</v>
      </c>
    </row>
    <row r="12" spans="1:12" x14ac:dyDescent="0.3">
      <c r="A12" s="1" t="s">
        <v>58</v>
      </c>
      <c r="B12" s="1" t="s">
        <v>59</v>
      </c>
      <c r="C12" s="1" t="s">
        <v>38</v>
      </c>
      <c r="D12" s="1">
        <v>35</v>
      </c>
      <c r="E12" s="1" t="s">
        <v>60</v>
      </c>
      <c r="F12" s="1" t="s">
        <v>16</v>
      </c>
      <c r="G12" s="2">
        <v>45450</v>
      </c>
      <c r="H12" s="1">
        <v>72081.710000000006</v>
      </c>
      <c r="I12" s="1" t="s">
        <v>61</v>
      </c>
      <c r="J12" s="1">
        <v>-2720634590</v>
      </c>
      <c r="K12" s="1" t="s">
        <v>18</v>
      </c>
      <c r="L12" s="1" t="b">
        <v>0</v>
      </c>
    </row>
    <row r="13" spans="1:12" x14ac:dyDescent="0.3">
      <c r="A13" s="1" t="s">
        <v>62</v>
      </c>
      <c r="B13" s="1" t="s">
        <v>59</v>
      </c>
      <c r="C13" s="1" t="s">
        <v>14</v>
      </c>
      <c r="D13" s="1"/>
      <c r="E13" s="1" t="s">
        <v>15</v>
      </c>
      <c r="F13" s="1" t="s">
        <v>16</v>
      </c>
      <c r="G13" s="2">
        <v>45025</v>
      </c>
      <c r="H13" s="1">
        <v>84946.19</v>
      </c>
      <c r="I13" s="1" t="s">
        <v>63</v>
      </c>
      <c r="J13" s="1">
        <v>-1238296576</v>
      </c>
      <c r="K13" s="1" t="s">
        <v>41</v>
      </c>
      <c r="L13" s="1" t="b">
        <v>1</v>
      </c>
    </row>
    <row r="14" spans="1:12" x14ac:dyDescent="0.3">
      <c r="A14" s="1" t="s">
        <v>64</v>
      </c>
      <c r="B14" s="1" t="s">
        <v>65</v>
      </c>
      <c r="C14" s="1" t="s">
        <v>38</v>
      </c>
      <c r="D14" s="1">
        <v>30</v>
      </c>
      <c r="E14" s="1" t="s">
        <v>66</v>
      </c>
      <c r="F14" s="1" t="s">
        <v>16</v>
      </c>
      <c r="G14" s="2">
        <v>45415</v>
      </c>
      <c r="H14" s="1">
        <v>89295.77</v>
      </c>
      <c r="I14" s="1" t="s">
        <v>67</v>
      </c>
      <c r="J14" s="1">
        <v>-2429543164</v>
      </c>
      <c r="K14" s="1" t="s">
        <v>23</v>
      </c>
      <c r="L14" s="1" t="b">
        <v>0</v>
      </c>
    </row>
    <row r="15" spans="1:12" x14ac:dyDescent="0.3">
      <c r="A15" s="1" t="s">
        <v>68</v>
      </c>
      <c r="B15" s="1" t="s">
        <v>69</v>
      </c>
      <c r="C15" s="1" t="s">
        <v>38</v>
      </c>
      <c r="D15" s="1"/>
      <c r="E15" s="1" t="s">
        <v>70</v>
      </c>
      <c r="F15" s="1" t="s">
        <v>16</v>
      </c>
      <c r="G15" s="2">
        <v>44114</v>
      </c>
      <c r="H15" s="1">
        <v>85666.84</v>
      </c>
      <c r="I15" s="1" t="s">
        <v>71</v>
      </c>
      <c r="J15" s="1">
        <v>-2669300892</v>
      </c>
      <c r="K15" s="1" t="s">
        <v>30</v>
      </c>
      <c r="L15" s="1" t="b">
        <v>0</v>
      </c>
    </row>
    <row r="16" spans="1:12" x14ac:dyDescent="0.3">
      <c r="A16" s="1" t="s">
        <v>72</v>
      </c>
      <c r="B16" s="1" t="s">
        <v>25</v>
      </c>
      <c r="C16" s="1" t="s">
        <v>43</v>
      </c>
      <c r="D16" s="1">
        <v>25</v>
      </c>
      <c r="E16" s="1" t="s">
        <v>27</v>
      </c>
      <c r="F16" s="1" t="s">
        <v>16</v>
      </c>
      <c r="G16" s="2">
        <v>45571</v>
      </c>
      <c r="H16" s="1">
        <v>97633.68</v>
      </c>
      <c r="I16" s="1" t="s">
        <v>45</v>
      </c>
      <c r="J16" s="1">
        <v>-1734206968</v>
      </c>
      <c r="K16" s="1" t="s">
        <v>23</v>
      </c>
      <c r="L16" s="1" t="b">
        <v>1</v>
      </c>
    </row>
    <row r="17" spans="1:12" x14ac:dyDescent="0.3">
      <c r="A17" s="1" t="s">
        <v>73</v>
      </c>
      <c r="B17" s="1" t="s">
        <v>69</v>
      </c>
      <c r="C17" s="1" t="s">
        <v>26</v>
      </c>
      <c r="D17" s="1">
        <v>40</v>
      </c>
      <c r="E17" s="1" t="s">
        <v>74</v>
      </c>
      <c r="F17" s="1" t="s">
        <v>28</v>
      </c>
      <c r="G17" s="1" t="s">
        <v>75</v>
      </c>
      <c r="H17" s="1">
        <v>117975.49</v>
      </c>
      <c r="I17" s="1" t="s">
        <v>76</v>
      </c>
      <c r="J17" s="1">
        <v>-4215291085</v>
      </c>
      <c r="K17" s="1" t="s">
        <v>30</v>
      </c>
      <c r="L17" s="1" t="b">
        <v>1</v>
      </c>
    </row>
    <row r="18" spans="1:12" x14ac:dyDescent="0.3">
      <c r="A18" s="1" t="s">
        <v>77</v>
      </c>
      <c r="B18" s="1" t="s">
        <v>25</v>
      </c>
      <c r="C18" s="1" t="s">
        <v>20</v>
      </c>
      <c r="D18" s="1">
        <v>25</v>
      </c>
      <c r="E18" s="1" t="s">
        <v>78</v>
      </c>
      <c r="F18" s="1" t="s">
        <v>33</v>
      </c>
      <c r="G18" s="1" t="s">
        <v>79</v>
      </c>
      <c r="H18" s="1">
        <v>94867.33</v>
      </c>
      <c r="I18" s="1" t="s">
        <v>80</v>
      </c>
      <c r="J18" s="1">
        <v>-7713334475</v>
      </c>
      <c r="K18" s="1" t="s">
        <v>41</v>
      </c>
      <c r="L18" s="1" t="b">
        <v>0</v>
      </c>
    </row>
    <row r="19" spans="1:12" x14ac:dyDescent="0.3">
      <c r="A19" s="1" t="s">
        <v>81</v>
      </c>
      <c r="B19" s="1" t="s">
        <v>69</v>
      </c>
      <c r="C19" s="1" t="s">
        <v>43</v>
      </c>
      <c r="D19" s="1">
        <v>30</v>
      </c>
      <c r="E19" s="1" t="s">
        <v>21</v>
      </c>
      <c r="F19" s="1" t="s">
        <v>28</v>
      </c>
      <c r="G19" s="1" t="s">
        <v>82</v>
      </c>
      <c r="H19" s="1">
        <v>100377.65</v>
      </c>
      <c r="I19" s="1" t="s">
        <v>83</v>
      </c>
      <c r="J19" s="1">
        <v>-2639343625</v>
      </c>
      <c r="K19" s="1" t="s">
        <v>18</v>
      </c>
      <c r="L19" s="1" t="b">
        <v>1</v>
      </c>
    </row>
    <row r="20" spans="1:12" x14ac:dyDescent="0.3">
      <c r="A20" s="1" t="s">
        <v>84</v>
      </c>
      <c r="B20" s="1" t="s">
        <v>54</v>
      </c>
      <c r="C20" s="1" t="s">
        <v>43</v>
      </c>
      <c r="D20" s="1"/>
      <c r="E20" s="1" t="s">
        <v>85</v>
      </c>
      <c r="F20" s="1" t="s">
        <v>33</v>
      </c>
      <c r="G20" s="1" t="s">
        <v>86</v>
      </c>
      <c r="H20" s="1">
        <v>94726.46</v>
      </c>
      <c r="I20" s="1" t="s">
        <v>87</v>
      </c>
      <c r="J20" s="1">
        <v>-2044397358</v>
      </c>
      <c r="K20" s="1" t="s">
        <v>23</v>
      </c>
      <c r="L20" s="1" t="b">
        <v>0</v>
      </c>
    </row>
    <row r="21" spans="1:12" x14ac:dyDescent="0.3">
      <c r="A21" s="1" t="s">
        <v>88</v>
      </c>
      <c r="B21" s="1" t="s">
        <v>54</v>
      </c>
      <c r="C21" s="1" t="s">
        <v>38</v>
      </c>
      <c r="D21" s="1">
        <v>35</v>
      </c>
      <c r="E21" s="1" t="s">
        <v>89</v>
      </c>
      <c r="F21" s="1" t="s">
        <v>28</v>
      </c>
      <c r="G21" s="2">
        <v>43862</v>
      </c>
      <c r="H21" s="1">
        <v>91926.12</v>
      </c>
      <c r="I21" s="1" t="s">
        <v>90</v>
      </c>
      <c r="J21" s="1">
        <v>-7107256365</v>
      </c>
      <c r="K21" s="1" t="s">
        <v>18</v>
      </c>
      <c r="L21" s="1" t="b">
        <v>1</v>
      </c>
    </row>
    <row r="22" spans="1:12" x14ac:dyDescent="0.3">
      <c r="A22" s="1" t="s">
        <v>91</v>
      </c>
      <c r="B22" s="1" t="s">
        <v>13</v>
      </c>
      <c r="C22" s="1" t="s">
        <v>92</v>
      </c>
      <c r="D22" s="1">
        <v>35</v>
      </c>
      <c r="E22" s="1" t="s">
        <v>66</v>
      </c>
      <c r="F22" s="1" t="s">
        <v>16</v>
      </c>
      <c r="G22" s="2">
        <v>44413</v>
      </c>
      <c r="H22" s="1">
        <v>111460.67</v>
      </c>
      <c r="I22" s="1" t="s">
        <v>93</v>
      </c>
      <c r="J22" s="1">
        <v>-9411800536</v>
      </c>
      <c r="K22" s="1" t="s">
        <v>23</v>
      </c>
      <c r="L22" s="1" t="b">
        <v>1</v>
      </c>
    </row>
    <row r="23" spans="1:12" x14ac:dyDescent="0.3">
      <c r="A23" s="1" t="s">
        <v>94</v>
      </c>
      <c r="B23" s="1" t="s">
        <v>13</v>
      </c>
      <c r="C23" s="1" t="s">
        <v>26</v>
      </c>
      <c r="D23" s="1">
        <v>40</v>
      </c>
      <c r="E23" s="1" t="s">
        <v>95</v>
      </c>
      <c r="F23" s="1" t="s">
        <v>16</v>
      </c>
      <c r="G23" s="1" t="s">
        <v>96</v>
      </c>
      <c r="H23" s="1">
        <v>96182.56</v>
      </c>
      <c r="I23" s="1" t="s">
        <v>50</v>
      </c>
      <c r="J23" s="1">
        <v>-5990048963</v>
      </c>
      <c r="K23" s="1" t="s">
        <v>30</v>
      </c>
      <c r="L23" s="1" t="b">
        <v>0</v>
      </c>
    </row>
    <row r="24" spans="1:12" x14ac:dyDescent="0.3">
      <c r="A24" s="1" t="s">
        <v>97</v>
      </c>
      <c r="B24" s="1" t="s">
        <v>54</v>
      </c>
      <c r="C24" s="1" t="s">
        <v>55</v>
      </c>
      <c r="D24" s="1">
        <v>35</v>
      </c>
      <c r="E24" s="1" t="s">
        <v>98</v>
      </c>
      <c r="F24" s="1" t="s">
        <v>33</v>
      </c>
      <c r="G24" s="2">
        <v>44442</v>
      </c>
      <c r="H24" s="1">
        <v>115023.94</v>
      </c>
      <c r="I24" s="1" t="s">
        <v>57</v>
      </c>
      <c r="J24" s="1">
        <v>-6528092427</v>
      </c>
      <c r="K24" s="1" t="s">
        <v>18</v>
      </c>
      <c r="L24" s="1" t="b">
        <v>1</v>
      </c>
    </row>
    <row r="25" spans="1:12" x14ac:dyDescent="0.3">
      <c r="A25" s="1" t="s">
        <v>99</v>
      </c>
      <c r="B25" s="1" t="s">
        <v>59</v>
      </c>
      <c r="C25" s="1" t="s">
        <v>43</v>
      </c>
      <c r="D25" s="1">
        <v>35</v>
      </c>
      <c r="E25" s="1" t="s">
        <v>100</v>
      </c>
      <c r="F25" s="1" t="s">
        <v>28</v>
      </c>
      <c r="G25" s="2">
        <v>44622</v>
      </c>
      <c r="H25" s="1">
        <v>80667.009999999995</v>
      </c>
      <c r="I25" s="1" t="s">
        <v>101</v>
      </c>
      <c r="J25" s="1">
        <v>-7572158623</v>
      </c>
      <c r="K25" s="1" t="s">
        <v>23</v>
      </c>
      <c r="L25" s="1" t="b">
        <v>0</v>
      </c>
    </row>
    <row r="26" spans="1:12" x14ac:dyDescent="0.3">
      <c r="A26" s="1" t="s">
        <v>102</v>
      </c>
      <c r="B26" s="1" t="s">
        <v>13</v>
      </c>
      <c r="C26" s="1" t="s">
        <v>20</v>
      </c>
      <c r="D26" s="1">
        <v>30</v>
      </c>
      <c r="E26" s="1" t="s">
        <v>103</v>
      </c>
      <c r="F26" s="1" t="s">
        <v>33</v>
      </c>
      <c r="G26" s="1" t="s">
        <v>104</v>
      </c>
      <c r="H26" s="1">
        <v>91181.61</v>
      </c>
      <c r="I26" s="1" t="s">
        <v>22</v>
      </c>
      <c r="J26" s="1">
        <v>-1502745643</v>
      </c>
      <c r="K26" s="1" t="s">
        <v>30</v>
      </c>
      <c r="L26" s="1" t="b">
        <v>1</v>
      </c>
    </row>
    <row r="27" spans="1:12" x14ac:dyDescent="0.3">
      <c r="A27" s="1" t="s">
        <v>105</v>
      </c>
      <c r="B27" s="1" t="s">
        <v>59</v>
      </c>
      <c r="C27" s="1" t="s">
        <v>92</v>
      </c>
      <c r="D27" s="1">
        <v>25</v>
      </c>
      <c r="E27" s="1" t="s">
        <v>85</v>
      </c>
      <c r="F27" s="1" t="s">
        <v>28</v>
      </c>
      <c r="G27" s="1" t="s">
        <v>106</v>
      </c>
      <c r="H27" s="1">
        <v>66025.919999999998</v>
      </c>
      <c r="I27" s="1" t="s">
        <v>107</v>
      </c>
      <c r="J27" s="1">
        <v>-9485625727</v>
      </c>
      <c r="K27" s="1" t="s">
        <v>18</v>
      </c>
      <c r="L27" s="1" t="b">
        <v>0</v>
      </c>
    </row>
    <row r="28" spans="1:12" x14ac:dyDescent="0.3">
      <c r="A28" s="1" t="s">
        <v>108</v>
      </c>
      <c r="B28" s="1" t="s">
        <v>37</v>
      </c>
      <c r="C28" s="1" t="s">
        <v>92</v>
      </c>
      <c r="D28" s="1">
        <v>25</v>
      </c>
      <c r="E28" s="1" t="s">
        <v>109</v>
      </c>
      <c r="F28" s="1" t="s">
        <v>33</v>
      </c>
      <c r="G28" s="2">
        <v>44967</v>
      </c>
      <c r="H28" s="1">
        <v>83979.01</v>
      </c>
      <c r="I28" s="1" t="s">
        <v>110</v>
      </c>
      <c r="J28" s="1">
        <v>-7032032073</v>
      </c>
      <c r="K28" s="1" t="s">
        <v>18</v>
      </c>
      <c r="L28" s="1" t="b">
        <v>0</v>
      </c>
    </row>
    <row r="29" spans="1:12" x14ac:dyDescent="0.3">
      <c r="A29" s="1" t="s">
        <v>111</v>
      </c>
      <c r="B29" s="1" t="s">
        <v>65</v>
      </c>
      <c r="C29" s="1" t="s">
        <v>55</v>
      </c>
      <c r="D29" s="1">
        <v>30</v>
      </c>
      <c r="E29" s="1" t="s">
        <v>112</v>
      </c>
      <c r="F29" s="1" t="s">
        <v>16</v>
      </c>
      <c r="G29" s="2">
        <v>44172</v>
      </c>
      <c r="H29" s="1">
        <v>56785.16</v>
      </c>
      <c r="I29" s="1" t="s">
        <v>113</v>
      </c>
      <c r="J29" s="1">
        <v>-2761707586</v>
      </c>
      <c r="K29" s="1" t="s">
        <v>23</v>
      </c>
      <c r="L29" s="1" t="b">
        <v>1</v>
      </c>
    </row>
    <row r="30" spans="1:12" x14ac:dyDescent="0.3">
      <c r="A30" s="1" t="s">
        <v>114</v>
      </c>
      <c r="B30" s="1" t="s">
        <v>69</v>
      </c>
      <c r="C30" s="1" t="s">
        <v>43</v>
      </c>
      <c r="D30" s="1">
        <v>40</v>
      </c>
      <c r="E30" s="1" t="s">
        <v>100</v>
      </c>
      <c r="F30" s="1" t="s">
        <v>16</v>
      </c>
      <c r="G30" s="2">
        <v>45240</v>
      </c>
      <c r="H30" s="1">
        <v>95741.88</v>
      </c>
      <c r="I30" s="1" t="s">
        <v>83</v>
      </c>
      <c r="J30" s="1">
        <v>-7712151341</v>
      </c>
      <c r="K30" s="1" t="s">
        <v>23</v>
      </c>
      <c r="L30" s="1" t="b">
        <v>0</v>
      </c>
    </row>
    <row r="31" spans="1:12" x14ac:dyDescent="0.3">
      <c r="A31" s="1" t="s">
        <v>115</v>
      </c>
      <c r="B31" s="1" t="s">
        <v>25</v>
      </c>
      <c r="C31" s="1" t="s">
        <v>20</v>
      </c>
      <c r="D31" s="1">
        <v>40</v>
      </c>
      <c r="E31" s="1" t="s">
        <v>15</v>
      </c>
      <c r="F31" s="1" t="s">
        <v>16</v>
      </c>
      <c r="G31" s="1" t="s">
        <v>116</v>
      </c>
      <c r="H31" s="1">
        <v>63411.31</v>
      </c>
      <c r="I31" s="1" t="s">
        <v>80</v>
      </c>
      <c r="J31" s="1">
        <v>-2849939088</v>
      </c>
      <c r="K31" s="1" t="s">
        <v>23</v>
      </c>
      <c r="L31" s="1" t="b">
        <v>1</v>
      </c>
    </row>
    <row r="32" spans="1:12" x14ac:dyDescent="0.3">
      <c r="A32" s="1" t="s">
        <v>117</v>
      </c>
      <c r="B32" s="1" t="s">
        <v>54</v>
      </c>
      <c r="C32" s="1" t="s">
        <v>26</v>
      </c>
      <c r="D32" s="1">
        <v>40</v>
      </c>
      <c r="E32" s="1" t="s">
        <v>118</v>
      </c>
      <c r="F32" s="1" t="s">
        <v>33</v>
      </c>
      <c r="G32" s="1" t="s">
        <v>119</v>
      </c>
      <c r="H32" s="1">
        <v>111214.02</v>
      </c>
      <c r="I32" s="1" t="s">
        <v>120</v>
      </c>
      <c r="J32" s="1">
        <v>-2613715040</v>
      </c>
      <c r="K32" s="1" t="s">
        <v>30</v>
      </c>
      <c r="L32" s="1" t="b">
        <v>1</v>
      </c>
    </row>
    <row r="33" spans="1:12" x14ac:dyDescent="0.3">
      <c r="A33" s="1" t="s">
        <v>121</v>
      </c>
      <c r="B33" s="1" t="s">
        <v>13</v>
      </c>
      <c r="C33" s="1" t="s">
        <v>122</v>
      </c>
      <c r="D33" s="1">
        <v>25</v>
      </c>
      <c r="E33" s="1" t="s">
        <v>78</v>
      </c>
      <c r="F33" s="1" t="s">
        <v>16</v>
      </c>
      <c r="G33" s="2">
        <v>44111</v>
      </c>
      <c r="H33" s="1">
        <v>114845.69</v>
      </c>
      <c r="I33" s="1" t="s">
        <v>123</v>
      </c>
      <c r="J33" s="1">
        <v>-6591520176</v>
      </c>
      <c r="K33" s="1" t="s">
        <v>23</v>
      </c>
      <c r="L33" s="1" t="b">
        <v>1</v>
      </c>
    </row>
    <row r="34" spans="1:12" x14ac:dyDescent="0.3">
      <c r="A34" s="1" t="s">
        <v>124</v>
      </c>
      <c r="B34" s="1" t="s">
        <v>54</v>
      </c>
      <c r="C34" s="1" t="s">
        <v>20</v>
      </c>
      <c r="D34" s="1">
        <v>40</v>
      </c>
      <c r="E34" s="1" t="s">
        <v>112</v>
      </c>
      <c r="F34" s="1" t="s">
        <v>16</v>
      </c>
      <c r="G34" s="2">
        <v>45423</v>
      </c>
      <c r="H34" s="1">
        <v>78072.820000000007</v>
      </c>
      <c r="I34" s="1" t="s">
        <v>125</v>
      </c>
      <c r="J34" s="1">
        <v>-7490509758</v>
      </c>
      <c r="K34" s="1" t="s">
        <v>18</v>
      </c>
      <c r="L34" s="1" t="b">
        <v>0</v>
      </c>
    </row>
    <row r="35" spans="1:12" x14ac:dyDescent="0.3">
      <c r="A35" s="1" t="s">
        <v>126</v>
      </c>
      <c r="B35" s="1" t="s">
        <v>69</v>
      </c>
      <c r="C35" s="1" t="s">
        <v>55</v>
      </c>
      <c r="D35" s="1">
        <v>25</v>
      </c>
      <c r="E35" s="1" t="s">
        <v>70</v>
      </c>
      <c r="F35" s="1" t="s">
        <v>33</v>
      </c>
      <c r="G35" s="2">
        <v>44385</v>
      </c>
      <c r="H35" s="1">
        <v>79610.52</v>
      </c>
      <c r="I35" s="1" t="s">
        <v>127</v>
      </c>
      <c r="J35" s="1">
        <v>-2304501895</v>
      </c>
      <c r="K35" s="1" t="s">
        <v>18</v>
      </c>
      <c r="L35" s="1" t="b">
        <v>0</v>
      </c>
    </row>
    <row r="36" spans="1:12" x14ac:dyDescent="0.3">
      <c r="A36" s="1" t="s">
        <v>128</v>
      </c>
      <c r="B36" s="1" t="s">
        <v>65</v>
      </c>
      <c r="C36" s="1" t="s">
        <v>92</v>
      </c>
      <c r="D36" s="1">
        <v>30</v>
      </c>
      <c r="E36" s="1" t="s">
        <v>118</v>
      </c>
      <c r="F36" s="1" t="s">
        <v>16</v>
      </c>
      <c r="G36" s="1" t="s">
        <v>129</v>
      </c>
      <c r="H36" s="1">
        <v>90542.62</v>
      </c>
      <c r="I36" s="1" t="s">
        <v>130</v>
      </c>
      <c r="J36" s="1">
        <v>-1642361031</v>
      </c>
      <c r="K36" s="1" t="s">
        <v>23</v>
      </c>
      <c r="L36" s="1" t="b">
        <v>1</v>
      </c>
    </row>
    <row r="37" spans="1:12" x14ac:dyDescent="0.3">
      <c r="A37" s="1" t="s">
        <v>131</v>
      </c>
      <c r="B37" s="1" t="s">
        <v>37</v>
      </c>
      <c r="C37" s="1" t="s">
        <v>26</v>
      </c>
      <c r="D37" s="1">
        <v>25</v>
      </c>
      <c r="E37" s="1" t="s">
        <v>95</v>
      </c>
      <c r="F37" s="1" t="s">
        <v>33</v>
      </c>
      <c r="G37" s="1" t="s">
        <v>132</v>
      </c>
      <c r="H37" s="1">
        <v>114357.1</v>
      </c>
      <c r="I37" s="1" t="s">
        <v>47</v>
      </c>
      <c r="J37" s="1">
        <v>-6642147648</v>
      </c>
      <c r="K37" s="1" t="s">
        <v>23</v>
      </c>
      <c r="L37" s="1" t="b">
        <v>1</v>
      </c>
    </row>
    <row r="38" spans="1:12" x14ac:dyDescent="0.3">
      <c r="A38" s="1" t="s">
        <v>133</v>
      </c>
      <c r="B38" s="1" t="s">
        <v>25</v>
      </c>
      <c r="C38" s="1" t="s">
        <v>20</v>
      </c>
      <c r="D38" s="1"/>
      <c r="E38" s="1" t="s">
        <v>60</v>
      </c>
      <c r="F38" s="1" t="s">
        <v>16</v>
      </c>
      <c r="G38" s="2">
        <v>44990</v>
      </c>
      <c r="H38" s="1">
        <v>54757.26</v>
      </c>
      <c r="I38" s="1" t="s">
        <v>80</v>
      </c>
      <c r="J38" s="1">
        <v>-2515837766</v>
      </c>
      <c r="K38" s="1" t="s">
        <v>41</v>
      </c>
      <c r="L38" s="1" t="b">
        <v>0</v>
      </c>
    </row>
    <row r="39" spans="1:12" x14ac:dyDescent="0.3">
      <c r="A39" s="1" t="s">
        <v>134</v>
      </c>
      <c r="B39" s="1" t="s">
        <v>69</v>
      </c>
      <c r="C39" s="1" t="s">
        <v>122</v>
      </c>
      <c r="D39" s="1">
        <v>25</v>
      </c>
      <c r="E39" s="1" t="s">
        <v>109</v>
      </c>
      <c r="F39" s="1" t="s">
        <v>28</v>
      </c>
      <c r="G39" s="2">
        <v>44962</v>
      </c>
      <c r="H39" s="1">
        <v>52781.919999999998</v>
      </c>
      <c r="I39" s="1" t="s">
        <v>135</v>
      </c>
      <c r="J39" s="1">
        <v>-4996165925</v>
      </c>
      <c r="K39" s="1" t="s">
        <v>18</v>
      </c>
      <c r="L39" s="1" t="b">
        <v>1</v>
      </c>
    </row>
    <row r="40" spans="1:12" x14ac:dyDescent="0.3">
      <c r="A40" s="1" t="s">
        <v>136</v>
      </c>
      <c r="B40" s="1" t="s">
        <v>37</v>
      </c>
      <c r="C40" s="1" t="s">
        <v>122</v>
      </c>
      <c r="D40" s="1">
        <v>35</v>
      </c>
      <c r="E40" s="1" t="s">
        <v>27</v>
      </c>
      <c r="F40" s="1" t="s">
        <v>28</v>
      </c>
      <c r="G40" s="2">
        <v>44326</v>
      </c>
      <c r="H40" s="1">
        <v>66708.02</v>
      </c>
      <c r="I40" s="1" t="s">
        <v>137</v>
      </c>
      <c r="J40" s="1">
        <v>-6108573277</v>
      </c>
      <c r="K40" s="1" t="s">
        <v>30</v>
      </c>
      <c r="L40" s="1" t="b">
        <v>1</v>
      </c>
    </row>
    <row r="41" spans="1:12" x14ac:dyDescent="0.3">
      <c r="A41" s="1" t="s">
        <v>138</v>
      </c>
      <c r="B41" s="1" t="s">
        <v>32</v>
      </c>
      <c r="C41" s="1" t="s">
        <v>38</v>
      </c>
      <c r="D41" s="1">
        <v>40</v>
      </c>
      <c r="E41" s="1" t="s">
        <v>139</v>
      </c>
      <c r="F41" s="1" t="s">
        <v>16</v>
      </c>
      <c r="G41" s="1" t="s">
        <v>140</v>
      </c>
      <c r="H41" s="1">
        <v>93481.15</v>
      </c>
      <c r="I41" s="1" t="s">
        <v>141</v>
      </c>
      <c r="J41" s="1">
        <v>-8147617421</v>
      </c>
      <c r="K41" s="1" t="s">
        <v>41</v>
      </c>
      <c r="L41" s="1" t="b">
        <v>0</v>
      </c>
    </row>
    <row r="42" spans="1:12" x14ac:dyDescent="0.3">
      <c r="A42" s="1" t="s">
        <v>142</v>
      </c>
      <c r="B42" s="1" t="s">
        <v>13</v>
      </c>
      <c r="C42" s="1" t="s">
        <v>38</v>
      </c>
      <c r="D42" s="1">
        <v>25</v>
      </c>
      <c r="E42" s="1" t="s">
        <v>109</v>
      </c>
      <c r="F42" s="1" t="s">
        <v>28</v>
      </c>
      <c r="G42" s="1" t="s">
        <v>143</v>
      </c>
      <c r="H42" s="1">
        <v>59271.96</v>
      </c>
      <c r="I42" s="1" t="s">
        <v>144</v>
      </c>
      <c r="J42" s="1">
        <v>-4386490809</v>
      </c>
      <c r="K42" s="1" t="s">
        <v>23</v>
      </c>
      <c r="L42" s="1" t="b">
        <v>1</v>
      </c>
    </row>
    <row r="43" spans="1:12" x14ac:dyDescent="0.3">
      <c r="A43" s="1" t="s">
        <v>145</v>
      </c>
      <c r="B43" s="1" t="s">
        <v>13</v>
      </c>
      <c r="C43" s="1" t="s">
        <v>14</v>
      </c>
      <c r="D43" s="1">
        <v>30</v>
      </c>
      <c r="E43" s="1" t="s">
        <v>146</v>
      </c>
      <c r="F43" s="1" t="s">
        <v>16</v>
      </c>
      <c r="G43" s="1" t="s">
        <v>147</v>
      </c>
      <c r="H43" s="1">
        <v>108362.15</v>
      </c>
      <c r="I43" s="1" t="s">
        <v>17</v>
      </c>
      <c r="J43" s="1">
        <v>-8186617944</v>
      </c>
      <c r="K43" s="1" t="s">
        <v>23</v>
      </c>
      <c r="L43" s="1" t="b">
        <v>0</v>
      </c>
    </row>
    <row r="44" spans="1:12" x14ac:dyDescent="0.3">
      <c r="A44" s="1" t="s">
        <v>148</v>
      </c>
      <c r="B44" s="1" t="s">
        <v>25</v>
      </c>
      <c r="C44" s="1" t="s">
        <v>55</v>
      </c>
      <c r="D44" s="1"/>
      <c r="E44" s="1" t="s">
        <v>149</v>
      </c>
      <c r="F44" s="1" t="s">
        <v>16</v>
      </c>
      <c r="G44" s="2">
        <v>45363</v>
      </c>
      <c r="H44" s="1">
        <v>59400.38</v>
      </c>
      <c r="I44" s="1" t="s">
        <v>150</v>
      </c>
      <c r="J44" s="1">
        <v>-4918017225</v>
      </c>
      <c r="K44" s="1" t="s">
        <v>18</v>
      </c>
      <c r="L44" s="1" t="b">
        <v>1</v>
      </c>
    </row>
    <row r="45" spans="1:12" x14ac:dyDescent="0.3">
      <c r="A45" s="1" t="s">
        <v>151</v>
      </c>
      <c r="B45" s="1" t="s">
        <v>13</v>
      </c>
      <c r="C45" s="1" t="s">
        <v>43</v>
      </c>
      <c r="D45" s="1"/>
      <c r="E45" s="1" t="s">
        <v>118</v>
      </c>
      <c r="F45" s="1" t="s">
        <v>33</v>
      </c>
      <c r="G45" s="1" t="s">
        <v>152</v>
      </c>
      <c r="H45" s="1">
        <v>64744.08</v>
      </c>
      <c r="I45" s="1" t="s">
        <v>153</v>
      </c>
      <c r="J45" s="1">
        <v>-164597793</v>
      </c>
      <c r="K45" s="1" t="s">
        <v>23</v>
      </c>
      <c r="L45" s="1" t="b">
        <v>0</v>
      </c>
    </row>
    <row r="46" spans="1:12" x14ac:dyDescent="0.3">
      <c r="A46" s="1" t="s">
        <v>154</v>
      </c>
      <c r="B46" s="1" t="s">
        <v>32</v>
      </c>
      <c r="C46" s="1" t="s">
        <v>20</v>
      </c>
      <c r="D46" s="1"/>
      <c r="E46" s="1" t="s">
        <v>70</v>
      </c>
      <c r="F46" s="1" t="s">
        <v>16</v>
      </c>
      <c r="G46" s="2">
        <v>44050</v>
      </c>
      <c r="H46" s="1">
        <v>94399.91</v>
      </c>
      <c r="I46" s="1" t="s">
        <v>155</v>
      </c>
      <c r="J46" s="1">
        <v>-5232194167</v>
      </c>
      <c r="K46" s="1" t="s">
        <v>30</v>
      </c>
      <c r="L46" s="1" t="b">
        <v>1</v>
      </c>
    </row>
    <row r="47" spans="1:12" x14ac:dyDescent="0.3">
      <c r="A47" s="1" t="s">
        <v>156</v>
      </c>
      <c r="B47" s="1" t="s">
        <v>25</v>
      </c>
      <c r="C47" s="1" t="s">
        <v>20</v>
      </c>
      <c r="D47" s="1">
        <v>25</v>
      </c>
      <c r="E47" s="1" t="s">
        <v>66</v>
      </c>
      <c r="F47" s="1" t="s">
        <v>28</v>
      </c>
      <c r="G47" s="1" t="s">
        <v>157</v>
      </c>
      <c r="H47" s="1">
        <v>61310.74</v>
      </c>
      <c r="I47" s="1" t="s">
        <v>80</v>
      </c>
      <c r="J47" s="1">
        <v>-61027768</v>
      </c>
      <c r="K47" s="1" t="s">
        <v>18</v>
      </c>
      <c r="L47" s="1" t="b">
        <v>1</v>
      </c>
    </row>
    <row r="48" spans="1:12" x14ac:dyDescent="0.3">
      <c r="A48" s="1" t="s">
        <v>158</v>
      </c>
      <c r="B48" s="1" t="s">
        <v>69</v>
      </c>
      <c r="C48" s="1" t="s">
        <v>43</v>
      </c>
      <c r="D48" s="1"/>
      <c r="E48" s="1" t="s">
        <v>159</v>
      </c>
      <c r="F48" s="1" t="s">
        <v>16</v>
      </c>
      <c r="G48" s="1" t="s">
        <v>160</v>
      </c>
      <c r="H48" s="1">
        <v>98371.37</v>
      </c>
      <c r="I48" s="1" t="s">
        <v>83</v>
      </c>
      <c r="J48" s="1">
        <v>-7499564121</v>
      </c>
      <c r="K48" s="1" t="s">
        <v>23</v>
      </c>
      <c r="L48" s="1" t="b">
        <v>0</v>
      </c>
    </row>
    <row r="49" spans="1:12" x14ac:dyDescent="0.3">
      <c r="A49" s="1" t="s">
        <v>161</v>
      </c>
      <c r="B49" s="1" t="s">
        <v>25</v>
      </c>
      <c r="C49" s="1" t="s">
        <v>14</v>
      </c>
      <c r="D49" s="1">
        <v>35</v>
      </c>
      <c r="E49" s="1" t="s">
        <v>98</v>
      </c>
      <c r="F49" s="1" t="s">
        <v>16</v>
      </c>
      <c r="G49" s="1" t="s">
        <v>162</v>
      </c>
      <c r="H49" s="1">
        <v>58921.19</v>
      </c>
      <c r="I49" s="1" t="s">
        <v>163</v>
      </c>
      <c r="J49" s="1">
        <v>-310303722</v>
      </c>
      <c r="K49" s="1" t="s">
        <v>18</v>
      </c>
      <c r="L49" s="1" t="b">
        <v>1</v>
      </c>
    </row>
    <row r="50" spans="1:12" x14ac:dyDescent="0.3">
      <c r="A50" s="1" t="s">
        <v>164</v>
      </c>
      <c r="B50" s="1" t="s">
        <v>25</v>
      </c>
      <c r="C50" s="1" t="s">
        <v>92</v>
      </c>
      <c r="D50" s="1">
        <v>35</v>
      </c>
      <c r="E50" s="1" t="s">
        <v>27</v>
      </c>
      <c r="F50" s="1" t="s">
        <v>16</v>
      </c>
      <c r="G50" s="1" t="s">
        <v>165</v>
      </c>
      <c r="H50" s="1">
        <v>57195.55</v>
      </c>
      <c r="I50" s="1" t="s">
        <v>166</v>
      </c>
      <c r="J50" s="1">
        <v>-6831472759</v>
      </c>
      <c r="K50" s="1" t="s">
        <v>23</v>
      </c>
      <c r="L50" s="1" t="b">
        <v>0</v>
      </c>
    </row>
    <row r="51" spans="1:12" x14ac:dyDescent="0.3">
      <c r="A51" s="1" t="s">
        <v>167</v>
      </c>
      <c r="B51" s="1" t="s">
        <v>69</v>
      </c>
      <c r="C51" s="1" t="s">
        <v>92</v>
      </c>
      <c r="D51" s="1"/>
      <c r="E51" s="1" t="s">
        <v>56</v>
      </c>
      <c r="F51" s="1" t="s">
        <v>16</v>
      </c>
      <c r="G51" s="2">
        <v>45423</v>
      </c>
      <c r="H51" s="1">
        <v>61375.12</v>
      </c>
      <c r="I51" s="1" t="s">
        <v>168</v>
      </c>
      <c r="J51" s="1">
        <v>-1227770792</v>
      </c>
      <c r="K51" s="1" t="s">
        <v>23</v>
      </c>
      <c r="L51" s="1" t="b">
        <v>1</v>
      </c>
    </row>
    <row r="52" spans="1:12" x14ac:dyDescent="0.3">
      <c r="A52" s="1" t="s">
        <v>169</v>
      </c>
      <c r="B52" s="1" t="s">
        <v>54</v>
      </c>
      <c r="C52" s="1" t="s">
        <v>14</v>
      </c>
      <c r="D52" s="1">
        <v>40</v>
      </c>
      <c r="E52" s="1" t="s">
        <v>60</v>
      </c>
      <c r="F52" s="1" t="s">
        <v>28</v>
      </c>
      <c r="G52" s="2">
        <v>44511</v>
      </c>
      <c r="H52" s="1">
        <v>104767.05</v>
      </c>
      <c r="I52" s="1" t="s">
        <v>170</v>
      </c>
      <c r="J52" s="1">
        <v>-3496050165</v>
      </c>
      <c r="K52" s="1" t="s">
        <v>23</v>
      </c>
      <c r="L52" s="1" t="b">
        <v>0</v>
      </c>
    </row>
    <row r="53" spans="1:12" x14ac:dyDescent="0.3">
      <c r="A53" s="1" t="s">
        <v>171</v>
      </c>
      <c r="B53" s="1" t="s">
        <v>59</v>
      </c>
      <c r="C53" s="1" t="s">
        <v>92</v>
      </c>
      <c r="D53" s="1">
        <v>35</v>
      </c>
      <c r="E53" s="1" t="s">
        <v>27</v>
      </c>
      <c r="F53" s="1" t="s">
        <v>16</v>
      </c>
      <c r="G53" s="1" t="s">
        <v>172</v>
      </c>
      <c r="H53" s="1">
        <v>111051.67</v>
      </c>
      <c r="I53" s="1" t="s">
        <v>107</v>
      </c>
      <c r="J53" s="1">
        <v>-7998407677</v>
      </c>
      <c r="K53" s="1" t="s">
        <v>30</v>
      </c>
      <c r="L53" s="1" t="b">
        <v>0</v>
      </c>
    </row>
    <row r="54" spans="1:12" x14ac:dyDescent="0.3">
      <c r="A54" s="1" t="s">
        <v>173</v>
      </c>
      <c r="B54" s="1" t="s">
        <v>59</v>
      </c>
      <c r="C54" s="1" t="s">
        <v>38</v>
      </c>
      <c r="D54" s="1">
        <v>30</v>
      </c>
      <c r="E54" s="1" t="s">
        <v>70</v>
      </c>
      <c r="F54" s="1" t="s">
        <v>33</v>
      </c>
      <c r="G54" s="2">
        <v>45481</v>
      </c>
      <c r="H54" s="1">
        <v>105674.18</v>
      </c>
      <c r="I54" s="1" t="s">
        <v>61</v>
      </c>
      <c r="J54" s="1">
        <v>-9973080694</v>
      </c>
      <c r="K54" s="1" t="s">
        <v>30</v>
      </c>
      <c r="L54" s="1" t="b">
        <v>0</v>
      </c>
    </row>
    <row r="55" spans="1:12" x14ac:dyDescent="0.3">
      <c r="A55" s="1" t="s">
        <v>174</v>
      </c>
      <c r="B55" s="1" t="s">
        <v>25</v>
      </c>
      <c r="C55" s="1" t="s">
        <v>20</v>
      </c>
      <c r="D55" s="1">
        <v>30</v>
      </c>
      <c r="E55" s="1" t="s">
        <v>70</v>
      </c>
      <c r="F55" s="1" t="s">
        <v>33</v>
      </c>
      <c r="G55" s="2">
        <v>45423</v>
      </c>
      <c r="H55" s="1">
        <v>54859.45</v>
      </c>
      <c r="I55" s="1" t="s">
        <v>80</v>
      </c>
      <c r="J55" s="1">
        <v>-8146717956</v>
      </c>
      <c r="K55" s="1" t="s">
        <v>18</v>
      </c>
      <c r="L55" s="1" t="b">
        <v>0</v>
      </c>
    </row>
    <row r="56" spans="1:12" x14ac:dyDescent="0.3">
      <c r="A56" s="1" t="s">
        <v>175</v>
      </c>
      <c r="B56" s="1" t="s">
        <v>37</v>
      </c>
      <c r="C56" s="1" t="s">
        <v>14</v>
      </c>
      <c r="D56" s="1"/>
      <c r="E56" s="1" t="s">
        <v>100</v>
      </c>
      <c r="F56" s="1" t="s">
        <v>28</v>
      </c>
      <c r="G56" s="2">
        <v>44450</v>
      </c>
      <c r="H56" s="1">
        <v>115746.6</v>
      </c>
      <c r="I56" s="1" t="s">
        <v>52</v>
      </c>
      <c r="J56" s="1">
        <v>-6024375737</v>
      </c>
      <c r="K56" s="1" t="s">
        <v>23</v>
      </c>
      <c r="L56" s="1" t="b">
        <v>1</v>
      </c>
    </row>
    <row r="57" spans="1:12" x14ac:dyDescent="0.3">
      <c r="A57" s="1" t="s">
        <v>176</v>
      </c>
      <c r="B57" s="1" t="s">
        <v>32</v>
      </c>
      <c r="C57" s="1" t="s">
        <v>20</v>
      </c>
      <c r="D57" s="1">
        <v>30</v>
      </c>
      <c r="E57" s="1" t="s">
        <v>177</v>
      </c>
      <c r="F57" s="1" t="s">
        <v>16</v>
      </c>
      <c r="G57" s="2">
        <v>44112</v>
      </c>
      <c r="H57" s="1">
        <v>91759.99</v>
      </c>
      <c r="I57" s="1" t="s">
        <v>155</v>
      </c>
      <c r="J57" s="1">
        <v>-3959724664</v>
      </c>
      <c r="K57" s="1" t="s">
        <v>23</v>
      </c>
      <c r="L57" s="1" t="b">
        <v>1</v>
      </c>
    </row>
    <row r="58" spans="1:12" x14ac:dyDescent="0.3">
      <c r="A58" s="1" t="s">
        <v>178</v>
      </c>
      <c r="B58" s="1" t="s">
        <v>37</v>
      </c>
      <c r="C58" s="1" t="s">
        <v>43</v>
      </c>
      <c r="D58" s="1">
        <v>40</v>
      </c>
      <c r="E58" s="1" t="s">
        <v>98</v>
      </c>
      <c r="F58" s="1" t="s">
        <v>16</v>
      </c>
      <c r="G58" s="1" t="s">
        <v>179</v>
      </c>
      <c r="H58" s="1">
        <v>112965.33</v>
      </c>
      <c r="I58" s="1" t="s">
        <v>180</v>
      </c>
      <c r="J58" s="1">
        <v>-7293417222</v>
      </c>
      <c r="K58" s="1" t="s">
        <v>30</v>
      </c>
      <c r="L58" s="1" t="b">
        <v>0</v>
      </c>
    </row>
    <row r="59" spans="1:12" x14ac:dyDescent="0.3">
      <c r="A59" s="1" t="s">
        <v>181</v>
      </c>
      <c r="B59" s="1" t="s">
        <v>25</v>
      </c>
      <c r="C59" s="1" t="s">
        <v>122</v>
      </c>
      <c r="D59" s="1">
        <v>40</v>
      </c>
      <c r="E59" s="1" t="s">
        <v>95</v>
      </c>
      <c r="F59" s="1" t="s">
        <v>28</v>
      </c>
      <c r="G59" s="2">
        <v>45118</v>
      </c>
      <c r="H59" s="1">
        <v>100360.1</v>
      </c>
      <c r="I59" s="1" t="s">
        <v>182</v>
      </c>
      <c r="J59" s="1">
        <v>-2971674337</v>
      </c>
      <c r="K59" s="1" t="s">
        <v>23</v>
      </c>
      <c r="L59" s="1" t="b">
        <v>0</v>
      </c>
    </row>
    <row r="60" spans="1:12" x14ac:dyDescent="0.3">
      <c r="A60" s="1" t="s">
        <v>183</v>
      </c>
      <c r="B60" s="1" t="s">
        <v>59</v>
      </c>
      <c r="C60" s="1" t="s">
        <v>38</v>
      </c>
      <c r="D60" s="1">
        <v>35</v>
      </c>
      <c r="E60" s="1" t="s">
        <v>21</v>
      </c>
      <c r="F60" s="1" t="s">
        <v>28</v>
      </c>
      <c r="G60" s="2">
        <v>44388</v>
      </c>
      <c r="H60" s="1">
        <v>93620.88</v>
      </c>
      <c r="I60" s="1" t="s">
        <v>61</v>
      </c>
      <c r="J60" s="1">
        <v>-54522800</v>
      </c>
      <c r="K60" s="1" t="s">
        <v>30</v>
      </c>
      <c r="L60" s="1" t="b">
        <v>0</v>
      </c>
    </row>
    <row r="61" spans="1:12" x14ac:dyDescent="0.3">
      <c r="A61" s="1" t="s">
        <v>184</v>
      </c>
      <c r="B61" s="1" t="s">
        <v>13</v>
      </c>
      <c r="C61" s="1" t="s">
        <v>26</v>
      </c>
      <c r="D61" s="1">
        <v>35</v>
      </c>
      <c r="E61" s="1" t="s">
        <v>177</v>
      </c>
      <c r="F61" s="1" t="s">
        <v>28</v>
      </c>
      <c r="G61" s="1" t="s">
        <v>185</v>
      </c>
      <c r="H61" s="1">
        <v>72832.800000000003</v>
      </c>
      <c r="I61" s="1" t="s">
        <v>50</v>
      </c>
      <c r="J61" s="1">
        <v>-5619318373</v>
      </c>
      <c r="K61" s="1" t="s">
        <v>23</v>
      </c>
      <c r="L61" s="1" t="b">
        <v>1</v>
      </c>
    </row>
    <row r="62" spans="1:12" x14ac:dyDescent="0.3">
      <c r="A62" s="1" t="s">
        <v>186</v>
      </c>
      <c r="B62" s="1" t="s">
        <v>54</v>
      </c>
      <c r="C62" s="1" t="s">
        <v>38</v>
      </c>
      <c r="D62" s="1">
        <v>30</v>
      </c>
      <c r="E62" s="1" t="s">
        <v>100</v>
      </c>
      <c r="F62" s="1" t="s">
        <v>33</v>
      </c>
      <c r="G62" s="1" t="s">
        <v>187</v>
      </c>
      <c r="H62" s="1">
        <v>102369.42</v>
      </c>
      <c r="I62" s="1" t="s">
        <v>90</v>
      </c>
      <c r="J62" s="1">
        <v>-5508428909</v>
      </c>
      <c r="K62" s="1" t="s">
        <v>18</v>
      </c>
      <c r="L62" s="1" t="b">
        <v>1</v>
      </c>
    </row>
    <row r="63" spans="1:12" x14ac:dyDescent="0.3">
      <c r="A63" s="1" t="s">
        <v>188</v>
      </c>
      <c r="B63" s="1" t="s">
        <v>32</v>
      </c>
      <c r="C63" s="1" t="s">
        <v>14</v>
      </c>
      <c r="D63" s="1">
        <v>40</v>
      </c>
      <c r="E63" s="1" t="s">
        <v>44</v>
      </c>
      <c r="F63" s="1" t="s">
        <v>33</v>
      </c>
      <c r="G63" s="2">
        <v>44477</v>
      </c>
      <c r="H63" s="1">
        <v>64712.79</v>
      </c>
      <c r="I63" s="1" t="s">
        <v>35</v>
      </c>
      <c r="J63" s="1">
        <v>-7711991807</v>
      </c>
      <c r="K63" s="1" t="s">
        <v>23</v>
      </c>
      <c r="L63" s="1" t="b">
        <v>1</v>
      </c>
    </row>
    <row r="64" spans="1:12" x14ac:dyDescent="0.3">
      <c r="A64" s="1" t="s">
        <v>189</v>
      </c>
      <c r="B64" s="1" t="s">
        <v>37</v>
      </c>
      <c r="C64" s="1" t="s">
        <v>26</v>
      </c>
      <c r="D64" s="1">
        <v>40</v>
      </c>
      <c r="E64" s="1" t="s">
        <v>112</v>
      </c>
      <c r="F64" s="1" t="s">
        <v>28</v>
      </c>
      <c r="G64" s="1" t="s">
        <v>190</v>
      </c>
      <c r="H64" s="1">
        <v>85782.18</v>
      </c>
      <c r="I64" s="1" t="s">
        <v>47</v>
      </c>
      <c r="J64" s="1">
        <v>-1213524786</v>
      </c>
      <c r="K64" s="1" t="s">
        <v>23</v>
      </c>
      <c r="L64" s="1" t="b">
        <v>1</v>
      </c>
    </row>
    <row r="65" spans="1:12" x14ac:dyDescent="0.3">
      <c r="A65" s="1" t="s">
        <v>191</v>
      </c>
      <c r="B65" s="1" t="s">
        <v>54</v>
      </c>
      <c r="C65" s="1" t="s">
        <v>122</v>
      </c>
      <c r="D65" s="1">
        <v>25</v>
      </c>
      <c r="E65" s="1" t="s">
        <v>192</v>
      </c>
      <c r="F65" s="1" t="s">
        <v>28</v>
      </c>
      <c r="G65" s="1" t="s">
        <v>193</v>
      </c>
      <c r="H65" s="1">
        <v>93348.26</v>
      </c>
      <c r="I65" s="1" t="s">
        <v>194</v>
      </c>
      <c r="J65" s="1">
        <v>-1255213759</v>
      </c>
      <c r="K65" s="1" t="s">
        <v>41</v>
      </c>
      <c r="L65" s="1" t="b">
        <v>0</v>
      </c>
    </row>
    <row r="66" spans="1:12" x14ac:dyDescent="0.3">
      <c r="A66" s="1" t="s">
        <v>195</v>
      </c>
      <c r="B66" s="1" t="s">
        <v>59</v>
      </c>
      <c r="C66" s="1" t="s">
        <v>14</v>
      </c>
      <c r="D66" s="1">
        <v>35</v>
      </c>
      <c r="E66" s="1" t="s">
        <v>196</v>
      </c>
      <c r="F66" s="1" t="s">
        <v>16</v>
      </c>
      <c r="G66" s="1" t="s">
        <v>197</v>
      </c>
      <c r="H66" s="1">
        <v>53234.96</v>
      </c>
      <c r="I66" s="1" t="s">
        <v>63</v>
      </c>
      <c r="J66" s="1">
        <v>-3754821455</v>
      </c>
      <c r="K66" s="1" t="s">
        <v>30</v>
      </c>
      <c r="L66" s="1" t="b">
        <v>0</v>
      </c>
    </row>
    <row r="67" spans="1:12" x14ac:dyDescent="0.3">
      <c r="A67" s="1" t="s">
        <v>198</v>
      </c>
      <c r="B67" s="1" t="s">
        <v>13</v>
      </c>
      <c r="C67" s="1" t="s">
        <v>55</v>
      </c>
      <c r="D67" s="1">
        <v>40</v>
      </c>
      <c r="E67" s="1" t="s">
        <v>100</v>
      </c>
      <c r="F67" s="1" t="s">
        <v>28</v>
      </c>
      <c r="G67" s="2">
        <v>44229</v>
      </c>
      <c r="H67" s="1">
        <v>100284.21</v>
      </c>
      <c r="I67" s="1" t="s">
        <v>199</v>
      </c>
      <c r="J67" s="1">
        <v>-5328632665</v>
      </c>
      <c r="K67" s="1" t="s">
        <v>23</v>
      </c>
      <c r="L67" s="1" t="b">
        <v>0</v>
      </c>
    </row>
    <row r="68" spans="1:12" x14ac:dyDescent="0.3">
      <c r="A68" s="1" t="s">
        <v>200</v>
      </c>
      <c r="B68" s="1" t="s">
        <v>69</v>
      </c>
      <c r="C68" s="1" t="s">
        <v>20</v>
      </c>
      <c r="D68" s="1">
        <v>30</v>
      </c>
      <c r="E68" s="1" t="s">
        <v>27</v>
      </c>
      <c r="F68" s="1" t="s">
        <v>28</v>
      </c>
      <c r="G68" s="2">
        <v>44166</v>
      </c>
      <c r="H68" s="1">
        <v>112486.19</v>
      </c>
      <c r="I68" s="1" t="s">
        <v>201</v>
      </c>
      <c r="J68" s="1">
        <v>-7850720810</v>
      </c>
      <c r="K68" s="1" t="s">
        <v>23</v>
      </c>
      <c r="L68" s="1" t="b">
        <v>1</v>
      </c>
    </row>
    <row r="69" spans="1:12" x14ac:dyDescent="0.3">
      <c r="A69" s="1" t="s">
        <v>202</v>
      </c>
      <c r="B69" s="1" t="s">
        <v>13</v>
      </c>
      <c r="C69" s="1" t="s">
        <v>122</v>
      </c>
      <c r="D69" s="1">
        <v>40</v>
      </c>
      <c r="E69" s="1" t="s">
        <v>196</v>
      </c>
      <c r="F69" s="1" t="s">
        <v>28</v>
      </c>
      <c r="G69" s="1" t="s">
        <v>203</v>
      </c>
      <c r="H69" s="1">
        <v>82518.490000000005</v>
      </c>
      <c r="I69" s="1" t="s">
        <v>123</v>
      </c>
      <c r="J69" s="1">
        <v>-5562606028</v>
      </c>
      <c r="K69" s="1" t="s">
        <v>41</v>
      </c>
      <c r="L69" s="1" t="b">
        <v>1</v>
      </c>
    </row>
    <row r="70" spans="1:12" x14ac:dyDescent="0.3">
      <c r="A70" s="1" t="s">
        <v>204</v>
      </c>
      <c r="B70" s="1" t="s">
        <v>13</v>
      </c>
      <c r="C70" s="1" t="s">
        <v>20</v>
      </c>
      <c r="D70" s="1">
        <v>40</v>
      </c>
      <c r="E70" s="1" t="s">
        <v>205</v>
      </c>
      <c r="F70" s="1" t="s">
        <v>28</v>
      </c>
      <c r="G70" s="1" t="s">
        <v>206</v>
      </c>
      <c r="H70" s="1">
        <v>119152.47</v>
      </c>
      <c r="I70" s="1" t="s">
        <v>22</v>
      </c>
      <c r="J70" s="1">
        <v>-846684549</v>
      </c>
      <c r="K70" s="1" t="s">
        <v>41</v>
      </c>
      <c r="L70" s="1" t="b">
        <v>1</v>
      </c>
    </row>
    <row r="71" spans="1:12" x14ac:dyDescent="0.3">
      <c r="A71" s="1" t="s">
        <v>207</v>
      </c>
      <c r="B71" s="1" t="s">
        <v>65</v>
      </c>
      <c r="C71" s="1" t="s">
        <v>92</v>
      </c>
      <c r="D71" s="1"/>
      <c r="E71" s="1" t="s">
        <v>78</v>
      </c>
      <c r="F71" s="1" t="s">
        <v>33</v>
      </c>
      <c r="G71" s="1" t="s">
        <v>208</v>
      </c>
      <c r="H71" s="1">
        <v>113479.83</v>
      </c>
      <c r="I71" s="1" t="s">
        <v>130</v>
      </c>
      <c r="J71" s="1">
        <v>-4892673898</v>
      </c>
      <c r="K71" s="1" t="s">
        <v>30</v>
      </c>
      <c r="L71" s="1" t="b">
        <v>0</v>
      </c>
    </row>
    <row r="72" spans="1:12" x14ac:dyDescent="0.3">
      <c r="A72" s="1" t="s">
        <v>209</v>
      </c>
      <c r="B72" s="1" t="s">
        <v>54</v>
      </c>
      <c r="C72" s="1" t="s">
        <v>55</v>
      </c>
      <c r="D72" s="1">
        <v>40</v>
      </c>
      <c r="E72" s="1" t="s">
        <v>70</v>
      </c>
      <c r="F72" s="1" t="s">
        <v>16</v>
      </c>
      <c r="G72" s="1" t="s">
        <v>210</v>
      </c>
      <c r="H72" s="1">
        <v>94636.3</v>
      </c>
      <c r="I72" s="1" t="s">
        <v>57</v>
      </c>
      <c r="J72" s="1">
        <v>-7563410855</v>
      </c>
      <c r="K72" s="1" t="s">
        <v>41</v>
      </c>
      <c r="L72" s="1" t="b">
        <v>0</v>
      </c>
    </row>
    <row r="73" spans="1:12" x14ac:dyDescent="0.3">
      <c r="A73" s="1" t="s">
        <v>211</v>
      </c>
      <c r="B73" s="1" t="s">
        <v>65</v>
      </c>
      <c r="C73" s="1" t="s">
        <v>55</v>
      </c>
      <c r="D73" s="1">
        <v>30</v>
      </c>
      <c r="E73" s="1" t="s">
        <v>212</v>
      </c>
      <c r="F73" s="1" t="s">
        <v>16</v>
      </c>
      <c r="G73" s="2">
        <v>45292</v>
      </c>
      <c r="H73" s="1">
        <v>70000.97</v>
      </c>
      <c r="I73" s="1" t="s">
        <v>113</v>
      </c>
      <c r="J73" s="1">
        <v>-2884318847</v>
      </c>
      <c r="K73" s="1" t="s">
        <v>18</v>
      </c>
      <c r="L73" s="1" t="b">
        <v>1</v>
      </c>
    </row>
    <row r="74" spans="1:12" x14ac:dyDescent="0.3">
      <c r="A74" s="1" t="s">
        <v>213</v>
      </c>
      <c r="B74" s="1" t="s">
        <v>37</v>
      </c>
      <c r="C74" s="1" t="s">
        <v>122</v>
      </c>
      <c r="D74" s="1"/>
      <c r="E74" s="1" t="s">
        <v>60</v>
      </c>
      <c r="F74" s="1" t="s">
        <v>16</v>
      </c>
      <c r="G74" s="1" t="s">
        <v>214</v>
      </c>
      <c r="H74" s="1">
        <v>76812.47</v>
      </c>
      <c r="I74" s="1" t="s">
        <v>137</v>
      </c>
      <c r="J74" s="1">
        <v>-5200894345</v>
      </c>
      <c r="K74" s="1" t="s">
        <v>41</v>
      </c>
      <c r="L74" s="1" t="b">
        <v>0</v>
      </c>
    </row>
    <row r="75" spans="1:12" x14ac:dyDescent="0.3">
      <c r="A75" s="1" t="s">
        <v>215</v>
      </c>
      <c r="B75" s="1" t="s">
        <v>59</v>
      </c>
      <c r="C75" s="1" t="s">
        <v>55</v>
      </c>
      <c r="D75" s="1">
        <v>25</v>
      </c>
      <c r="E75" s="1" t="s">
        <v>112</v>
      </c>
      <c r="F75" s="1" t="s">
        <v>33</v>
      </c>
      <c r="G75" s="1" t="s">
        <v>216</v>
      </c>
      <c r="H75" s="1">
        <v>82614.7</v>
      </c>
      <c r="I75" s="1" t="s">
        <v>217</v>
      </c>
      <c r="J75" s="1">
        <v>-8105485100</v>
      </c>
      <c r="K75" s="1" t="s">
        <v>18</v>
      </c>
      <c r="L75" s="1" t="b">
        <v>1</v>
      </c>
    </row>
    <row r="76" spans="1:12" x14ac:dyDescent="0.3">
      <c r="A76" s="1" t="s">
        <v>218</v>
      </c>
      <c r="B76" s="1" t="s">
        <v>69</v>
      </c>
      <c r="C76" s="1" t="s">
        <v>26</v>
      </c>
      <c r="D76" s="1">
        <v>40</v>
      </c>
      <c r="E76" s="1" t="s">
        <v>219</v>
      </c>
      <c r="F76" s="1" t="s">
        <v>16</v>
      </c>
      <c r="G76" s="1" t="s">
        <v>220</v>
      </c>
      <c r="H76" s="1">
        <v>111645.97</v>
      </c>
      <c r="I76" s="1" t="s">
        <v>76</v>
      </c>
      <c r="J76" s="1">
        <v>-7490753997</v>
      </c>
      <c r="K76" s="1" t="s">
        <v>30</v>
      </c>
      <c r="L76" s="1" t="b">
        <v>1</v>
      </c>
    </row>
    <row r="77" spans="1:12" x14ac:dyDescent="0.3">
      <c r="A77" s="1" t="s">
        <v>221</v>
      </c>
      <c r="B77" s="1" t="s">
        <v>65</v>
      </c>
      <c r="C77" s="1" t="s">
        <v>55</v>
      </c>
      <c r="D77" s="1">
        <v>25</v>
      </c>
      <c r="E77" s="1" t="s">
        <v>146</v>
      </c>
      <c r="F77" s="1" t="s">
        <v>33</v>
      </c>
      <c r="G77" s="1" t="s">
        <v>222</v>
      </c>
      <c r="H77" s="1">
        <v>112414.91</v>
      </c>
      <c r="I77" s="1" t="s">
        <v>113</v>
      </c>
      <c r="J77" s="1">
        <v>-9354492682</v>
      </c>
      <c r="K77" s="1" t="s">
        <v>30</v>
      </c>
      <c r="L77" s="1" t="b">
        <v>0</v>
      </c>
    </row>
    <row r="78" spans="1:12" x14ac:dyDescent="0.3">
      <c r="A78" s="1" t="s">
        <v>223</v>
      </c>
      <c r="B78" s="1" t="s">
        <v>59</v>
      </c>
      <c r="C78" s="1" t="s">
        <v>20</v>
      </c>
      <c r="D78" s="1">
        <v>40</v>
      </c>
      <c r="E78" s="1" t="s">
        <v>118</v>
      </c>
      <c r="F78" s="1" t="s">
        <v>33</v>
      </c>
      <c r="G78" s="1" t="s">
        <v>224</v>
      </c>
      <c r="H78" s="1">
        <v>52031.74</v>
      </c>
      <c r="I78" s="1" t="s">
        <v>225</v>
      </c>
      <c r="J78" s="1">
        <v>-1589357125</v>
      </c>
      <c r="K78" s="1" t="s">
        <v>30</v>
      </c>
      <c r="L78" s="1" t="b">
        <v>1</v>
      </c>
    </row>
    <row r="79" spans="1:12" x14ac:dyDescent="0.3">
      <c r="A79" s="1" t="s">
        <v>226</v>
      </c>
      <c r="B79" s="1" t="s">
        <v>69</v>
      </c>
      <c r="C79" s="1" t="s">
        <v>20</v>
      </c>
      <c r="D79" s="1">
        <v>30</v>
      </c>
      <c r="E79" s="1" t="s">
        <v>227</v>
      </c>
      <c r="F79" s="1" t="s">
        <v>28</v>
      </c>
      <c r="G79" s="1" t="s">
        <v>228</v>
      </c>
      <c r="H79" s="1">
        <v>51887.65</v>
      </c>
      <c r="I79" s="1" t="s">
        <v>201</v>
      </c>
      <c r="J79" s="1">
        <v>-6110627370</v>
      </c>
      <c r="K79" s="1" t="s">
        <v>30</v>
      </c>
      <c r="L79" s="1" t="b">
        <v>0</v>
      </c>
    </row>
    <row r="80" spans="1:12" x14ac:dyDescent="0.3">
      <c r="A80" s="1" t="s">
        <v>229</v>
      </c>
      <c r="B80" s="1" t="s">
        <v>25</v>
      </c>
      <c r="C80" s="1" t="s">
        <v>14</v>
      </c>
      <c r="D80" s="1">
        <v>25</v>
      </c>
      <c r="E80" s="1" t="s">
        <v>230</v>
      </c>
      <c r="F80" s="1" t="s">
        <v>16</v>
      </c>
      <c r="G80" s="2">
        <v>45576</v>
      </c>
      <c r="H80" s="1">
        <v>82318.89</v>
      </c>
      <c r="I80" s="1" t="s">
        <v>163</v>
      </c>
      <c r="J80" s="1">
        <v>-5869886496</v>
      </c>
      <c r="K80" s="1" t="s">
        <v>30</v>
      </c>
      <c r="L80" s="1" t="b">
        <v>1</v>
      </c>
    </row>
    <row r="81" spans="1:12" x14ac:dyDescent="0.3">
      <c r="A81" s="1" t="s">
        <v>231</v>
      </c>
      <c r="B81" s="1" t="s">
        <v>69</v>
      </c>
      <c r="C81" s="1" t="s">
        <v>20</v>
      </c>
      <c r="D81" s="1">
        <v>35</v>
      </c>
      <c r="E81" s="1" t="s">
        <v>205</v>
      </c>
      <c r="F81" s="1" t="s">
        <v>33</v>
      </c>
      <c r="G81" s="1" t="s">
        <v>232</v>
      </c>
      <c r="H81" s="1">
        <v>103286.08</v>
      </c>
      <c r="I81" s="1" t="s">
        <v>201</v>
      </c>
      <c r="J81" s="1">
        <v>-6776228276</v>
      </c>
      <c r="K81" s="1" t="s">
        <v>18</v>
      </c>
      <c r="L81" s="1" t="b">
        <v>0</v>
      </c>
    </row>
    <row r="82" spans="1:12" x14ac:dyDescent="0.3">
      <c r="A82" s="1" t="s">
        <v>233</v>
      </c>
      <c r="B82" s="1" t="s">
        <v>69</v>
      </c>
      <c r="C82" s="1" t="s">
        <v>14</v>
      </c>
      <c r="D82" s="1">
        <v>35</v>
      </c>
      <c r="E82" s="1" t="s">
        <v>39</v>
      </c>
      <c r="F82" s="1" t="s">
        <v>16</v>
      </c>
      <c r="G82" s="1" t="s">
        <v>234</v>
      </c>
      <c r="H82" s="1">
        <v>87759.33</v>
      </c>
      <c r="I82" s="1" t="s">
        <v>235</v>
      </c>
      <c r="J82" s="1">
        <v>-2881377027</v>
      </c>
      <c r="K82" s="1" t="s">
        <v>18</v>
      </c>
      <c r="L82" s="1" t="b">
        <v>0</v>
      </c>
    </row>
    <row r="83" spans="1:12" x14ac:dyDescent="0.3">
      <c r="A83" s="1" t="s">
        <v>236</v>
      </c>
      <c r="B83" s="1" t="s">
        <v>37</v>
      </c>
      <c r="C83" s="1" t="s">
        <v>20</v>
      </c>
      <c r="D83" s="1">
        <v>30</v>
      </c>
      <c r="E83" s="1" t="s">
        <v>237</v>
      </c>
      <c r="F83" s="1" t="s">
        <v>28</v>
      </c>
      <c r="G83" s="1" t="s">
        <v>238</v>
      </c>
      <c r="H83" s="1">
        <v>102796.32</v>
      </c>
      <c r="I83" s="1" t="s">
        <v>239</v>
      </c>
      <c r="J83" s="1">
        <v>-5196115939</v>
      </c>
      <c r="K83" s="1" t="s">
        <v>30</v>
      </c>
      <c r="L83" s="1" t="b">
        <v>0</v>
      </c>
    </row>
    <row r="84" spans="1:12" x14ac:dyDescent="0.3">
      <c r="A84" s="1" t="s">
        <v>240</v>
      </c>
      <c r="B84" s="1" t="s">
        <v>59</v>
      </c>
      <c r="C84" s="1" t="s">
        <v>26</v>
      </c>
      <c r="D84" s="1">
        <v>25</v>
      </c>
      <c r="E84" s="1" t="s">
        <v>109</v>
      </c>
      <c r="F84" s="1" t="s">
        <v>16</v>
      </c>
      <c r="G84" s="1" t="s">
        <v>241</v>
      </c>
      <c r="H84" s="1">
        <v>83149.27</v>
      </c>
      <c r="I84" s="1" t="s">
        <v>242</v>
      </c>
      <c r="J84" s="1">
        <v>-8215454469</v>
      </c>
      <c r="K84" s="1" t="s">
        <v>41</v>
      </c>
      <c r="L84" s="1" t="b">
        <v>1</v>
      </c>
    </row>
    <row r="85" spans="1:12" x14ac:dyDescent="0.3">
      <c r="A85" s="1" t="s">
        <v>243</v>
      </c>
      <c r="B85" s="1" t="s">
        <v>59</v>
      </c>
      <c r="C85" s="1" t="s">
        <v>43</v>
      </c>
      <c r="D85" s="1">
        <v>40</v>
      </c>
      <c r="E85" s="1" t="s">
        <v>15</v>
      </c>
      <c r="F85" s="1" t="s">
        <v>33</v>
      </c>
      <c r="G85" s="2">
        <v>44086</v>
      </c>
      <c r="H85" s="1">
        <v>92412.49</v>
      </c>
      <c r="I85" s="1" t="s">
        <v>101</v>
      </c>
      <c r="J85" s="1">
        <v>-2296044326</v>
      </c>
      <c r="K85" s="1" t="s">
        <v>23</v>
      </c>
      <c r="L85" s="1" t="b">
        <v>1</v>
      </c>
    </row>
    <row r="86" spans="1:12" x14ac:dyDescent="0.3">
      <c r="A86" s="1" t="s">
        <v>244</v>
      </c>
      <c r="B86" s="1" t="s">
        <v>13</v>
      </c>
      <c r="C86" s="1" t="s">
        <v>14</v>
      </c>
      <c r="D86" s="1">
        <v>30</v>
      </c>
      <c r="E86" s="1" t="s">
        <v>139</v>
      </c>
      <c r="F86" s="1" t="s">
        <v>28</v>
      </c>
      <c r="G86" s="1" t="s">
        <v>245</v>
      </c>
      <c r="H86" s="1">
        <v>115022.1</v>
      </c>
      <c r="I86" s="1" t="s">
        <v>17</v>
      </c>
      <c r="J86" s="1">
        <v>-185106793</v>
      </c>
      <c r="K86" s="1" t="s">
        <v>30</v>
      </c>
      <c r="L86" s="1" t="b">
        <v>0</v>
      </c>
    </row>
    <row r="87" spans="1:12" x14ac:dyDescent="0.3">
      <c r="A87" s="1" t="s">
        <v>246</v>
      </c>
      <c r="B87" s="1" t="s">
        <v>69</v>
      </c>
      <c r="C87" s="1" t="s">
        <v>38</v>
      </c>
      <c r="D87" s="1">
        <v>40</v>
      </c>
      <c r="E87" s="1" t="s">
        <v>56</v>
      </c>
      <c r="F87" s="1" t="s">
        <v>16</v>
      </c>
      <c r="G87" s="1" t="s">
        <v>247</v>
      </c>
      <c r="H87" s="1">
        <v>98343.01</v>
      </c>
      <c r="I87" s="1" t="s">
        <v>71</v>
      </c>
      <c r="J87" s="1">
        <v>-9756792286</v>
      </c>
      <c r="K87" s="1" t="s">
        <v>41</v>
      </c>
      <c r="L87" s="1" t="b">
        <v>0</v>
      </c>
    </row>
    <row r="88" spans="1:12" x14ac:dyDescent="0.3">
      <c r="A88" s="1" t="s">
        <v>248</v>
      </c>
      <c r="B88" s="1" t="s">
        <v>13</v>
      </c>
      <c r="C88" s="1" t="s">
        <v>92</v>
      </c>
      <c r="D88" s="1">
        <v>35</v>
      </c>
      <c r="E88" s="1" t="s">
        <v>78</v>
      </c>
      <c r="F88" s="1" t="s">
        <v>16</v>
      </c>
      <c r="G88" s="1" t="s">
        <v>249</v>
      </c>
      <c r="H88" s="1">
        <v>118869.1</v>
      </c>
      <c r="I88" s="1" t="s">
        <v>93</v>
      </c>
      <c r="J88" s="1">
        <v>-7725199662</v>
      </c>
      <c r="K88" s="1" t="s">
        <v>23</v>
      </c>
      <c r="L88" s="1" t="b">
        <v>1</v>
      </c>
    </row>
    <row r="89" spans="1:12" x14ac:dyDescent="0.3">
      <c r="A89" s="1" t="s">
        <v>250</v>
      </c>
      <c r="B89" s="1" t="s">
        <v>37</v>
      </c>
      <c r="C89" s="1" t="s">
        <v>122</v>
      </c>
      <c r="D89" s="1"/>
      <c r="E89" s="1" t="s">
        <v>100</v>
      </c>
      <c r="F89" s="1" t="s">
        <v>33</v>
      </c>
      <c r="G89" s="1" t="s">
        <v>251</v>
      </c>
      <c r="H89" s="1">
        <v>85417.26</v>
      </c>
      <c r="I89" s="1" t="s">
        <v>137</v>
      </c>
      <c r="J89" s="1">
        <v>-6580741208</v>
      </c>
      <c r="K89" s="1" t="s">
        <v>30</v>
      </c>
      <c r="L89" s="1" t="b">
        <v>1</v>
      </c>
    </row>
    <row r="90" spans="1:12" x14ac:dyDescent="0.3">
      <c r="A90" s="1" t="s">
        <v>252</v>
      </c>
      <c r="B90" s="1" t="s">
        <v>69</v>
      </c>
      <c r="C90" s="1" t="s">
        <v>20</v>
      </c>
      <c r="D90" s="1">
        <v>40</v>
      </c>
      <c r="E90" s="1" t="s">
        <v>39</v>
      </c>
      <c r="F90" s="1" t="s">
        <v>33</v>
      </c>
      <c r="G90" s="1" t="s">
        <v>253</v>
      </c>
      <c r="H90" s="1">
        <v>112410.25</v>
      </c>
      <c r="I90" s="1" t="s">
        <v>201</v>
      </c>
      <c r="J90" s="1">
        <v>-4818139889</v>
      </c>
      <c r="K90" s="1" t="s">
        <v>30</v>
      </c>
      <c r="L90" s="1" t="b">
        <v>1</v>
      </c>
    </row>
    <row r="91" spans="1:12" x14ac:dyDescent="0.3">
      <c r="A91" s="1" t="s">
        <v>254</v>
      </c>
      <c r="B91" s="1" t="s">
        <v>54</v>
      </c>
      <c r="C91" s="1" t="s">
        <v>55</v>
      </c>
      <c r="D91" s="1">
        <v>40</v>
      </c>
      <c r="E91" s="1" t="s">
        <v>27</v>
      </c>
      <c r="F91" s="1" t="s">
        <v>28</v>
      </c>
      <c r="G91" s="1" t="s">
        <v>255</v>
      </c>
      <c r="H91" s="1">
        <v>68905.77</v>
      </c>
      <c r="I91" s="1" t="s">
        <v>57</v>
      </c>
      <c r="J91" s="1">
        <v>-9837801819</v>
      </c>
      <c r="K91" s="1" t="s">
        <v>18</v>
      </c>
      <c r="L91" s="1" t="b">
        <v>0</v>
      </c>
    </row>
    <row r="92" spans="1:12" x14ac:dyDescent="0.3">
      <c r="A92" s="1" t="s">
        <v>256</v>
      </c>
      <c r="B92" s="1" t="s">
        <v>65</v>
      </c>
      <c r="C92" s="1" t="s">
        <v>43</v>
      </c>
      <c r="D92" s="1">
        <v>40</v>
      </c>
      <c r="E92" s="1" t="s">
        <v>100</v>
      </c>
      <c r="F92" s="1" t="s">
        <v>28</v>
      </c>
      <c r="G92" s="2">
        <v>44262</v>
      </c>
      <c r="H92" s="1">
        <v>72561.320000000007</v>
      </c>
      <c r="I92" s="1" t="s">
        <v>257</v>
      </c>
      <c r="J92" s="1">
        <v>-4339718955</v>
      </c>
      <c r="K92" s="1" t="s">
        <v>23</v>
      </c>
      <c r="L92" s="1" t="b">
        <v>1</v>
      </c>
    </row>
    <row r="93" spans="1:12" x14ac:dyDescent="0.3">
      <c r="A93" s="1" t="s">
        <v>258</v>
      </c>
      <c r="B93" s="1" t="s">
        <v>13</v>
      </c>
      <c r="C93" s="1" t="s">
        <v>20</v>
      </c>
      <c r="D93" s="1">
        <v>35</v>
      </c>
      <c r="E93" s="1" t="s">
        <v>227</v>
      </c>
      <c r="F93" s="1" t="s">
        <v>33</v>
      </c>
      <c r="G93" s="1" t="s">
        <v>259</v>
      </c>
      <c r="H93" s="1">
        <v>92723.22</v>
      </c>
      <c r="I93" s="1" t="s">
        <v>22</v>
      </c>
      <c r="J93" s="1">
        <v>-9070562607</v>
      </c>
      <c r="K93" s="1" t="s">
        <v>23</v>
      </c>
      <c r="L93" s="1" t="b">
        <v>1</v>
      </c>
    </row>
    <row r="94" spans="1:12" x14ac:dyDescent="0.3">
      <c r="A94" s="1" t="s">
        <v>260</v>
      </c>
      <c r="B94" s="1" t="s">
        <v>25</v>
      </c>
      <c r="C94" s="1" t="s">
        <v>55</v>
      </c>
      <c r="D94" s="1">
        <v>40</v>
      </c>
      <c r="E94" s="1" t="s">
        <v>66</v>
      </c>
      <c r="F94" s="1" t="s">
        <v>33</v>
      </c>
      <c r="G94" s="2">
        <v>44472</v>
      </c>
      <c r="H94" s="1">
        <v>74837.75</v>
      </c>
      <c r="I94" s="1" t="s">
        <v>150</v>
      </c>
      <c r="J94" s="1">
        <v>-5641118241</v>
      </c>
      <c r="K94" s="1" t="s">
        <v>41</v>
      </c>
      <c r="L94" s="1" t="b">
        <v>0</v>
      </c>
    </row>
    <row r="95" spans="1:12" x14ac:dyDescent="0.3">
      <c r="A95" s="1" t="s">
        <v>261</v>
      </c>
      <c r="B95" s="1" t="s">
        <v>32</v>
      </c>
      <c r="C95" s="1" t="s">
        <v>92</v>
      </c>
      <c r="D95" s="1"/>
      <c r="E95" s="1" t="s">
        <v>15</v>
      </c>
      <c r="F95" s="1" t="s">
        <v>28</v>
      </c>
      <c r="G95" s="1" t="s">
        <v>262</v>
      </c>
      <c r="H95" s="1">
        <v>86163.91</v>
      </c>
      <c r="I95" s="1" t="s">
        <v>263</v>
      </c>
      <c r="J95" s="1">
        <v>-2412462094</v>
      </c>
      <c r="K95" s="1" t="s">
        <v>18</v>
      </c>
      <c r="L95" s="1" t="b">
        <v>1</v>
      </c>
    </row>
    <row r="96" spans="1:12" x14ac:dyDescent="0.3">
      <c r="A96" s="1" t="s">
        <v>264</v>
      </c>
      <c r="B96" s="1" t="s">
        <v>59</v>
      </c>
      <c r="C96" s="1" t="s">
        <v>92</v>
      </c>
      <c r="D96" s="1">
        <v>40</v>
      </c>
      <c r="E96" s="1" t="s">
        <v>265</v>
      </c>
      <c r="F96" s="1" t="s">
        <v>16</v>
      </c>
      <c r="G96" s="1" t="s">
        <v>266</v>
      </c>
      <c r="H96" s="1">
        <v>83326.52</v>
      </c>
      <c r="I96" s="1" t="s">
        <v>107</v>
      </c>
      <c r="J96" s="1">
        <v>-2004615264</v>
      </c>
      <c r="K96" s="1" t="s">
        <v>18</v>
      </c>
      <c r="L96" s="1" t="b">
        <v>1</v>
      </c>
    </row>
    <row r="97" spans="1:12" x14ac:dyDescent="0.3">
      <c r="A97" s="1" t="s">
        <v>267</v>
      </c>
      <c r="B97" s="1" t="s">
        <v>65</v>
      </c>
      <c r="C97" s="1" t="s">
        <v>92</v>
      </c>
      <c r="D97" s="1">
        <v>25</v>
      </c>
      <c r="E97" s="1" t="s">
        <v>268</v>
      </c>
      <c r="F97" s="1" t="s">
        <v>16</v>
      </c>
      <c r="G97" s="2">
        <v>44777</v>
      </c>
      <c r="H97" s="1">
        <v>98425.1</v>
      </c>
      <c r="I97" s="1" t="s">
        <v>130</v>
      </c>
      <c r="J97" s="1">
        <v>-4610339936</v>
      </c>
      <c r="K97" s="1" t="s">
        <v>18</v>
      </c>
      <c r="L97" s="1" t="b">
        <v>1</v>
      </c>
    </row>
    <row r="98" spans="1:12" x14ac:dyDescent="0.3">
      <c r="A98" s="1" t="s">
        <v>269</v>
      </c>
      <c r="B98" s="1" t="s">
        <v>37</v>
      </c>
      <c r="C98" s="1" t="s">
        <v>55</v>
      </c>
      <c r="D98" s="1">
        <v>40</v>
      </c>
      <c r="E98" s="1" t="s">
        <v>98</v>
      </c>
      <c r="F98" s="1" t="s">
        <v>33</v>
      </c>
      <c r="G98" s="1" t="s">
        <v>270</v>
      </c>
      <c r="H98" s="1">
        <v>119764.2</v>
      </c>
      <c r="I98" s="1" t="s">
        <v>271</v>
      </c>
      <c r="J98" s="1">
        <v>-8861405785</v>
      </c>
      <c r="K98" s="1" t="s">
        <v>18</v>
      </c>
      <c r="L98" s="1" t="b">
        <v>0</v>
      </c>
    </row>
    <row r="99" spans="1:12" x14ac:dyDescent="0.3">
      <c r="A99" s="1" t="s">
        <v>272</v>
      </c>
      <c r="B99" s="1" t="s">
        <v>37</v>
      </c>
      <c r="C99" s="1" t="s">
        <v>20</v>
      </c>
      <c r="D99" s="1">
        <v>40</v>
      </c>
      <c r="E99" s="1" t="s">
        <v>146</v>
      </c>
      <c r="F99" s="1" t="s">
        <v>33</v>
      </c>
      <c r="G99" s="1" t="s">
        <v>273</v>
      </c>
      <c r="H99" s="1">
        <v>58445.91</v>
      </c>
      <c r="I99" s="1" t="s">
        <v>239</v>
      </c>
      <c r="J99" s="1">
        <v>-1706304890</v>
      </c>
      <c r="K99" s="1" t="s">
        <v>23</v>
      </c>
      <c r="L99" s="1" t="b">
        <v>0</v>
      </c>
    </row>
    <row r="100" spans="1:12" x14ac:dyDescent="0.3">
      <c r="A100" s="1" t="s">
        <v>274</v>
      </c>
      <c r="B100" s="1" t="s">
        <v>13</v>
      </c>
      <c r="C100" s="1" t="s">
        <v>92</v>
      </c>
      <c r="D100" s="1"/>
      <c r="E100" s="1" t="s">
        <v>56</v>
      </c>
      <c r="F100" s="1" t="s">
        <v>16</v>
      </c>
      <c r="G100" s="1" t="s">
        <v>275</v>
      </c>
      <c r="H100" s="1">
        <v>101702.33</v>
      </c>
      <c r="I100" s="1" t="s">
        <v>93</v>
      </c>
      <c r="J100" s="1">
        <v>-3824967182</v>
      </c>
      <c r="K100" s="1" t="s">
        <v>23</v>
      </c>
      <c r="L100" s="1" t="b">
        <v>0</v>
      </c>
    </row>
    <row r="101" spans="1:12" x14ac:dyDescent="0.3">
      <c r="A101" s="1" t="s">
        <v>276</v>
      </c>
      <c r="B101" s="1" t="s">
        <v>32</v>
      </c>
      <c r="C101" s="1" t="s">
        <v>26</v>
      </c>
      <c r="D101" s="1">
        <v>25</v>
      </c>
      <c r="E101" s="1" t="s">
        <v>118</v>
      </c>
      <c r="F101" s="1" t="s">
        <v>16</v>
      </c>
      <c r="G101" s="2">
        <v>44805</v>
      </c>
      <c r="H101" s="1"/>
      <c r="I101" s="1" t="s">
        <v>277</v>
      </c>
      <c r="J101" s="1">
        <v>-2582386869</v>
      </c>
      <c r="K101" s="1" t="s">
        <v>30</v>
      </c>
      <c r="L101" s="1" t="b">
        <v>0</v>
      </c>
    </row>
    <row r="102" spans="1:12" x14ac:dyDescent="0.3">
      <c r="A102" s="1" t="s">
        <v>278</v>
      </c>
      <c r="B102" s="1" t="s">
        <v>54</v>
      </c>
      <c r="C102" s="1" t="s">
        <v>14</v>
      </c>
      <c r="D102" s="1">
        <v>35</v>
      </c>
      <c r="E102" s="1" t="s">
        <v>159</v>
      </c>
      <c r="F102" s="1" t="s">
        <v>28</v>
      </c>
      <c r="G102" s="1" t="s">
        <v>279</v>
      </c>
      <c r="H102" s="1">
        <v>98819.22</v>
      </c>
      <c r="I102" s="1" t="s">
        <v>170</v>
      </c>
      <c r="J102" s="1">
        <v>-794200748</v>
      </c>
      <c r="K102" s="1" t="s">
        <v>30</v>
      </c>
      <c r="L102" s="1" t="b">
        <v>0</v>
      </c>
    </row>
    <row r="103" spans="1:12" x14ac:dyDescent="0.3">
      <c r="A103" s="1" t="s">
        <v>280</v>
      </c>
      <c r="B103" s="1" t="s">
        <v>65</v>
      </c>
      <c r="C103" s="1" t="s">
        <v>55</v>
      </c>
      <c r="D103" s="1">
        <v>25</v>
      </c>
      <c r="E103" s="1" t="s">
        <v>95</v>
      </c>
      <c r="F103" s="1" t="s">
        <v>33</v>
      </c>
      <c r="G103" s="1" t="s">
        <v>281</v>
      </c>
      <c r="H103" s="1">
        <v>83509.990000000005</v>
      </c>
      <c r="I103" s="1" t="s">
        <v>113</v>
      </c>
      <c r="J103" s="1">
        <v>-4653984027</v>
      </c>
      <c r="K103" s="1" t="s">
        <v>18</v>
      </c>
      <c r="L103" s="1" t="b">
        <v>0</v>
      </c>
    </row>
    <row r="104" spans="1:12" x14ac:dyDescent="0.3">
      <c r="A104" s="1" t="s">
        <v>282</v>
      </c>
      <c r="B104" s="1" t="s">
        <v>25</v>
      </c>
      <c r="C104" s="1" t="s">
        <v>55</v>
      </c>
      <c r="D104" s="1">
        <v>35</v>
      </c>
      <c r="E104" s="1" t="s">
        <v>21</v>
      </c>
      <c r="F104" s="1" t="s">
        <v>16</v>
      </c>
      <c r="G104" s="1" t="s">
        <v>283</v>
      </c>
      <c r="H104" s="1">
        <v>84422.26</v>
      </c>
      <c r="I104" s="1" t="s">
        <v>150</v>
      </c>
      <c r="J104" s="1">
        <v>-9141612845</v>
      </c>
      <c r="K104" s="1" t="s">
        <v>18</v>
      </c>
      <c r="L104" s="1" t="b">
        <v>0</v>
      </c>
    </row>
    <row r="105" spans="1:12" x14ac:dyDescent="0.3">
      <c r="A105" s="1" t="s">
        <v>284</v>
      </c>
      <c r="B105" s="1" t="s">
        <v>25</v>
      </c>
      <c r="C105" s="1" t="s">
        <v>20</v>
      </c>
      <c r="D105" s="1">
        <v>30</v>
      </c>
      <c r="E105" s="1" t="s">
        <v>89</v>
      </c>
      <c r="F105" s="1" t="s">
        <v>33</v>
      </c>
      <c r="G105" s="1" t="s">
        <v>285</v>
      </c>
      <c r="H105" s="1">
        <v>119574.27</v>
      </c>
      <c r="I105" s="1" t="s">
        <v>80</v>
      </c>
      <c r="J105" s="1">
        <v>-3985547434</v>
      </c>
      <c r="K105" s="1" t="s">
        <v>18</v>
      </c>
      <c r="L105" s="1" t="b">
        <v>1</v>
      </c>
    </row>
    <row r="106" spans="1:12" x14ac:dyDescent="0.3">
      <c r="A106" s="1" t="s">
        <v>286</v>
      </c>
      <c r="B106" s="1" t="s">
        <v>69</v>
      </c>
      <c r="C106" s="1" t="s">
        <v>55</v>
      </c>
      <c r="D106" s="1"/>
      <c r="E106" s="1" t="s">
        <v>98</v>
      </c>
      <c r="F106" s="1" t="s">
        <v>16</v>
      </c>
      <c r="G106" s="2">
        <v>45478</v>
      </c>
      <c r="H106" s="1">
        <v>86580.08</v>
      </c>
      <c r="I106" s="1" t="s">
        <v>127</v>
      </c>
      <c r="J106" s="1">
        <v>-5379502096</v>
      </c>
      <c r="K106" s="1" t="s">
        <v>30</v>
      </c>
      <c r="L106" s="1" t="b">
        <v>1</v>
      </c>
    </row>
    <row r="107" spans="1:12" x14ac:dyDescent="0.3">
      <c r="A107" s="1" t="s">
        <v>287</v>
      </c>
      <c r="B107" s="1" t="s">
        <v>65</v>
      </c>
      <c r="C107" s="1" t="s">
        <v>55</v>
      </c>
      <c r="D107" s="1">
        <v>35</v>
      </c>
      <c r="E107" s="1" t="s">
        <v>74</v>
      </c>
      <c r="F107" s="1" t="s">
        <v>33</v>
      </c>
      <c r="G107" s="2">
        <v>45202</v>
      </c>
      <c r="H107" s="1">
        <v>93471.91</v>
      </c>
      <c r="I107" s="1" t="s">
        <v>113</v>
      </c>
      <c r="J107" s="1">
        <v>-26876810</v>
      </c>
      <c r="K107" s="1" t="s">
        <v>41</v>
      </c>
      <c r="L107" s="1" t="b">
        <v>0</v>
      </c>
    </row>
    <row r="108" spans="1:12" x14ac:dyDescent="0.3">
      <c r="A108" s="1" t="s">
        <v>288</v>
      </c>
      <c r="B108" s="1" t="s">
        <v>13</v>
      </c>
      <c r="C108" s="1" t="s">
        <v>92</v>
      </c>
      <c r="D108" s="1">
        <v>30</v>
      </c>
      <c r="E108" s="1" t="s">
        <v>56</v>
      </c>
      <c r="F108" s="1" t="s">
        <v>33</v>
      </c>
      <c r="G108" s="1" t="s">
        <v>289</v>
      </c>
      <c r="H108" s="1">
        <v>55683.12</v>
      </c>
      <c r="I108" s="1" t="s">
        <v>93</v>
      </c>
      <c r="J108" s="1">
        <v>-8071569561</v>
      </c>
      <c r="K108" s="1" t="s">
        <v>41</v>
      </c>
      <c r="L108" s="1" t="b">
        <v>1</v>
      </c>
    </row>
    <row r="109" spans="1:12" x14ac:dyDescent="0.3">
      <c r="A109" s="1" t="s">
        <v>290</v>
      </c>
      <c r="B109" s="1" t="s">
        <v>13</v>
      </c>
      <c r="C109" s="1" t="s">
        <v>20</v>
      </c>
      <c r="D109" s="1">
        <v>30</v>
      </c>
      <c r="E109" s="1" t="s">
        <v>39</v>
      </c>
      <c r="F109" s="1" t="s">
        <v>33</v>
      </c>
      <c r="G109" s="2">
        <v>45271</v>
      </c>
      <c r="H109" s="1">
        <v>91566.78</v>
      </c>
      <c r="I109" s="1" t="s">
        <v>22</v>
      </c>
      <c r="J109" s="1">
        <v>-175370303</v>
      </c>
      <c r="K109" s="1" t="s">
        <v>30</v>
      </c>
      <c r="L109" s="1" t="b">
        <v>1</v>
      </c>
    </row>
    <row r="110" spans="1:12" x14ac:dyDescent="0.3">
      <c r="A110" s="1" t="s">
        <v>291</v>
      </c>
      <c r="B110" s="1" t="s">
        <v>59</v>
      </c>
      <c r="C110" s="1" t="s">
        <v>92</v>
      </c>
      <c r="D110" s="1">
        <v>35</v>
      </c>
      <c r="E110" s="1" t="s">
        <v>15</v>
      </c>
      <c r="F110" s="1" t="s">
        <v>28</v>
      </c>
      <c r="G110" s="1" t="s">
        <v>292</v>
      </c>
      <c r="H110" s="1">
        <v>81782.19</v>
      </c>
      <c r="I110" s="1" t="s">
        <v>107</v>
      </c>
      <c r="J110" s="1">
        <v>-5319433749</v>
      </c>
      <c r="K110" s="1" t="s">
        <v>30</v>
      </c>
      <c r="L110" s="1" t="b">
        <v>0</v>
      </c>
    </row>
    <row r="111" spans="1:12" x14ac:dyDescent="0.3">
      <c r="A111" s="1" t="s">
        <v>293</v>
      </c>
      <c r="B111" s="1" t="s">
        <v>32</v>
      </c>
      <c r="C111" s="1" t="s">
        <v>14</v>
      </c>
      <c r="D111" s="1"/>
      <c r="E111" s="1" t="s">
        <v>56</v>
      </c>
      <c r="F111" s="1" t="s">
        <v>33</v>
      </c>
      <c r="G111" s="1" t="s">
        <v>294</v>
      </c>
      <c r="H111" s="1">
        <v>88119.37</v>
      </c>
      <c r="I111" s="1" t="s">
        <v>35</v>
      </c>
      <c r="J111" s="1">
        <v>-4793036148</v>
      </c>
      <c r="K111" s="1" t="s">
        <v>30</v>
      </c>
      <c r="L111" s="1" t="b">
        <v>1</v>
      </c>
    </row>
    <row r="112" spans="1:12" x14ac:dyDescent="0.3">
      <c r="A112" s="1" t="s">
        <v>295</v>
      </c>
      <c r="B112" s="1" t="s">
        <v>32</v>
      </c>
      <c r="C112" s="1" t="s">
        <v>43</v>
      </c>
      <c r="D112" s="1">
        <v>30</v>
      </c>
      <c r="E112" s="1" t="s">
        <v>159</v>
      </c>
      <c r="F112" s="1" t="s">
        <v>16</v>
      </c>
      <c r="G112" s="2">
        <v>45602</v>
      </c>
      <c r="H112" s="1">
        <v>71532.83</v>
      </c>
      <c r="I112" s="1" t="s">
        <v>296</v>
      </c>
      <c r="J112" s="1">
        <v>-8728399920</v>
      </c>
      <c r="K112" s="1" t="s">
        <v>30</v>
      </c>
      <c r="L112" s="1" t="b">
        <v>1</v>
      </c>
    </row>
    <row r="113" spans="1:12" x14ac:dyDescent="0.3">
      <c r="A113" s="1" t="s">
        <v>297</v>
      </c>
      <c r="B113" s="1" t="s">
        <v>32</v>
      </c>
      <c r="C113" s="1" t="s">
        <v>14</v>
      </c>
      <c r="D113" s="1">
        <v>40</v>
      </c>
      <c r="E113" s="1" t="s">
        <v>39</v>
      </c>
      <c r="F113" s="1" t="s">
        <v>28</v>
      </c>
      <c r="G113" s="1" t="s">
        <v>298</v>
      </c>
      <c r="H113" s="1">
        <v>98981.36</v>
      </c>
      <c r="I113" s="1" t="s">
        <v>35</v>
      </c>
      <c r="J113" s="1">
        <v>-9212493842</v>
      </c>
      <c r="K113" s="1" t="s">
        <v>30</v>
      </c>
      <c r="L113" s="1" t="b">
        <v>1</v>
      </c>
    </row>
    <row r="114" spans="1:12" x14ac:dyDescent="0.3">
      <c r="A114" s="1" t="s">
        <v>299</v>
      </c>
      <c r="B114" s="1" t="s">
        <v>65</v>
      </c>
      <c r="C114" s="1" t="s">
        <v>43</v>
      </c>
      <c r="D114" s="1">
        <v>40</v>
      </c>
      <c r="E114" s="1" t="s">
        <v>95</v>
      </c>
      <c r="F114" s="1" t="s">
        <v>16</v>
      </c>
      <c r="G114" s="1" t="s">
        <v>300</v>
      </c>
      <c r="H114" s="1">
        <v>80242.009999999995</v>
      </c>
      <c r="I114" s="1" t="s">
        <v>257</v>
      </c>
      <c r="J114" s="1">
        <v>-894870604</v>
      </c>
      <c r="K114" s="1" t="s">
        <v>30</v>
      </c>
      <c r="L114" s="1" t="b">
        <v>1</v>
      </c>
    </row>
    <row r="115" spans="1:12" x14ac:dyDescent="0.3">
      <c r="A115" s="1" t="s">
        <v>301</v>
      </c>
      <c r="B115" s="1" t="s">
        <v>32</v>
      </c>
      <c r="C115" s="1" t="s">
        <v>92</v>
      </c>
      <c r="D115" s="1">
        <v>25</v>
      </c>
      <c r="E115" s="1" t="s">
        <v>60</v>
      </c>
      <c r="F115" s="1" t="s">
        <v>28</v>
      </c>
      <c r="G115" s="2">
        <v>45513</v>
      </c>
      <c r="H115" s="1">
        <v>110236.18</v>
      </c>
      <c r="I115" s="1" t="s">
        <v>263</v>
      </c>
      <c r="J115" s="1">
        <v>-6641877579</v>
      </c>
      <c r="K115" s="1" t="s">
        <v>18</v>
      </c>
      <c r="L115" s="1" t="b">
        <v>1</v>
      </c>
    </row>
    <row r="116" spans="1:12" x14ac:dyDescent="0.3">
      <c r="A116" s="1" t="s">
        <v>302</v>
      </c>
      <c r="B116" s="1" t="s">
        <v>25</v>
      </c>
      <c r="C116" s="1" t="s">
        <v>14</v>
      </c>
      <c r="D116" s="1">
        <v>35</v>
      </c>
      <c r="E116" s="1" t="s">
        <v>44</v>
      </c>
      <c r="F116" s="1" t="s">
        <v>16</v>
      </c>
      <c r="G116" s="1" t="s">
        <v>303</v>
      </c>
      <c r="H116" s="1">
        <v>86327.47</v>
      </c>
      <c r="I116" s="1" t="s">
        <v>163</v>
      </c>
      <c r="J116" s="1">
        <v>-3046875062</v>
      </c>
      <c r="K116" s="1" t="s">
        <v>18</v>
      </c>
      <c r="L116" s="1" t="b">
        <v>0</v>
      </c>
    </row>
    <row r="117" spans="1:12" x14ac:dyDescent="0.3">
      <c r="A117" s="1" t="s">
        <v>304</v>
      </c>
      <c r="B117" s="1" t="s">
        <v>32</v>
      </c>
      <c r="C117" s="1" t="s">
        <v>20</v>
      </c>
      <c r="D117" s="1">
        <v>30</v>
      </c>
      <c r="E117" s="1" t="s">
        <v>74</v>
      </c>
      <c r="F117" s="1" t="s">
        <v>28</v>
      </c>
      <c r="G117" s="1" t="s">
        <v>305</v>
      </c>
      <c r="H117" s="1">
        <v>84420.81</v>
      </c>
      <c r="I117" s="1" t="s">
        <v>155</v>
      </c>
      <c r="J117" s="1">
        <v>-5190361331</v>
      </c>
      <c r="K117" s="1" t="s">
        <v>18</v>
      </c>
      <c r="L117" s="1" t="b">
        <v>0</v>
      </c>
    </row>
    <row r="118" spans="1:12" x14ac:dyDescent="0.3">
      <c r="A118" s="1" t="s">
        <v>306</v>
      </c>
      <c r="B118" s="1" t="s">
        <v>37</v>
      </c>
      <c r="C118" s="1" t="s">
        <v>122</v>
      </c>
      <c r="D118" s="1">
        <v>40</v>
      </c>
      <c r="E118" s="1" t="s">
        <v>146</v>
      </c>
      <c r="F118" s="1" t="s">
        <v>28</v>
      </c>
      <c r="G118" s="2">
        <v>43869</v>
      </c>
      <c r="H118" s="1">
        <v>110041.32</v>
      </c>
      <c r="I118" s="1" t="s">
        <v>137</v>
      </c>
      <c r="J118" s="1">
        <v>-5411076094</v>
      </c>
      <c r="K118" s="1" t="s">
        <v>18</v>
      </c>
      <c r="L118" s="1" t="b">
        <v>0</v>
      </c>
    </row>
    <row r="119" spans="1:12" x14ac:dyDescent="0.3">
      <c r="A119" s="1" t="s">
        <v>307</v>
      </c>
      <c r="B119" s="1" t="s">
        <v>65</v>
      </c>
      <c r="C119" s="1" t="s">
        <v>92</v>
      </c>
      <c r="D119" s="1">
        <v>35</v>
      </c>
      <c r="E119" s="1" t="s">
        <v>230</v>
      </c>
      <c r="F119" s="1" t="s">
        <v>28</v>
      </c>
      <c r="G119" s="1" t="s">
        <v>308</v>
      </c>
      <c r="H119" s="1">
        <v>81837.81</v>
      </c>
      <c r="I119" s="1" t="s">
        <v>130</v>
      </c>
      <c r="J119" s="1">
        <v>-4317350582</v>
      </c>
      <c r="K119" s="1" t="s">
        <v>30</v>
      </c>
      <c r="L119" s="1" t="b">
        <v>1</v>
      </c>
    </row>
    <row r="120" spans="1:12" x14ac:dyDescent="0.3">
      <c r="A120" s="1" t="s">
        <v>309</v>
      </c>
      <c r="B120" s="1" t="s">
        <v>37</v>
      </c>
      <c r="C120" s="1" t="s">
        <v>43</v>
      </c>
      <c r="D120" s="1">
        <v>25</v>
      </c>
      <c r="E120" s="1" t="s">
        <v>265</v>
      </c>
      <c r="F120" s="1" t="s">
        <v>16</v>
      </c>
      <c r="G120" s="2">
        <v>45147</v>
      </c>
      <c r="H120" s="1">
        <v>110855.72</v>
      </c>
      <c r="I120" s="1" t="s">
        <v>180</v>
      </c>
      <c r="J120" s="1">
        <v>-1997179109</v>
      </c>
      <c r="K120" s="1" t="s">
        <v>41</v>
      </c>
      <c r="L120" s="1" t="b">
        <v>0</v>
      </c>
    </row>
    <row r="121" spans="1:12" x14ac:dyDescent="0.3">
      <c r="A121" s="1" t="s">
        <v>310</v>
      </c>
      <c r="B121" s="1" t="s">
        <v>25</v>
      </c>
      <c r="C121" s="1" t="s">
        <v>26</v>
      </c>
      <c r="D121" s="1">
        <v>30</v>
      </c>
      <c r="E121" s="1" t="s">
        <v>177</v>
      </c>
      <c r="F121" s="1" t="s">
        <v>28</v>
      </c>
      <c r="G121" s="1" t="s">
        <v>311</v>
      </c>
      <c r="H121" s="1">
        <v>84894.52</v>
      </c>
      <c r="I121" s="1" t="s">
        <v>29</v>
      </c>
      <c r="J121" s="1">
        <v>-651207048</v>
      </c>
      <c r="K121" s="1" t="s">
        <v>23</v>
      </c>
      <c r="L121" s="1" t="b">
        <v>1</v>
      </c>
    </row>
    <row r="122" spans="1:12" x14ac:dyDescent="0.3">
      <c r="A122" s="1" t="s">
        <v>312</v>
      </c>
      <c r="B122" s="1" t="s">
        <v>25</v>
      </c>
      <c r="C122" s="1" t="s">
        <v>43</v>
      </c>
      <c r="D122" s="1">
        <v>30</v>
      </c>
      <c r="E122" s="1" t="s">
        <v>192</v>
      </c>
      <c r="F122" s="1" t="s">
        <v>16</v>
      </c>
      <c r="G122" s="2">
        <v>44538</v>
      </c>
      <c r="H122" s="1">
        <v>80668.13</v>
      </c>
      <c r="I122" s="1" t="s">
        <v>45</v>
      </c>
      <c r="J122" s="1">
        <v>-6110804660</v>
      </c>
      <c r="K122" s="1" t="s">
        <v>30</v>
      </c>
      <c r="L122" s="1" t="b">
        <v>1</v>
      </c>
    </row>
    <row r="123" spans="1:12" x14ac:dyDescent="0.3">
      <c r="A123" s="1" t="s">
        <v>313</v>
      </c>
      <c r="B123" s="1" t="s">
        <v>13</v>
      </c>
      <c r="C123" s="1" t="s">
        <v>26</v>
      </c>
      <c r="D123" s="1">
        <v>25</v>
      </c>
      <c r="E123" s="1" t="s">
        <v>78</v>
      </c>
      <c r="F123" s="1" t="s">
        <v>16</v>
      </c>
      <c r="G123" s="1" t="s">
        <v>314</v>
      </c>
      <c r="H123" s="1">
        <v>61086.47</v>
      </c>
      <c r="I123" s="1" t="s">
        <v>50</v>
      </c>
      <c r="J123" s="1">
        <v>-9639907675</v>
      </c>
      <c r="K123" s="1" t="s">
        <v>23</v>
      </c>
      <c r="L123" s="1" t="b">
        <v>1</v>
      </c>
    </row>
    <row r="124" spans="1:12" x14ac:dyDescent="0.3">
      <c r="A124" s="1" t="s">
        <v>315</v>
      </c>
      <c r="B124" s="1" t="s">
        <v>69</v>
      </c>
      <c r="C124" s="1" t="s">
        <v>55</v>
      </c>
      <c r="D124" s="1">
        <v>25</v>
      </c>
      <c r="E124" s="1" t="s">
        <v>103</v>
      </c>
      <c r="F124" s="1" t="s">
        <v>33</v>
      </c>
      <c r="G124" s="1" t="s">
        <v>316</v>
      </c>
      <c r="H124" s="1">
        <v>95339.68</v>
      </c>
      <c r="I124" s="1" t="s">
        <v>127</v>
      </c>
      <c r="J124" s="1">
        <v>-9915078592</v>
      </c>
      <c r="K124" s="1" t="s">
        <v>41</v>
      </c>
      <c r="L124" s="1" t="b">
        <v>1</v>
      </c>
    </row>
    <row r="125" spans="1:12" x14ac:dyDescent="0.3">
      <c r="A125" s="1" t="s">
        <v>317</v>
      </c>
      <c r="B125" s="1" t="s">
        <v>32</v>
      </c>
      <c r="C125" s="1" t="s">
        <v>14</v>
      </c>
      <c r="D125" s="1"/>
      <c r="E125" s="1" t="s">
        <v>15</v>
      </c>
      <c r="F125" s="1" t="s">
        <v>33</v>
      </c>
      <c r="G125" s="2">
        <v>45421</v>
      </c>
      <c r="H125" s="1">
        <v>83774.97</v>
      </c>
      <c r="I125" s="1" t="s">
        <v>35</v>
      </c>
      <c r="J125" s="1">
        <v>-1109193927</v>
      </c>
      <c r="K125" s="1" t="s">
        <v>18</v>
      </c>
      <c r="L125" s="1" t="b">
        <v>0</v>
      </c>
    </row>
    <row r="126" spans="1:12" x14ac:dyDescent="0.3">
      <c r="A126" s="1" t="s">
        <v>318</v>
      </c>
      <c r="B126" s="1" t="s">
        <v>65</v>
      </c>
      <c r="C126" s="1" t="s">
        <v>26</v>
      </c>
      <c r="D126" s="1"/>
      <c r="E126" s="1" t="s">
        <v>205</v>
      </c>
      <c r="F126" s="1" t="s">
        <v>16</v>
      </c>
      <c r="G126" s="2">
        <v>45265</v>
      </c>
      <c r="H126" s="1">
        <v>85576.86</v>
      </c>
      <c r="I126" s="1" t="s">
        <v>319</v>
      </c>
      <c r="J126" s="1">
        <v>-4567972319</v>
      </c>
      <c r="K126" s="1" t="s">
        <v>41</v>
      </c>
      <c r="L126" s="1" t="b">
        <v>0</v>
      </c>
    </row>
    <row r="127" spans="1:12" x14ac:dyDescent="0.3">
      <c r="A127" s="1" t="s">
        <v>320</v>
      </c>
      <c r="B127" s="1" t="s">
        <v>13</v>
      </c>
      <c r="C127" s="1" t="s">
        <v>43</v>
      </c>
      <c r="D127" s="1">
        <v>35</v>
      </c>
      <c r="E127" s="1" t="s">
        <v>70</v>
      </c>
      <c r="F127" s="1" t="s">
        <v>28</v>
      </c>
      <c r="G127" s="2">
        <v>44203</v>
      </c>
      <c r="H127" s="1">
        <v>107438.46</v>
      </c>
      <c r="I127" s="1" t="s">
        <v>153</v>
      </c>
      <c r="J127" s="1">
        <v>-249685497</v>
      </c>
      <c r="K127" s="1" t="s">
        <v>30</v>
      </c>
      <c r="L127" s="1" t="b">
        <v>1</v>
      </c>
    </row>
    <row r="128" spans="1:12" x14ac:dyDescent="0.3">
      <c r="A128" s="1" t="s">
        <v>321</v>
      </c>
      <c r="B128" s="1" t="s">
        <v>32</v>
      </c>
      <c r="C128" s="1" t="s">
        <v>55</v>
      </c>
      <c r="D128" s="1"/>
      <c r="E128" s="1" t="s">
        <v>219</v>
      </c>
      <c r="F128" s="1" t="s">
        <v>33</v>
      </c>
      <c r="G128" s="2">
        <v>45484</v>
      </c>
      <c r="H128" s="1">
        <v>60401.68</v>
      </c>
      <c r="I128" s="1" t="s">
        <v>322</v>
      </c>
      <c r="J128" s="1">
        <v>-2274954507</v>
      </c>
      <c r="K128" s="1" t="s">
        <v>18</v>
      </c>
      <c r="L128" s="1" t="b">
        <v>0</v>
      </c>
    </row>
    <row r="129" spans="1:12" x14ac:dyDescent="0.3">
      <c r="A129" s="1" t="s">
        <v>323</v>
      </c>
      <c r="B129" s="1" t="s">
        <v>37</v>
      </c>
      <c r="C129" s="1" t="s">
        <v>122</v>
      </c>
      <c r="D129" s="1">
        <v>35</v>
      </c>
      <c r="E129" s="1" t="s">
        <v>98</v>
      </c>
      <c r="F129" s="1" t="s">
        <v>33</v>
      </c>
      <c r="G129" s="1" t="s">
        <v>324</v>
      </c>
      <c r="H129" s="1">
        <v>115299.66</v>
      </c>
      <c r="I129" s="1" t="s">
        <v>137</v>
      </c>
      <c r="J129" s="1">
        <v>-9203880652</v>
      </c>
      <c r="K129" s="1" t="s">
        <v>30</v>
      </c>
      <c r="L129" s="1" t="b">
        <v>1</v>
      </c>
    </row>
    <row r="130" spans="1:12" x14ac:dyDescent="0.3">
      <c r="A130" s="1" t="s">
        <v>325</v>
      </c>
      <c r="B130" s="1" t="s">
        <v>59</v>
      </c>
      <c r="C130" s="1" t="s">
        <v>20</v>
      </c>
      <c r="D130" s="1"/>
      <c r="E130" s="1" t="s">
        <v>227</v>
      </c>
      <c r="F130" s="1" t="s">
        <v>33</v>
      </c>
      <c r="G130" s="1" t="s">
        <v>326</v>
      </c>
      <c r="H130" s="1">
        <v>72272.34</v>
      </c>
      <c r="I130" s="1" t="s">
        <v>225</v>
      </c>
      <c r="J130" s="1">
        <v>-3315377958</v>
      </c>
      <c r="K130" s="1" t="s">
        <v>18</v>
      </c>
      <c r="L130" s="1" t="b">
        <v>0</v>
      </c>
    </row>
    <row r="131" spans="1:12" x14ac:dyDescent="0.3">
      <c r="A131" s="1" t="s">
        <v>327</v>
      </c>
      <c r="B131" s="1" t="s">
        <v>69</v>
      </c>
      <c r="C131" s="1" t="s">
        <v>20</v>
      </c>
      <c r="D131" s="1">
        <v>40</v>
      </c>
      <c r="E131" s="1" t="s">
        <v>328</v>
      </c>
      <c r="F131" s="1" t="s">
        <v>16</v>
      </c>
      <c r="G131" s="2">
        <v>44875</v>
      </c>
      <c r="H131" s="1">
        <v>117537.71</v>
      </c>
      <c r="I131" s="1" t="s">
        <v>201</v>
      </c>
      <c r="J131" s="1">
        <v>-9594652169</v>
      </c>
      <c r="K131" s="1" t="s">
        <v>23</v>
      </c>
      <c r="L131" s="1" t="b">
        <v>0</v>
      </c>
    </row>
    <row r="132" spans="1:12" x14ac:dyDescent="0.3">
      <c r="A132" s="1" t="s">
        <v>329</v>
      </c>
      <c r="B132" s="1" t="s">
        <v>37</v>
      </c>
      <c r="C132" s="1" t="s">
        <v>20</v>
      </c>
      <c r="D132" s="1">
        <v>25</v>
      </c>
      <c r="E132" s="1" t="s">
        <v>21</v>
      </c>
      <c r="F132" s="1" t="s">
        <v>28</v>
      </c>
      <c r="G132" s="1" t="s">
        <v>330</v>
      </c>
      <c r="H132" s="1">
        <v>51074.33</v>
      </c>
      <c r="I132" s="1" t="s">
        <v>239</v>
      </c>
      <c r="J132" s="1">
        <v>-7303379336</v>
      </c>
      <c r="K132" s="1" t="s">
        <v>23</v>
      </c>
      <c r="L132" s="1" t="b">
        <v>1</v>
      </c>
    </row>
    <row r="133" spans="1:12" x14ac:dyDescent="0.3">
      <c r="A133" s="1" t="s">
        <v>331</v>
      </c>
      <c r="B133" s="1" t="s">
        <v>54</v>
      </c>
      <c r="C133" s="1" t="s">
        <v>26</v>
      </c>
      <c r="D133" s="1">
        <v>25</v>
      </c>
      <c r="E133" s="1" t="s">
        <v>70</v>
      </c>
      <c r="F133" s="1" t="s">
        <v>33</v>
      </c>
      <c r="G133" s="1" t="s">
        <v>332</v>
      </c>
      <c r="H133" s="1">
        <v>98489.32</v>
      </c>
      <c r="I133" s="1" t="s">
        <v>120</v>
      </c>
      <c r="J133" s="1">
        <v>-5636205014</v>
      </c>
      <c r="K133" s="1" t="s">
        <v>23</v>
      </c>
      <c r="L133" s="1" t="b">
        <v>0</v>
      </c>
    </row>
    <row r="134" spans="1:12" x14ac:dyDescent="0.3">
      <c r="A134" s="1" t="s">
        <v>333</v>
      </c>
      <c r="B134" s="1" t="s">
        <v>37</v>
      </c>
      <c r="C134" s="1" t="s">
        <v>122</v>
      </c>
      <c r="D134" s="1"/>
      <c r="E134" s="1" t="s">
        <v>70</v>
      </c>
      <c r="F134" s="1" t="s">
        <v>28</v>
      </c>
      <c r="G134" s="2">
        <v>45597</v>
      </c>
      <c r="H134" s="1">
        <v>112120.71</v>
      </c>
      <c r="I134" s="1" t="s">
        <v>137</v>
      </c>
      <c r="J134" s="1">
        <v>-812473949</v>
      </c>
      <c r="K134" s="1" t="s">
        <v>41</v>
      </c>
      <c r="L134" s="1" t="b">
        <v>1</v>
      </c>
    </row>
    <row r="135" spans="1:12" x14ac:dyDescent="0.3">
      <c r="A135" s="1" t="s">
        <v>334</v>
      </c>
      <c r="B135" s="1" t="s">
        <v>25</v>
      </c>
      <c r="C135" s="1" t="s">
        <v>26</v>
      </c>
      <c r="D135" s="1"/>
      <c r="E135" s="1" t="s">
        <v>60</v>
      </c>
      <c r="F135" s="1" t="s">
        <v>28</v>
      </c>
      <c r="G135" s="2">
        <v>44968</v>
      </c>
      <c r="H135" s="1">
        <v>114465.04</v>
      </c>
      <c r="I135" s="1" t="s">
        <v>29</v>
      </c>
      <c r="J135" s="1">
        <v>-334234257</v>
      </c>
      <c r="K135" s="1" t="s">
        <v>30</v>
      </c>
      <c r="L135" s="1" t="b">
        <v>0</v>
      </c>
    </row>
    <row r="136" spans="1:12" x14ac:dyDescent="0.3">
      <c r="A136" s="1" t="s">
        <v>335</v>
      </c>
      <c r="B136" s="1" t="s">
        <v>13</v>
      </c>
      <c r="C136" s="1" t="s">
        <v>14</v>
      </c>
      <c r="D136" s="1">
        <v>40</v>
      </c>
      <c r="E136" s="1" t="s">
        <v>85</v>
      </c>
      <c r="F136" s="1" t="s">
        <v>28</v>
      </c>
      <c r="G136" s="1" t="s">
        <v>336</v>
      </c>
      <c r="H136" s="1">
        <v>57035.51</v>
      </c>
      <c r="I136" s="1" t="s">
        <v>17</v>
      </c>
      <c r="J136" s="1">
        <v>-3230241025</v>
      </c>
      <c r="K136" s="1" t="s">
        <v>41</v>
      </c>
      <c r="L136" s="1" t="b">
        <v>1</v>
      </c>
    </row>
    <row r="137" spans="1:12" x14ac:dyDescent="0.3">
      <c r="A137" s="1" t="s">
        <v>337</v>
      </c>
      <c r="B137" s="1" t="s">
        <v>32</v>
      </c>
      <c r="C137" s="1" t="s">
        <v>26</v>
      </c>
      <c r="D137" s="1">
        <v>25</v>
      </c>
      <c r="E137" s="1" t="s">
        <v>268</v>
      </c>
      <c r="F137" s="1" t="s">
        <v>16</v>
      </c>
      <c r="G137" s="1" t="s">
        <v>338</v>
      </c>
      <c r="H137" s="1">
        <v>75092.429999999993</v>
      </c>
      <c r="I137" s="1" t="s">
        <v>277</v>
      </c>
      <c r="J137" s="1">
        <v>-1534735527</v>
      </c>
      <c r="K137" s="1" t="s">
        <v>23</v>
      </c>
      <c r="L137" s="1" t="b">
        <v>1</v>
      </c>
    </row>
    <row r="138" spans="1:12" x14ac:dyDescent="0.3">
      <c r="A138" s="1" t="s">
        <v>339</v>
      </c>
      <c r="B138" s="1" t="s">
        <v>59</v>
      </c>
      <c r="C138" s="1" t="s">
        <v>122</v>
      </c>
      <c r="D138" s="1"/>
      <c r="E138" s="1" t="s">
        <v>265</v>
      </c>
      <c r="F138" s="1" t="s">
        <v>28</v>
      </c>
      <c r="G138" s="2">
        <v>45602</v>
      </c>
      <c r="H138" s="1">
        <v>62603.98</v>
      </c>
      <c r="I138" s="1" t="s">
        <v>340</v>
      </c>
      <c r="J138" s="1">
        <v>-9611223385</v>
      </c>
      <c r="K138" s="1" t="s">
        <v>30</v>
      </c>
      <c r="L138" s="1" t="b">
        <v>0</v>
      </c>
    </row>
    <row r="139" spans="1:12" x14ac:dyDescent="0.3">
      <c r="A139" s="1" t="s">
        <v>341</v>
      </c>
      <c r="B139" s="1" t="s">
        <v>69</v>
      </c>
      <c r="C139" s="1" t="s">
        <v>122</v>
      </c>
      <c r="D139" s="1"/>
      <c r="E139" s="1" t="s">
        <v>56</v>
      </c>
      <c r="F139" s="1" t="s">
        <v>33</v>
      </c>
      <c r="G139" s="2">
        <v>45173</v>
      </c>
      <c r="H139" s="1">
        <v>60018.239999999998</v>
      </c>
      <c r="I139" s="1" t="s">
        <v>135</v>
      </c>
      <c r="J139" s="1">
        <v>-5596309937</v>
      </c>
      <c r="K139" s="1" t="s">
        <v>23</v>
      </c>
      <c r="L139" s="1" t="b">
        <v>0</v>
      </c>
    </row>
    <row r="140" spans="1:12" x14ac:dyDescent="0.3">
      <c r="A140" s="1" t="s">
        <v>342</v>
      </c>
      <c r="B140" s="1" t="s">
        <v>32</v>
      </c>
      <c r="C140" s="1" t="s">
        <v>14</v>
      </c>
      <c r="D140" s="1">
        <v>40</v>
      </c>
      <c r="E140" s="1" t="s">
        <v>149</v>
      </c>
      <c r="F140" s="1" t="s">
        <v>16</v>
      </c>
      <c r="G140" s="2">
        <v>45419</v>
      </c>
      <c r="H140" s="1">
        <v>82567.73</v>
      </c>
      <c r="I140" s="1" t="s">
        <v>35</v>
      </c>
      <c r="J140" s="1">
        <v>-4253042896</v>
      </c>
      <c r="K140" s="1" t="s">
        <v>41</v>
      </c>
      <c r="L140" s="1" t="b">
        <v>1</v>
      </c>
    </row>
    <row r="141" spans="1:12" x14ac:dyDescent="0.3">
      <c r="A141" s="1" t="s">
        <v>343</v>
      </c>
      <c r="B141" s="1" t="s">
        <v>54</v>
      </c>
      <c r="C141" s="1" t="s">
        <v>122</v>
      </c>
      <c r="D141" s="1">
        <v>25</v>
      </c>
      <c r="E141" s="1" t="s">
        <v>70</v>
      </c>
      <c r="F141" s="1" t="s">
        <v>28</v>
      </c>
      <c r="G141" s="2">
        <v>44295</v>
      </c>
      <c r="H141" s="1">
        <v>94725.71</v>
      </c>
      <c r="I141" s="1" t="s">
        <v>194</v>
      </c>
      <c r="J141" s="1">
        <v>-3179128684</v>
      </c>
      <c r="K141" s="1" t="s">
        <v>41</v>
      </c>
      <c r="L141" s="1" t="b">
        <v>0</v>
      </c>
    </row>
    <row r="142" spans="1:12" x14ac:dyDescent="0.3">
      <c r="A142" s="1" t="s">
        <v>344</v>
      </c>
      <c r="B142" s="1" t="s">
        <v>32</v>
      </c>
      <c r="C142" s="1" t="s">
        <v>43</v>
      </c>
      <c r="D142" s="1">
        <v>40</v>
      </c>
      <c r="E142" s="1" t="s">
        <v>66</v>
      </c>
      <c r="F142" s="1" t="s">
        <v>33</v>
      </c>
      <c r="G142" s="1" t="s">
        <v>222</v>
      </c>
      <c r="H142" s="1">
        <v>83824.56</v>
      </c>
      <c r="I142" s="1" t="s">
        <v>296</v>
      </c>
      <c r="J142" s="1">
        <v>-7872558776</v>
      </c>
      <c r="K142" s="1" t="s">
        <v>41</v>
      </c>
      <c r="L142" s="1" t="b">
        <v>0</v>
      </c>
    </row>
    <row r="143" spans="1:12" x14ac:dyDescent="0.3">
      <c r="A143" s="1" t="s">
        <v>345</v>
      </c>
      <c r="B143" s="1" t="s">
        <v>37</v>
      </c>
      <c r="C143" s="1" t="s">
        <v>122</v>
      </c>
      <c r="D143" s="1"/>
      <c r="E143" s="1" t="s">
        <v>149</v>
      </c>
      <c r="F143" s="1" t="s">
        <v>33</v>
      </c>
      <c r="G143" s="1" t="s">
        <v>346</v>
      </c>
      <c r="H143" s="1">
        <v>118456.11</v>
      </c>
      <c r="I143" s="1" t="s">
        <v>137</v>
      </c>
      <c r="J143" s="1">
        <v>-4969033372</v>
      </c>
      <c r="K143" s="1" t="s">
        <v>23</v>
      </c>
      <c r="L143" s="1" t="b">
        <v>1</v>
      </c>
    </row>
    <row r="144" spans="1:12" x14ac:dyDescent="0.3">
      <c r="A144" s="1" t="s">
        <v>347</v>
      </c>
      <c r="B144" s="1" t="s">
        <v>32</v>
      </c>
      <c r="C144" s="1" t="s">
        <v>20</v>
      </c>
      <c r="D144" s="1">
        <v>25</v>
      </c>
      <c r="E144" s="1" t="s">
        <v>219</v>
      </c>
      <c r="F144" s="1" t="s">
        <v>28</v>
      </c>
      <c r="G144" s="2">
        <v>44108</v>
      </c>
      <c r="H144" s="1">
        <v>113743.19</v>
      </c>
      <c r="I144" s="1" t="s">
        <v>155</v>
      </c>
      <c r="J144" s="1">
        <v>-6346692547</v>
      </c>
      <c r="K144" s="1" t="s">
        <v>30</v>
      </c>
      <c r="L144" s="1" t="b">
        <v>1</v>
      </c>
    </row>
    <row r="145" spans="1:12" x14ac:dyDescent="0.3">
      <c r="A145" s="1" t="s">
        <v>348</v>
      </c>
      <c r="B145" s="1" t="s">
        <v>32</v>
      </c>
      <c r="C145" s="1" t="s">
        <v>43</v>
      </c>
      <c r="D145" s="1">
        <v>30</v>
      </c>
      <c r="E145" s="1" t="s">
        <v>177</v>
      </c>
      <c r="F145" s="1" t="s">
        <v>16</v>
      </c>
      <c r="G145" s="1" t="s">
        <v>349</v>
      </c>
      <c r="H145" s="1">
        <v>63309.24</v>
      </c>
      <c r="I145" s="1" t="s">
        <v>296</v>
      </c>
      <c r="J145" s="1">
        <v>-1214785389</v>
      </c>
      <c r="K145" s="1" t="s">
        <v>30</v>
      </c>
      <c r="L145" s="1" t="b">
        <v>0</v>
      </c>
    </row>
    <row r="146" spans="1:12" x14ac:dyDescent="0.3">
      <c r="A146" s="1" t="s">
        <v>350</v>
      </c>
      <c r="B146" s="1" t="s">
        <v>54</v>
      </c>
      <c r="C146" s="1" t="s">
        <v>43</v>
      </c>
      <c r="D146" s="1">
        <v>25</v>
      </c>
      <c r="E146" s="1" t="s">
        <v>328</v>
      </c>
      <c r="F146" s="1" t="s">
        <v>16</v>
      </c>
      <c r="G146" s="1" t="s">
        <v>351</v>
      </c>
      <c r="H146" s="1">
        <v>105202.73</v>
      </c>
      <c r="I146" s="1" t="s">
        <v>87</v>
      </c>
      <c r="J146" s="1">
        <v>-7895677664</v>
      </c>
      <c r="K146" s="1" t="s">
        <v>23</v>
      </c>
      <c r="L146" s="1" t="b">
        <v>1</v>
      </c>
    </row>
    <row r="147" spans="1:12" x14ac:dyDescent="0.3">
      <c r="A147" s="1" t="s">
        <v>352</v>
      </c>
      <c r="B147" s="1" t="s">
        <v>37</v>
      </c>
      <c r="C147" s="1" t="s">
        <v>14</v>
      </c>
      <c r="D147" s="1">
        <v>30</v>
      </c>
      <c r="E147" s="1" t="s">
        <v>268</v>
      </c>
      <c r="F147" s="1" t="s">
        <v>33</v>
      </c>
      <c r="G147" s="2">
        <v>45568</v>
      </c>
      <c r="H147" s="1">
        <v>79085.22</v>
      </c>
      <c r="I147" s="1" t="s">
        <v>52</v>
      </c>
      <c r="J147" s="1">
        <v>-7546027340</v>
      </c>
      <c r="K147" s="1" t="s">
        <v>30</v>
      </c>
      <c r="L147" s="1" t="b">
        <v>1</v>
      </c>
    </row>
    <row r="148" spans="1:12" x14ac:dyDescent="0.3">
      <c r="A148" s="1" t="s">
        <v>353</v>
      </c>
      <c r="B148" s="1" t="s">
        <v>37</v>
      </c>
      <c r="C148" s="1" t="s">
        <v>38</v>
      </c>
      <c r="D148" s="1"/>
      <c r="E148" s="1" t="s">
        <v>177</v>
      </c>
      <c r="F148" s="1" t="s">
        <v>16</v>
      </c>
      <c r="G148" s="2">
        <v>44475</v>
      </c>
      <c r="H148" s="1">
        <v>113983.43</v>
      </c>
      <c r="I148" s="1" t="s">
        <v>40</v>
      </c>
      <c r="J148" s="1">
        <v>-5148881430</v>
      </c>
      <c r="K148" s="1" t="s">
        <v>23</v>
      </c>
      <c r="L148" s="1" t="b">
        <v>1</v>
      </c>
    </row>
    <row r="149" spans="1:12" x14ac:dyDescent="0.3">
      <c r="A149" s="1" t="s">
        <v>354</v>
      </c>
      <c r="B149" s="1" t="s">
        <v>32</v>
      </c>
      <c r="C149" s="1" t="s">
        <v>38</v>
      </c>
      <c r="D149" s="1">
        <v>35</v>
      </c>
      <c r="E149" s="1" t="s">
        <v>39</v>
      </c>
      <c r="F149" s="1" t="s">
        <v>16</v>
      </c>
      <c r="G149" s="1" t="s">
        <v>355</v>
      </c>
      <c r="H149" s="1">
        <v>102790.6</v>
      </c>
      <c r="I149" s="1" t="s">
        <v>141</v>
      </c>
      <c r="J149" s="1">
        <v>-1150835353</v>
      </c>
      <c r="K149" s="1" t="s">
        <v>30</v>
      </c>
      <c r="L149" s="1" t="b">
        <v>0</v>
      </c>
    </row>
    <row r="150" spans="1:12" x14ac:dyDescent="0.3">
      <c r="A150" s="1" t="s">
        <v>356</v>
      </c>
      <c r="B150" s="1" t="s">
        <v>69</v>
      </c>
      <c r="C150" s="1" t="s">
        <v>122</v>
      </c>
      <c r="D150" s="1"/>
      <c r="E150" s="1" t="s">
        <v>139</v>
      </c>
      <c r="F150" s="1" t="s">
        <v>33</v>
      </c>
      <c r="G150" s="1" t="s">
        <v>357</v>
      </c>
      <c r="H150" s="1">
        <v>68512.100000000006</v>
      </c>
      <c r="I150" s="1" t="s">
        <v>135</v>
      </c>
      <c r="J150" s="1">
        <v>-4439284043</v>
      </c>
      <c r="K150" s="1" t="s">
        <v>18</v>
      </c>
      <c r="L150" s="1" t="b">
        <v>0</v>
      </c>
    </row>
    <row r="151" spans="1:12" x14ac:dyDescent="0.3">
      <c r="A151" s="1" t="s">
        <v>358</v>
      </c>
      <c r="B151" s="1" t="s">
        <v>37</v>
      </c>
      <c r="C151" s="1" t="s">
        <v>43</v>
      </c>
      <c r="D151" s="1">
        <v>35</v>
      </c>
      <c r="E151" s="1" t="s">
        <v>74</v>
      </c>
      <c r="F151" s="1" t="s">
        <v>28</v>
      </c>
      <c r="G151" s="1" t="s">
        <v>359</v>
      </c>
      <c r="H151" s="1">
        <v>57584.23</v>
      </c>
      <c r="I151" s="1" t="s">
        <v>180</v>
      </c>
      <c r="J151" s="1">
        <v>-5669078262</v>
      </c>
      <c r="K151" s="1" t="s">
        <v>18</v>
      </c>
      <c r="L151" s="1" t="b">
        <v>1</v>
      </c>
    </row>
    <row r="152" spans="1:12" x14ac:dyDescent="0.3">
      <c r="A152" s="1" t="s">
        <v>360</v>
      </c>
      <c r="B152" s="1" t="s">
        <v>25</v>
      </c>
      <c r="C152" s="1" t="s">
        <v>38</v>
      </c>
      <c r="D152" s="1"/>
      <c r="E152" s="1" t="s">
        <v>177</v>
      </c>
      <c r="F152" s="1" t="s">
        <v>28</v>
      </c>
      <c r="G152" s="1" t="s">
        <v>361</v>
      </c>
      <c r="H152" s="1">
        <v>95335.67</v>
      </c>
      <c r="I152" s="1" t="s">
        <v>362</v>
      </c>
      <c r="J152" s="1">
        <v>-3373898774</v>
      </c>
      <c r="K152" s="1" t="s">
        <v>41</v>
      </c>
      <c r="L152" s="1" t="b">
        <v>0</v>
      </c>
    </row>
    <row r="153" spans="1:12" x14ac:dyDescent="0.3">
      <c r="A153" s="1" t="s">
        <v>363</v>
      </c>
      <c r="B153" s="1" t="s">
        <v>65</v>
      </c>
      <c r="C153" s="1" t="s">
        <v>38</v>
      </c>
      <c r="D153" s="1">
        <v>35</v>
      </c>
      <c r="E153" s="1" t="s">
        <v>230</v>
      </c>
      <c r="F153" s="1" t="s">
        <v>16</v>
      </c>
      <c r="G153" s="1" t="s">
        <v>364</v>
      </c>
      <c r="H153" s="1">
        <v>53174.28</v>
      </c>
      <c r="I153" s="1" t="s">
        <v>67</v>
      </c>
      <c r="J153" s="1">
        <v>-1536637779</v>
      </c>
      <c r="K153" s="1" t="s">
        <v>18</v>
      </c>
      <c r="L153" s="1" t="b">
        <v>1</v>
      </c>
    </row>
    <row r="154" spans="1:12" x14ac:dyDescent="0.3">
      <c r="A154" s="1" t="s">
        <v>365</v>
      </c>
      <c r="B154" s="1" t="s">
        <v>65</v>
      </c>
      <c r="C154" s="1" t="s">
        <v>122</v>
      </c>
      <c r="D154" s="1">
        <v>25</v>
      </c>
      <c r="E154" s="1" t="s">
        <v>60</v>
      </c>
      <c r="F154" s="1" t="s">
        <v>28</v>
      </c>
      <c r="G154" s="2">
        <v>43931</v>
      </c>
      <c r="H154" s="1">
        <v>77205.210000000006</v>
      </c>
      <c r="I154" s="1" t="s">
        <v>366</v>
      </c>
      <c r="J154" s="1">
        <v>-5292407552</v>
      </c>
      <c r="K154" s="1" t="s">
        <v>18</v>
      </c>
      <c r="L154" s="1" t="b">
        <v>0</v>
      </c>
    </row>
    <row r="155" spans="1:12" x14ac:dyDescent="0.3">
      <c r="A155" s="1" t="s">
        <v>367</v>
      </c>
      <c r="B155" s="1" t="s">
        <v>69</v>
      </c>
      <c r="C155" s="1" t="s">
        <v>38</v>
      </c>
      <c r="D155" s="1"/>
      <c r="E155" s="1" t="s">
        <v>328</v>
      </c>
      <c r="F155" s="1" t="s">
        <v>16</v>
      </c>
      <c r="G155" s="1" t="s">
        <v>368</v>
      </c>
      <c r="H155" s="1">
        <v>79041.919999999998</v>
      </c>
      <c r="I155" s="1" t="s">
        <v>71</v>
      </c>
      <c r="J155" s="1">
        <v>-6668459089</v>
      </c>
      <c r="K155" s="1" t="s">
        <v>18</v>
      </c>
      <c r="L155" s="1" t="b">
        <v>1</v>
      </c>
    </row>
    <row r="156" spans="1:12" x14ac:dyDescent="0.3">
      <c r="A156" s="1" t="s">
        <v>369</v>
      </c>
      <c r="B156" s="1" t="s">
        <v>65</v>
      </c>
      <c r="C156" s="1" t="s">
        <v>26</v>
      </c>
      <c r="D156" s="1"/>
      <c r="E156" s="1" t="s">
        <v>70</v>
      </c>
      <c r="F156" s="1" t="s">
        <v>16</v>
      </c>
      <c r="G156" s="1" t="s">
        <v>370</v>
      </c>
      <c r="H156" s="1">
        <v>75937.100000000006</v>
      </c>
      <c r="I156" s="1" t="s">
        <v>319</v>
      </c>
      <c r="J156" s="1">
        <v>-2259999662</v>
      </c>
      <c r="K156" s="1" t="s">
        <v>23</v>
      </c>
      <c r="L156" s="1" t="b">
        <v>1</v>
      </c>
    </row>
    <row r="157" spans="1:12" x14ac:dyDescent="0.3">
      <c r="A157" s="1" t="s">
        <v>371</v>
      </c>
      <c r="B157" s="1" t="s">
        <v>59</v>
      </c>
      <c r="C157" s="1" t="s">
        <v>55</v>
      </c>
      <c r="D157" s="1">
        <v>35</v>
      </c>
      <c r="E157" s="1" t="s">
        <v>85</v>
      </c>
      <c r="F157" s="1" t="s">
        <v>33</v>
      </c>
      <c r="G157" s="1" t="s">
        <v>372</v>
      </c>
      <c r="H157" s="1">
        <v>113118.73</v>
      </c>
      <c r="I157" s="1" t="s">
        <v>217</v>
      </c>
      <c r="J157" s="1">
        <v>-6186371596</v>
      </c>
      <c r="K157" s="1" t="s">
        <v>18</v>
      </c>
      <c r="L157" s="1" t="b">
        <v>0</v>
      </c>
    </row>
    <row r="158" spans="1:12" x14ac:dyDescent="0.3">
      <c r="A158" s="1" t="s">
        <v>373</v>
      </c>
      <c r="B158" s="1" t="s">
        <v>25</v>
      </c>
      <c r="C158" s="1" t="s">
        <v>14</v>
      </c>
      <c r="D158" s="1">
        <v>40</v>
      </c>
      <c r="E158" s="1" t="s">
        <v>66</v>
      </c>
      <c r="F158" s="1" t="s">
        <v>16</v>
      </c>
      <c r="G158" s="2">
        <v>45332</v>
      </c>
      <c r="H158" s="1">
        <v>107693.38</v>
      </c>
      <c r="I158" s="1" t="s">
        <v>163</v>
      </c>
      <c r="J158" s="1">
        <v>-4121820969</v>
      </c>
      <c r="K158" s="1" t="s">
        <v>18</v>
      </c>
      <c r="L158" s="1" t="b">
        <v>1</v>
      </c>
    </row>
    <row r="159" spans="1:12" x14ac:dyDescent="0.3">
      <c r="A159" s="1" t="s">
        <v>374</v>
      </c>
      <c r="B159" s="1" t="s">
        <v>59</v>
      </c>
      <c r="C159" s="1" t="s">
        <v>55</v>
      </c>
      <c r="D159" s="1"/>
      <c r="E159" s="1" t="s">
        <v>159</v>
      </c>
      <c r="F159" s="1" t="s">
        <v>33</v>
      </c>
      <c r="G159" s="1" t="s">
        <v>375</v>
      </c>
      <c r="H159" s="1">
        <v>119217.46</v>
      </c>
      <c r="I159" s="1" t="s">
        <v>217</v>
      </c>
      <c r="J159" s="1">
        <v>-2316433480</v>
      </c>
      <c r="K159" s="1" t="s">
        <v>41</v>
      </c>
      <c r="L159" s="1" t="b">
        <v>0</v>
      </c>
    </row>
    <row r="160" spans="1:12" x14ac:dyDescent="0.3">
      <c r="A160" s="1" t="s">
        <v>376</v>
      </c>
      <c r="B160" s="1" t="s">
        <v>59</v>
      </c>
      <c r="C160" s="1" t="s">
        <v>122</v>
      </c>
      <c r="D160" s="1">
        <v>25</v>
      </c>
      <c r="E160" s="1" t="s">
        <v>109</v>
      </c>
      <c r="F160" s="1" t="s">
        <v>28</v>
      </c>
      <c r="G160" s="1" t="s">
        <v>377</v>
      </c>
      <c r="H160" s="1">
        <v>106913.71</v>
      </c>
      <c r="I160" s="1" t="s">
        <v>340</v>
      </c>
      <c r="J160" s="1">
        <v>-7058025661</v>
      </c>
      <c r="K160" s="1" t="s">
        <v>18</v>
      </c>
      <c r="L160" s="1" t="b">
        <v>0</v>
      </c>
    </row>
    <row r="161" spans="1:12" x14ac:dyDescent="0.3">
      <c r="A161" s="1" t="s">
        <v>378</v>
      </c>
      <c r="B161" s="1" t="s">
        <v>54</v>
      </c>
      <c r="C161" s="1" t="s">
        <v>20</v>
      </c>
      <c r="D161" s="1"/>
      <c r="E161" s="1" t="s">
        <v>268</v>
      </c>
      <c r="F161" s="1" t="s">
        <v>16</v>
      </c>
      <c r="G161" s="1" t="s">
        <v>379</v>
      </c>
      <c r="H161" s="1">
        <v>87815.08</v>
      </c>
      <c r="I161" s="1" t="s">
        <v>125</v>
      </c>
      <c r="J161" s="1">
        <v>-1286716322</v>
      </c>
      <c r="K161" s="1" t="s">
        <v>18</v>
      </c>
      <c r="L161" s="1" t="b">
        <v>1</v>
      </c>
    </row>
    <row r="162" spans="1:12" x14ac:dyDescent="0.3">
      <c r="A162" s="1" t="s">
        <v>380</v>
      </c>
      <c r="B162" s="1" t="s">
        <v>13</v>
      </c>
      <c r="C162" s="1" t="s">
        <v>14</v>
      </c>
      <c r="D162" s="1">
        <v>25</v>
      </c>
      <c r="E162" s="1" t="s">
        <v>103</v>
      </c>
      <c r="F162" s="1" t="s">
        <v>33</v>
      </c>
      <c r="G162" s="2">
        <v>45418</v>
      </c>
      <c r="H162" s="1">
        <v>105190.21</v>
      </c>
      <c r="I162" s="1" t="s">
        <v>17</v>
      </c>
      <c r="J162" s="1">
        <v>-4672994937</v>
      </c>
      <c r="K162" s="1" t="s">
        <v>30</v>
      </c>
      <c r="L162" s="1" t="b">
        <v>1</v>
      </c>
    </row>
    <row r="163" spans="1:12" x14ac:dyDescent="0.3">
      <c r="A163" s="1" t="s">
        <v>381</v>
      </c>
      <c r="B163" s="1" t="s">
        <v>25</v>
      </c>
      <c r="C163" s="1" t="s">
        <v>122</v>
      </c>
      <c r="D163" s="1">
        <v>30</v>
      </c>
      <c r="E163" s="1" t="s">
        <v>139</v>
      </c>
      <c r="F163" s="1" t="s">
        <v>16</v>
      </c>
      <c r="G163" s="1" t="s">
        <v>382</v>
      </c>
      <c r="H163" s="1">
        <v>79467.240000000005</v>
      </c>
      <c r="I163" s="1" t="s">
        <v>182</v>
      </c>
      <c r="J163" s="1">
        <v>-7430271692</v>
      </c>
      <c r="K163" s="1" t="s">
        <v>41</v>
      </c>
      <c r="L163" s="1" t="b">
        <v>0</v>
      </c>
    </row>
    <row r="164" spans="1:12" x14ac:dyDescent="0.3">
      <c r="A164" s="1" t="s">
        <v>383</v>
      </c>
      <c r="B164" s="1" t="s">
        <v>13</v>
      </c>
      <c r="C164" s="1" t="s">
        <v>43</v>
      </c>
      <c r="D164" s="1">
        <v>40</v>
      </c>
      <c r="E164" s="1" t="s">
        <v>70</v>
      </c>
      <c r="F164" s="1" t="s">
        <v>28</v>
      </c>
      <c r="G164" s="1" t="s">
        <v>384</v>
      </c>
      <c r="H164" s="1">
        <v>57633.78</v>
      </c>
      <c r="I164" s="1" t="s">
        <v>153</v>
      </c>
      <c r="J164" s="1">
        <v>-8597779013</v>
      </c>
      <c r="K164" s="1" t="s">
        <v>41</v>
      </c>
      <c r="L164" s="1" t="b">
        <v>1</v>
      </c>
    </row>
    <row r="165" spans="1:12" x14ac:dyDescent="0.3">
      <c r="A165" s="1" t="s">
        <v>385</v>
      </c>
      <c r="B165" s="1" t="s">
        <v>25</v>
      </c>
      <c r="C165" s="1" t="s">
        <v>20</v>
      </c>
      <c r="D165" s="1"/>
      <c r="E165" s="1" t="s">
        <v>212</v>
      </c>
      <c r="F165" s="1" t="s">
        <v>28</v>
      </c>
      <c r="G165" s="2">
        <v>43924</v>
      </c>
      <c r="H165" s="1">
        <v>54257.78</v>
      </c>
      <c r="I165" s="1" t="s">
        <v>80</v>
      </c>
      <c r="J165" s="1">
        <v>-7546926328</v>
      </c>
      <c r="K165" s="1" t="s">
        <v>41</v>
      </c>
      <c r="L165" s="1" t="b">
        <v>1</v>
      </c>
    </row>
    <row r="166" spans="1:12" x14ac:dyDescent="0.3">
      <c r="A166" s="1" t="s">
        <v>386</v>
      </c>
      <c r="B166" s="1" t="s">
        <v>69</v>
      </c>
      <c r="C166" s="1" t="s">
        <v>55</v>
      </c>
      <c r="D166" s="1">
        <v>40</v>
      </c>
      <c r="E166" s="1" t="s">
        <v>237</v>
      </c>
      <c r="F166" s="1" t="s">
        <v>33</v>
      </c>
      <c r="G166" s="1" t="s">
        <v>387</v>
      </c>
      <c r="H166" s="1">
        <v>113679.06</v>
      </c>
      <c r="I166" s="1" t="s">
        <v>127</v>
      </c>
      <c r="J166" s="1">
        <v>-6762916031</v>
      </c>
      <c r="K166" s="1" t="s">
        <v>41</v>
      </c>
      <c r="L166" s="1" t="b">
        <v>1</v>
      </c>
    </row>
    <row r="167" spans="1:12" x14ac:dyDescent="0.3">
      <c r="A167" s="1" t="s">
        <v>388</v>
      </c>
      <c r="B167" s="1" t="s">
        <v>13</v>
      </c>
      <c r="C167" s="1" t="s">
        <v>122</v>
      </c>
      <c r="D167" s="1">
        <v>35</v>
      </c>
      <c r="E167" s="1" t="s">
        <v>109</v>
      </c>
      <c r="F167" s="1" t="s">
        <v>16</v>
      </c>
      <c r="G167" s="1" t="s">
        <v>241</v>
      </c>
      <c r="H167" s="1">
        <v>69251.12</v>
      </c>
      <c r="I167" s="1" t="s">
        <v>123</v>
      </c>
      <c r="J167" s="1">
        <v>-4841376814</v>
      </c>
      <c r="K167" s="1" t="s">
        <v>41</v>
      </c>
      <c r="L167" s="1" t="b">
        <v>1</v>
      </c>
    </row>
    <row r="168" spans="1:12" x14ac:dyDescent="0.3">
      <c r="A168" s="1" t="s">
        <v>389</v>
      </c>
      <c r="B168" s="1" t="s">
        <v>37</v>
      </c>
      <c r="C168" s="1" t="s">
        <v>43</v>
      </c>
      <c r="D168" s="1">
        <v>40</v>
      </c>
      <c r="E168" s="1" t="s">
        <v>98</v>
      </c>
      <c r="F168" s="1" t="s">
        <v>33</v>
      </c>
      <c r="G168" s="1" t="s">
        <v>390</v>
      </c>
      <c r="H168" s="1">
        <v>85388.58</v>
      </c>
      <c r="I168" s="1" t="s">
        <v>180</v>
      </c>
      <c r="J168" s="1">
        <v>-1185672437</v>
      </c>
      <c r="K168" s="1" t="s">
        <v>41</v>
      </c>
      <c r="L168" s="1" t="b">
        <v>1</v>
      </c>
    </row>
    <row r="169" spans="1:12" x14ac:dyDescent="0.3">
      <c r="A169" s="1" t="s">
        <v>391</v>
      </c>
      <c r="B169" s="1" t="s">
        <v>13</v>
      </c>
      <c r="C169" s="1" t="s">
        <v>14</v>
      </c>
      <c r="D169" s="1"/>
      <c r="E169" s="1" t="s">
        <v>56</v>
      </c>
      <c r="F169" s="1" t="s">
        <v>33</v>
      </c>
      <c r="G169" s="1" t="s">
        <v>392</v>
      </c>
      <c r="H169" s="1">
        <v>112166.37</v>
      </c>
      <c r="I169" s="1" t="s">
        <v>17</v>
      </c>
      <c r="J169" s="1">
        <v>-701765635</v>
      </c>
      <c r="K169" s="1" t="s">
        <v>23</v>
      </c>
      <c r="L169" s="1" t="b">
        <v>0</v>
      </c>
    </row>
    <row r="170" spans="1:12" x14ac:dyDescent="0.3">
      <c r="A170" s="1" t="s">
        <v>393</v>
      </c>
      <c r="B170" s="1" t="s">
        <v>65</v>
      </c>
      <c r="C170" s="1" t="s">
        <v>14</v>
      </c>
      <c r="D170" s="1">
        <v>40</v>
      </c>
      <c r="E170" s="1" t="s">
        <v>100</v>
      </c>
      <c r="F170" s="1" t="s">
        <v>16</v>
      </c>
      <c r="G170" s="2">
        <v>44237</v>
      </c>
      <c r="H170" s="1">
        <v>79873.48</v>
      </c>
      <c r="I170" s="1" t="s">
        <v>394</v>
      </c>
      <c r="J170" s="1">
        <v>-41257770</v>
      </c>
      <c r="K170" s="1" t="s">
        <v>18</v>
      </c>
      <c r="L170" s="1" t="b">
        <v>0</v>
      </c>
    </row>
    <row r="171" spans="1:12" x14ac:dyDescent="0.3">
      <c r="A171" s="1" t="s">
        <v>395</v>
      </c>
      <c r="B171" s="1" t="s">
        <v>37</v>
      </c>
      <c r="C171" s="1" t="s">
        <v>92</v>
      </c>
      <c r="D171" s="1">
        <v>30</v>
      </c>
      <c r="E171" s="1" t="s">
        <v>230</v>
      </c>
      <c r="F171" s="1" t="s">
        <v>16</v>
      </c>
      <c r="G171" s="2">
        <v>43958</v>
      </c>
      <c r="H171" s="1">
        <v>108224.03</v>
      </c>
      <c r="I171" s="1" t="s">
        <v>110</v>
      </c>
      <c r="J171" s="1">
        <v>-1837274219</v>
      </c>
      <c r="K171" s="1" t="s">
        <v>41</v>
      </c>
      <c r="L171" s="1" t="b">
        <v>1</v>
      </c>
    </row>
    <row r="172" spans="1:12" x14ac:dyDescent="0.3">
      <c r="A172" s="1" t="s">
        <v>396</v>
      </c>
      <c r="B172" s="1" t="s">
        <v>13</v>
      </c>
      <c r="C172" s="1" t="s">
        <v>43</v>
      </c>
      <c r="D172" s="1">
        <v>35</v>
      </c>
      <c r="E172" s="1" t="s">
        <v>89</v>
      </c>
      <c r="F172" s="1" t="s">
        <v>16</v>
      </c>
      <c r="G172" s="1" t="s">
        <v>397</v>
      </c>
      <c r="H172" s="1">
        <v>116963.72</v>
      </c>
      <c r="I172" s="1" t="s">
        <v>153</v>
      </c>
      <c r="J172" s="1">
        <v>-9124186209</v>
      </c>
      <c r="K172" s="1" t="s">
        <v>18</v>
      </c>
      <c r="L172" s="1" t="b">
        <v>1</v>
      </c>
    </row>
    <row r="173" spans="1:12" x14ac:dyDescent="0.3">
      <c r="A173" s="1" t="s">
        <v>398</v>
      </c>
      <c r="B173" s="1" t="s">
        <v>13</v>
      </c>
      <c r="C173" s="1" t="s">
        <v>26</v>
      </c>
      <c r="D173" s="1">
        <v>40</v>
      </c>
      <c r="E173" s="1" t="s">
        <v>149</v>
      </c>
      <c r="F173" s="1" t="s">
        <v>33</v>
      </c>
      <c r="G173" s="2">
        <v>45637</v>
      </c>
      <c r="H173" s="1">
        <v>114109.06</v>
      </c>
      <c r="I173" s="1" t="s">
        <v>50</v>
      </c>
      <c r="J173" s="1">
        <v>-4275230836</v>
      </c>
      <c r="K173" s="1" t="s">
        <v>18</v>
      </c>
      <c r="L173" s="1" t="b">
        <v>1</v>
      </c>
    </row>
    <row r="174" spans="1:12" x14ac:dyDescent="0.3">
      <c r="A174" s="1" t="s">
        <v>399</v>
      </c>
      <c r="B174" s="1" t="s">
        <v>32</v>
      </c>
      <c r="C174" s="1" t="s">
        <v>38</v>
      </c>
      <c r="D174" s="1"/>
      <c r="E174" s="1" t="s">
        <v>146</v>
      </c>
      <c r="F174" s="1" t="s">
        <v>16</v>
      </c>
      <c r="G174" s="1" t="s">
        <v>400</v>
      </c>
      <c r="H174" s="1">
        <v>85518.88</v>
      </c>
      <c r="I174" s="1" t="s">
        <v>141</v>
      </c>
      <c r="J174" s="1">
        <v>-816470899</v>
      </c>
      <c r="K174" s="1" t="s">
        <v>23</v>
      </c>
      <c r="L174" s="1" t="b">
        <v>0</v>
      </c>
    </row>
    <row r="175" spans="1:12" x14ac:dyDescent="0.3">
      <c r="A175" s="1" t="s">
        <v>401</v>
      </c>
      <c r="B175" s="1" t="s">
        <v>65</v>
      </c>
      <c r="C175" s="1" t="s">
        <v>20</v>
      </c>
      <c r="D175" s="1">
        <v>30</v>
      </c>
      <c r="E175" s="1" t="s">
        <v>268</v>
      </c>
      <c r="F175" s="1" t="s">
        <v>28</v>
      </c>
      <c r="G175" s="1" t="s">
        <v>402</v>
      </c>
      <c r="H175" s="1">
        <v>58041.97</v>
      </c>
      <c r="I175" s="1" t="s">
        <v>403</v>
      </c>
      <c r="J175" s="1">
        <v>-6335331059</v>
      </c>
      <c r="K175" s="1" t="s">
        <v>41</v>
      </c>
      <c r="L175" s="1" t="b">
        <v>1</v>
      </c>
    </row>
    <row r="176" spans="1:12" x14ac:dyDescent="0.3">
      <c r="A176" s="1" t="s">
        <v>404</v>
      </c>
      <c r="B176" s="1" t="s">
        <v>59</v>
      </c>
      <c r="C176" s="1" t="s">
        <v>43</v>
      </c>
      <c r="D176" s="1">
        <v>40</v>
      </c>
      <c r="E176" s="1" t="s">
        <v>98</v>
      </c>
      <c r="F176" s="1" t="s">
        <v>28</v>
      </c>
      <c r="G176" s="1" t="s">
        <v>405</v>
      </c>
      <c r="H176" s="1">
        <v>94988.94</v>
      </c>
      <c r="I176" s="1" t="s">
        <v>101</v>
      </c>
      <c r="J176" s="1">
        <v>-531312205</v>
      </c>
      <c r="K176" s="1" t="s">
        <v>30</v>
      </c>
      <c r="L176" s="1" t="b">
        <v>0</v>
      </c>
    </row>
    <row r="177" spans="1:12" x14ac:dyDescent="0.3">
      <c r="A177" s="1" t="s">
        <v>406</v>
      </c>
      <c r="B177" s="1" t="s">
        <v>32</v>
      </c>
      <c r="C177" s="1" t="s">
        <v>92</v>
      </c>
      <c r="D177" s="1">
        <v>25</v>
      </c>
      <c r="E177" s="1" t="s">
        <v>118</v>
      </c>
      <c r="F177" s="1" t="s">
        <v>28</v>
      </c>
      <c r="G177" s="2">
        <v>45569</v>
      </c>
      <c r="H177" s="1">
        <v>71628.929999999993</v>
      </c>
      <c r="I177" s="1" t="s">
        <v>263</v>
      </c>
      <c r="J177" s="1">
        <v>-8155839385</v>
      </c>
      <c r="K177" s="1" t="s">
        <v>23</v>
      </c>
      <c r="L177" s="1" t="b">
        <v>0</v>
      </c>
    </row>
    <row r="178" spans="1:12" x14ac:dyDescent="0.3">
      <c r="A178" s="1" t="s">
        <v>407</v>
      </c>
      <c r="B178" s="1" t="s">
        <v>25</v>
      </c>
      <c r="C178" s="1" t="s">
        <v>38</v>
      </c>
      <c r="D178" s="1">
        <v>30</v>
      </c>
      <c r="E178" s="1" t="s">
        <v>89</v>
      </c>
      <c r="F178" s="1" t="s">
        <v>28</v>
      </c>
      <c r="G178" s="1" t="s">
        <v>283</v>
      </c>
      <c r="H178" s="1">
        <v>54870.98</v>
      </c>
      <c r="I178" s="1" t="s">
        <v>362</v>
      </c>
      <c r="J178" s="1">
        <v>-6133155205</v>
      </c>
      <c r="K178" s="1" t="s">
        <v>30</v>
      </c>
      <c r="L178" s="1" t="b">
        <v>0</v>
      </c>
    </row>
    <row r="179" spans="1:12" x14ac:dyDescent="0.3">
      <c r="A179" s="1" t="s">
        <v>408</v>
      </c>
      <c r="B179" s="1" t="s">
        <v>25</v>
      </c>
      <c r="C179" s="1" t="s">
        <v>38</v>
      </c>
      <c r="D179" s="1">
        <v>25</v>
      </c>
      <c r="E179" s="1" t="s">
        <v>78</v>
      </c>
      <c r="F179" s="1" t="s">
        <v>16</v>
      </c>
      <c r="G179" s="2">
        <v>44806</v>
      </c>
      <c r="H179" s="1">
        <v>79388.27</v>
      </c>
      <c r="I179" s="1" t="s">
        <v>362</v>
      </c>
      <c r="J179" s="1">
        <v>-5063731494</v>
      </c>
      <c r="K179" s="1" t="s">
        <v>18</v>
      </c>
      <c r="L179" s="1" t="b">
        <v>1</v>
      </c>
    </row>
    <row r="180" spans="1:12" x14ac:dyDescent="0.3">
      <c r="A180" s="1" t="s">
        <v>409</v>
      </c>
      <c r="B180" s="1" t="s">
        <v>37</v>
      </c>
      <c r="C180" s="1" t="s">
        <v>122</v>
      </c>
      <c r="D180" s="1">
        <v>35</v>
      </c>
      <c r="E180" s="1" t="s">
        <v>15</v>
      </c>
      <c r="F180" s="1" t="s">
        <v>28</v>
      </c>
      <c r="G180" s="2">
        <v>45082</v>
      </c>
      <c r="H180" s="1">
        <v>55946.99</v>
      </c>
      <c r="I180" s="1" t="s">
        <v>137</v>
      </c>
      <c r="J180" s="1">
        <v>-136497188</v>
      </c>
      <c r="K180" s="1" t="s">
        <v>18</v>
      </c>
      <c r="L180" s="1" t="b">
        <v>0</v>
      </c>
    </row>
    <row r="181" spans="1:12" x14ac:dyDescent="0.3">
      <c r="A181" s="1" t="s">
        <v>410</v>
      </c>
      <c r="B181" s="1" t="s">
        <v>54</v>
      </c>
      <c r="C181" s="1" t="s">
        <v>38</v>
      </c>
      <c r="D181" s="1"/>
      <c r="E181" s="1" t="s">
        <v>85</v>
      </c>
      <c r="F181" s="1" t="s">
        <v>16</v>
      </c>
      <c r="G181" s="2">
        <v>44507</v>
      </c>
      <c r="H181" s="1">
        <v>81017.91</v>
      </c>
      <c r="I181" s="1" t="s">
        <v>90</v>
      </c>
      <c r="J181" s="1">
        <v>-2419562524</v>
      </c>
      <c r="K181" s="1" t="s">
        <v>23</v>
      </c>
      <c r="L181" s="1" t="b">
        <v>1</v>
      </c>
    </row>
    <row r="182" spans="1:12" x14ac:dyDescent="0.3">
      <c r="A182" s="1" t="s">
        <v>411</v>
      </c>
      <c r="B182" s="1" t="s">
        <v>65</v>
      </c>
      <c r="C182" s="1" t="s">
        <v>26</v>
      </c>
      <c r="D182" s="1">
        <v>40</v>
      </c>
      <c r="E182" s="1" t="s">
        <v>66</v>
      </c>
      <c r="F182" s="1" t="s">
        <v>28</v>
      </c>
      <c r="G182" s="1" t="s">
        <v>412</v>
      </c>
      <c r="H182" s="1">
        <v>74162.100000000006</v>
      </c>
      <c r="I182" s="1" t="s">
        <v>319</v>
      </c>
      <c r="J182" s="1">
        <v>-7150997682</v>
      </c>
      <c r="K182" s="1" t="s">
        <v>23</v>
      </c>
      <c r="L182" s="1" t="b">
        <v>0</v>
      </c>
    </row>
    <row r="183" spans="1:12" x14ac:dyDescent="0.3">
      <c r="A183" s="1" t="s">
        <v>413</v>
      </c>
      <c r="B183" s="1" t="s">
        <v>65</v>
      </c>
      <c r="C183" s="1" t="s">
        <v>14</v>
      </c>
      <c r="D183" s="1"/>
      <c r="E183" s="1" t="s">
        <v>15</v>
      </c>
      <c r="F183" s="1" t="s">
        <v>16</v>
      </c>
      <c r="G183" s="1" t="s">
        <v>414</v>
      </c>
      <c r="H183" s="1">
        <v>77668.44</v>
      </c>
      <c r="I183" s="1" t="s">
        <v>394</v>
      </c>
      <c r="J183" s="1">
        <v>-8903091435</v>
      </c>
      <c r="K183" s="1" t="s">
        <v>30</v>
      </c>
      <c r="L183" s="1" t="b">
        <v>1</v>
      </c>
    </row>
    <row r="184" spans="1:12" x14ac:dyDescent="0.3">
      <c r="A184" s="1" t="s">
        <v>415</v>
      </c>
      <c r="B184" s="1" t="s">
        <v>25</v>
      </c>
      <c r="C184" s="1" t="s">
        <v>92</v>
      </c>
      <c r="D184" s="1">
        <v>30</v>
      </c>
      <c r="E184" s="1" t="s">
        <v>66</v>
      </c>
      <c r="F184" s="1" t="s">
        <v>16</v>
      </c>
      <c r="G184" s="1" t="s">
        <v>416</v>
      </c>
      <c r="H184" s="1">
        <v>67886.37</v>
      </c>
      <c r="I184" s="1" t="s">
        <v>166</v>
      </c>
      <c r="J184" s="1">
        <v>-3910257431</v>
      </c>
      <c r="K184" s="1" t="s">
        <v>41</v>
      </c>
      <c r="L184" s="1" t="b">
        <v>0</v>
      </c>
    </row>
    <row r="185" spans="1:12" x14ac:dyDescent="0.3">
      <c r="A185" s="1" t="s">
        <v>417</v>
      </c>
      <c r="B185" s="1" t="s">
        <v>25</v>
      </c>
      <c r="C185" s="1" t="s">
        <v>38</v>
      </c>
      <c r="D185" s="1">
        <v>40</v>
      </c>
      <c r="E185" s="1" t="s">
        <v>230</v>
      </c>
      <c r="F185" s="1" t="s">
        <v>16</v>
      </c>
      <c r="G185" s="1" t="s">
        <v>418</v>
      </c>
      <c r="H185" s="1">
        <v>76614.52</v>
      </c>
      <c r="I185" s="1" t="s">
        <v>362</v>
      </c>
      <c r="J185" s="1">
        <v>-6303975244</v>
      </c>
      <c r="K185" s="1" t="s">
        <v>30</v>
      </c>
      <c r="L185" s="1" t="b">
        <v>1</v>
      </c>
    </row>
    <row r="186" spans="1:12" x14ac:dyDescent="0.3">
      <c r="A186" s="1" t="s">
        <v>419</v>
      </c>
      <c r="B186" s="1" t="s">
        <v>37</v>
      </c>
      <c r="C186" s="1" t="s">
        <v>122</v>
      </c>
      <c r="D186" s="1">
        <v>25</v>
      </c>
      <c r="E186" s="1" t="s">
        <v>100</v>
      </c>
      <c r="F186" s="1" t="s">
        <v>16</v>
      </c>
      <c r="G186" s="2">
        <v>44901</v>
      </c>
      <c r="H186" s="1">
        <v>51311.91</v>
      </c>
      <c r="I186" s="1" t="s">
        <v>137</v>
      </c>
      <c r="J186" s="1">
        <v>-864035532</v>
      </c>
      <c r="K186" s="1" t="s">
        <v>23</v>
      </c>
      <c r="L186" s="1" t="b">
        <v>0</v>
      </c>
    </row>
    <row r="187" spans="1:12" x14ac:dyDescent="0.3">
      <c r="A187" s="1" t="s">
        <v>420</v>
      </c>
      <c r="B187" s="1" t="s">
        <v>37</v>
      </c>
      <c r="C187" s="1" t="s">
        <v>26</v>
      </c>
      <c r="D187" s="1"/>
      <c r="E187" s="1" t="s">
        <v>265</v>
      </c>
      <c r="F187" s="1" t="s">
        <v>33</v>
      </c>
      <c r="G187" s="1" t="s">
        <v>314</v>
      </c>
      <c r="H187" s="1">
        <v>94809.919999999998</v>
      </c>
      <c r="I187" s="1" t="s">
        <v>47</v>
      </c>
      <c r="J187" s="1">
        <v>-8033968526</v>
      </c>
      <c r="K187" s="1" t="s">
        <v>30</v>
      </c>
      <c r="L187" s="1" t="b">
        <v>1</v>
      </c>
    </row>
    <row r="188" spans="1:12" x14ac:dyDescent="0.3">
      <c r="A188" s="1" t="s">
        <v>421</v>
      </c>
      <c r="B188" s="1" t="s">
        <v>69</v>
      </c>
      <c r="C188" s="1" t="s">
        <v>55</v>
      </c>
      <c r="D188" s="1">
        <v>25</v>
      </c>
      <c r="E188" s="1" t="s">
        <v>66</v>
      </c>
      <c r="F188" s="1" t="s">
        <v>28</v>
      </c>
      <c r="G188" s="1" t="s">
        <v>422</v>
      </c>
      <c r="H188" s="1">
        <v>108241.81</v>
      </c>
      <c r="I188" s="1" t="s">
        <v>127</v>
      </c>
      <c r="J188" s="1">
        <v>-171302320</v>
      </c>
      <c r="K188" s="1" t="s">
        <v>23</v>
      </c>
      <c r="L188" s="1" t="b">
        <v>1</v>
      </c>
    </row>
    <row r="189" spans="1:12" x14ac:dyDescent="0.3">
      <c r="A189" s="1" t="s">
        <v>423</v>
      </c>
      <c r="B189" s="1" t="s">
        <v>13</v>
      </c>
      <c r="C189" s="1" t="s">
        <v>14</v>
      </c>
      <c r="D189" s="1">
        <v>40</v>
      </c>
      <c r="E189" s="1" t="s">
        <v>60</v>
      </c>
      <c r="F189" s="1" t="s">
        <v>33</v>
      </c>
      <c r="G189" s="1" t="s">
        <v>424</v>
      </c>
      <c r="H189" s="1">
        <v>78031.490000000005</v>
      </c>
      <c r="I189" s="1" t="s">
        <v>17</v>
      </c>
      <c r="J189" s="1">
        <v>-2983381673</v>
      </c>
      <c r="K189" s="1" t="s">
        <v>30</v>
      </c>
      <c r="L189" s="1" t="b">
        <v>1</v>
      </c>
    </row>
    <row r="190" spans="1:12" x14ac:dyDescent="0.3">
      <c r="A190" s="1" t="s">
        <v>425</v>
      </c>
      <c r="B190" s="1" t="s">
        <v>32</v>
      </c>
      <c r="C190" s="1" t="s">
        <v>14</v>
      </c>
      <c r="D190" s="1">
        <v>35</v>
      </c>
      <c r="E190" s="1" t="s">
        <v>118</v>
      </c>
      <c r="F190" s="1" t="s">
        <v>16</v>
      </c>
      <c r="G190" s="2">
        <v>43957</v>
      </c>
      <c r="H190" s="1">
        <v>85733.83</v>
      </c>
      <c r="I190" s="1" t="s">
        <v>35</v>
      </c>
      <c r="J190" s="1">
        <v>-2336293448</v>
      </c>
      <c r="K190" s="1" t="s">
        <v>23</v>
      </c>
      <c r="L190" s="1" t="b">
        <v>1</v>
      </c>
    </row>
    <row r="191" spans="1:12" x14ac:dyDescent="0.3">
      <c r="A191" s="1" t="s">
        <v>426</v>
      </c>
      <c r="B191" s="1" t="s">
        <v>59</v>
      </c>
      <c r="C191" s="1" t="s">
        <v>92</v>
      </c>
      <c r="D191" s="1">
        <v>35</v>
      </c>
      <c r="E191" s="1" t="s">
        <v>149</v>
      </c>
      <c r="F191" s="1" t="s">
        <v>28</v>
      </c>
      <c r="G191" s="1" t="s">
        <v>427</v>
      </c>
      <c r="H191" s="1">
        <v>60338.29</v>
      </c>
      <c r="I191" s="1" t="s">
        <v>107</v>
      </c>
      <c r="J191" s="1">
        <v>-7347156626</v>
      </c>
      <c r="K191" s="1" t="s">
        <v>23</v>
      </c>
      <c r="L191" s="1" t="b">
        <v>0</v>
      </c>
    </row>
    <row r="192" spans="1:12" x14ac:dyDescent="0.3">
      <c r="A192" s="1" t="s">
        <v>428</v>
      </c>
      <c r="B192" s="1" t="s">
        <v>32</v>
      </c>
      <c r="C192" s="1" t="s">
        <v>14</v>
      </c>
      <c r="D192" s="1">
        <v>30</v>
      </c>
      <c r="E192" s="1" t="s">
        <v>89</v>
      </c>
      <c r="F192" s="1" t="s">
        <v>16</v>
      </c>
      <c r="G192" s="2">
        <v>45416</v>
      </c>
      <c r="H192" s="1">
        <v>103140.67</v>
      </c>
      <c r="I192" s="1" t="s">
        <v>35</v>
      </c>
      <c r="J192" s="1">
        <v>-7689627065</v>
      </c>
      <c r="K192" s="1" t="s">
        <v>23</v>
      </c>
      <c r="L192" s="1" t="b">
        <v>0</v>
      </c>
    </row>
    <row r="193" spans="1:12" x14ac:dyDescent="0.3">
      <c r="A193" s="1" t="s">
        <v>429</v>
      </c>
      <c r="B193" s="1" t="s">
        <v>65</v>
      </c>
      <c r="C193" s="1" t="s">
        <v>38</v>
      </c>
      <c r="D193" s="1">
        <v>40</v>
      </c>
      <c r="E193" s="1" t="s">
        <v>98</v>
      </c>
      <c r="F193" s="1" t="s">
        <v>33</v>
      </c>
      <c r="G193" s="1" t="s">
        <v>430</v>
      </c>
      <c r="H193" s="1">
        <v>114690.8</v>
      </c>
      <c r="I193" s="1" t="s">
        <v>67</v>
      </c>
      <c r="J193" s="1">
        <v>-1498282466</v>
      </c>
      <c r="K193" s="1" t="s">
        <v>41</v>
      </c>
      <c r="L193" s="1" t="b">
        <v>1</v>
      </c>
    </row>
    <row r="194" spans="1:12" x14ac:dyDescent="0.3">
      <c r="A194" s="1" t="s">
        <v>431</v>
      </c>
      <c r="B194" s="1" t="s">
        <v>37</v>
      </c>
      <c r="C194" s="1" t="s">
        <v>122</v>
      </c>
      <c r="D194" s="1">
        <v>35</v>
      </c>
      <c r="E194" s="1" t="s">
        <v>205</v>
      </c>
      <c r="F194" s="1" t="s">
        <v>16</v>
      </c>
      <c r="G194" s="1" t="s">
        <v>432</v>
      </c>
      <c r="H194" s="1">
        <v>80954.559999999998</v>
      </c>
      <c r="I194" s="1" t="s">
        <v>137</v>
      </c>
      <c r="J194" s="1">
        <v>-4746897151</v>
      </c>
      <c r="K194" s="1" t="s">
        <v>30</v>
      </c>
      <c r="L194" s="1" t="b">
        <v>0</v>
      </c>
    </row>
    <row r="195" spans="1:12" x14ac:dyDescent="0.3">
      <c r="A195" s="1" t="s">
        <v>433</v>
      </c>
      <c r="B195" s="1" t="s">
        <v>32</v>
      </c>
      <c r="C195" s="1" t="s">
        <v>14</v>
      </c>
      <c r="D195" s="1"/>
      <c r="E195" s="1" t="s">
        <v>268</v>
      </c>
      <c r="F195" s="1" t="s">
        <v>28</v>
      </c>
      <c r="G195" s="1" t="s">
        <v>434</v>
      </c>
      <c r="H195" s="1">
        <v>71728.55</v>
      </c>
      <c r="I195" s="1" t="s">
        <v>35</v>
      </c>
      <c r="J195" s="1">
        <v>-7323008575</v>
      </c>
      <c r="K195" s="1" t="s">
        <v>30</v>
      </c>
      <c r="L195" s="1" t="b">
        <v>1</v>
      </c>
    </row>
    <row r="196" spans="1:12" x14ac:dyDescent="0.3">
      <c r="A196" s="1" t="s">
        <v>435</v>
      </c>
      <c r="B196" s="1" t="s">
        <v>25</v>
      </c>
      <c r="C196" s="1" t="s">
        <v>14</v>
      </c>
      <c r="D196" s="1">
        <v>35</v>
      </c>
      <c r="E196" s="1" t="s">
        <v>139</v>
      </c>
      <c r="F196" s="1" t="s">
        <v>28</v>
      </c>
      <c r="G196" s="2">
        <v>45393</v>
      </c>
      <c r="H196" s="1">
        <v>118415.8</v>
      </c>
      <c r="I196" s="1" t="s">
        <v>163</v>
      </c>
      <c r="J196" s="1">
        <v>-6656749159</v>
      </c>
      <c r="K196" s="1" t="s">
        <v>30</v>
      </c>
      <c r="L196" s="1" t="b">
        <v>1</v>
      </c>
    </row>
    <row r="197" spans="1:12" x14ac:dyDescent="0.3">
      <c r="A197" s="1" t="s">
        <v>436</v>
      </c>
      <c r="B197" s="1" t="s">
        <v>69</v>
      </c>
      <c r="C197" s="1" t="s">
        <v>55</v>
      </c>
      <c r="D197" s="1">
        <v>40</v>
      </c>
      <c r="E197" s="1" t="s">
        <v>98</v>
      </c>
      <c r="F197" s="1" t="s">
        <v>28</v>
      </c>
      <c r="G197" s="1" t="s">
        <v>437</v>
      </c>
      <c r="H197" s="1">
        <v>81481.36</v>
      </c>
      <c r="I197" s="1" t="s">
        <v>127</v>
      </c>
      <c r="J197" s="1">
        <v>-1692364586</v>
      </c>
      <c r="K197" s="1" t="s">
        <v>23</v>
      </c>
      <c r="L197" s="1" t="b">
        <v>0</v>
      </c>
    </row>
    <row r="198" spans="1:12" x14ac:dyDescent="0.3">
      <c r="A198" s="1" t="s">
        <v>438</v>
      </c>
      <c r="B198" s="1" t="s">
        <v>59</v>
      </c>
      <c r="C198" s="1" t="s">
        <v>55</v>
      </c>
      <c r="D198" s="1">
        <v>35</v>
      </c>
      <c r="E198" s="1" t="s">
        <v>74</v>
      </c>
      <c r="F198" s="1" t="s">
        <v>28</v>
      </c>
      <c r="G198" s="2">
        <v>43932</v>
      </c>
      <c r="H198" s="1">
        <v>117040.57</v>
      </c>
      <c r="I198" s="1" t="s">
        <v>217</v>
      </c>
      <c r="J198" s="1">
        <v>-5066337049</v>
      </c>
      <c r="K198" s="1" t="s">
        <v>30</v>
      </c>
      <c r="L198" s="1" t="b">
        <v>1</v>
      </c>
    </row>
    <row r="199" spans="1:12" x14ac:dyDescent="0.3">
      <c r="A199" s="1" t="s">
        <v>439</v>
      </c>
      <c r="B199" s="1" t="s">
        <v>37</v>
      </c>
      <c r="C199" s="1" t="s">
        <v>20</v>
      </c>
      <c r="D199" s="1">
        <v>25</v>
      </c>
      <c r="E199" s="1" t="s">
        <v>219</v>
      </c>
      <c r="F199" s="1" t="s">
        <v>16</v>
      </c>
      <c r="G199" s="1" t="s">
        <v>440</v>
      </c>
      <c r="H199" s="1">
        <v>67342.06</v>
      </c>
      <c r="I199" s="1" t="s">
        <v>239</v>
      </c>
      <c r="J199" s="1">
        <v>-2497243991</v>
      </c>
      <c r="K199" s="1" t="s">
        <v>30</v>
      </c>
      <c r="L199" s="1" t="b">
        <v>1</v>
      </c>
    </row>
    <row r="200" spans="1:12" x14ac:dyDescent="0.3">
      <c r="A200" s="1" t="s">
        <v>441</v>
      </c>
      <c r="B200" s="1" t="s">
        <v>65</v>
      </c>
      <c r="C200" s="1" t="s">
        <v>26</v>
      </c>
      <c r="D200" s="1"/>
      <c r="E200" s="1" t="s">
        <v>98</v>
      </c>
      <c r="F200" s="1" t="s">
        <v>16</v>
      </c>
      <c r="G200" s="1" t="s">
        <v>442</v>
      </c>
      <c r="H200" s="1">
        <v>76099.64</v>
      </c>
      <c r="I200" s="1" t="s">
        <v>319</v>
      </c>
      <c r="J200" s="1">
        <v>-116691835</v>
      </c>
      <c r="K200" s="1" t="s">
        <v>23</v>
      </c>
      <c r="L200" s="1" t="b">
        <v>0</v>
      </c>
    </row>
    <row r="201" spans="1:12" x14ac:dyDescent="0.3">
      <c r="A201" s="1" t="s">
        <v>443</v>
      </c>
      <c r="B201" s="1" t="s">
        <v>69</v>
      </c>
      <c r="C201" s="1" t="s">
        <v>38</v>
      </c>
      <c r="D201" s="1">
        <v>35</v>
      </c>
      <c r="E201" s="1" t="s">
        <v>78</v>
      </c>
      <c r="F201" s="1" t="s">
        <v>16</v>
      </c>
      <c r="G201" s="2">
        <v>45388</v>
      </c>
      <c r="H201" s="1">
        <v>94162.06</v>
      </c>
      <c r="I201" s="1" t="s">
        <v>71</v>
      </c>
      <c r="J201" s="1">
        <v>-2644886945</v>
      </c>
      <c r="K201" s="1" t="s">
        <v>18</v>
      </c>
      <c r="L201" s="1" t="b">
        <v>1</v>
      </c>
    </row>
    <row r="202" spans="1:12" x14ac:dyDescent="0.3">
      <c r="A202" s="1" t="s">
        <v>444</v>
      </c>
      <c r="B202" s="1" t="s">
        <v>37</v>
      </c>
      <c r="C202" s="1" t="s">
        <v>14</v>
      </c>
      <c r="D202" s="1">
        <v>25</v>
      </c>
      <c r="E202" s="1" t="s">
        <v>219</v>
      </c>
      <c r="F202" s="1" t="s">
        <v>33</v>
      </c>
      <c r="G202" s="2">
        <v>44294</v>
      </c>
      <c r="H202" s="1">
        <v>67639.7</v>
      </c>
      <c r="I202" s="1" t="s">
        <v>52</v>
      </c>
      <c r="J202" s="1">
        <v>-1195243639</v>
      </c>
      <c r="K202" s="1" t="s">
        <v>23</v>
      </c>
      <c r="L202" s="1" t="b">
        <v>1</v>
      </c>
    </row>
    <row r="203" spans="1:12" x14ac:dyDescent="0.3">
      <c r="A203" s="1" t="s">
        <v>445</v>
      </c>
      <c r="B203" s="1" t="s">
        <v>54</v>
      </c>
      <c r="C203" s="1" t="s">
        <v>43</v>
      </c>
      <c r="D203" s="1">
        <v>35</v>
      </c>
      <c r="E203" s="1" t="s">
        <v>95</v>
      </c>
      <c r="F203" s="1" t="s">
        <v>28</v>
      </c>
      <c r="G203" s="1" t="s">
        <v>446</v>
      </c>
      <c r="H203" s="1">
        <v>114172.25</v>
      </c>
      <c r="I203" s="1" t="s">
        <v>87</v>
      </c>
      <c r="J203" s="1">
        <v>-2701168645</v>
      </c>
      <c r="K203" s="1" t="s">
        <v>30</v>
      </c>
      <c r="L203" s="1" t="b">
        <v>1</v>
      </c>
    </row>
    <row r="204" spans="1:12" x14ac:dyDescent="0.3">
      <c r="A204" s="1" t="s">
        <v>447</v>
      </c>
      <c r="B204" s="1" t="s">
        <v>69</v>
      </c>
      <c r="C204" s="1" t="s">
        <v>14</v>
      </c>
      <c r="D204" s="1">
        <v>30</v>
      </c>
      <c r="E204" s="1" t="s">
        <v>219</v>
      </c>
      <c r="F204" s="1" t="s">
        <v>16</v>
      </c>
      <c r="G204" s="1" t="s">
        <v>448</v>
      </c>
      <c r="H204" s="1">
        <v>89124.54</v>
      </c>
      <c r="I204" s="1" t="s">
        <v>235</v>
      </c>
      <c r="J204" s="1">
        <v>-2252237280</v>
      </c>
      <c r="K204" s="1" t="s">
        <v>23</v>
      </c>
      <c r="L204" s="1" t="b">
        <v>1</v>
      </c>
    </row>
    <row r="205" spans="1:12" x14ac:dyDescent="0.3">
      <c r="A205" s="1" t="s">
        <v>449</v>
      </c>
      <c r="B205" s="1" t="s">
        <v>37</v>
      </c>
      <c r="C205" s="1" t="s">
        <v>122</v>
      </c>
      <c r="D205" s="1">
        <v>30</v>
      </c>
      <c r="E205" s="1" t="s">
        <v>328</v>
      </c>
      <c r="F205" s="1" t="s">
        <v>28</v>
      </c>
      <c r="G205" s="2">
        <v>45027</v>
      </c>
      <c r="H205" s="1">
        <v>113871.36</v>
      </c>
      <c r="I205" s="1" t="s">
        <v>137</v>
      </c>
      <c r="J205" s="1">
        <v>-7932302345</v>
      </c>
      <c r="K205" s="1" t="s">
        <v>18</v>
      </c>
      <c r="L205" s="1" t="b">
        <v>0</v>
      </c>
    </row>
    <row r="206" spans="1:12" x14ac:dyDescent="0.3">
      <c r="A206" s="1" t="s">
        <v>450</v>
      </c>
      <c r="B206" s="1" t="s">
        <v>69</v>
      </c>
      <c r="C206" s="1" t="s">
        <v>20</v>
      </c>
      <c r="D206" s="1"/>
      <c r="E206" s="1" t="s">
        <v>139</v>
      </c>
      <c r="F206" s="1" t="s">
        <v>33</v>
      </c>
      <c r="G206" s="1" t="s">
        <v>351</v>
      </c>
      <c r="H206" s="1">
        <v>62618.400000000001</v>
      </c>
      <c r="I206" s="1" t="s">
        <v>201</v>
      </c>
      <c r="J206" s="1">
        <v>-7912141613</v>
      </c>
      <c r="K206" s="1" t="s">
        <v>23</v>
      </c>
      <c r="L206" s="1" t="b">
        <v>0</v>
      </c>
    </row>
    <row r="207" spans="1:12" x14ac:dyDescent="0.3">
      <c r="A207" s="1" t="s">
        <v>451</v>
      </c>
      <c r="B207" s="1" t="s">
        <v>65</v>
      </c>
      <c r="C207" s="1" t="s">
        <v>26</v>
      </c>
      <c r="D207" s="1">
        <v>30</v>
      </c>
      <c r="E207" s="1" t="s">
        <v>196</v>
      </c>
      <c r="F207" s="1" t="s">
        <v>16</v>
      </c>
      <c r="G207" s="2">
        <v>44018</v>
      </c>
      <c r="H207" s="1">
        <v>70705.45</v>
      </c>
      <c r="I207" s="1" t="s">
        <v>319</v>
      </c>
      <c r="J207" s="1">
        <v>-1509377099</v>
      </c>
      <c r="K207" s="1" t="s">
        <v>30</v>
      </c>
      <c r="L207" s="1" t="b">
        <v>0</v>
      </c>
    </row>
    <row r="208" spans="1:12" x14ac:dyDescent="0.3">
      <c r="A208" s="1" t="s">
        <v>452</v>
      </c>
      <c r="B208" s="1" t="s">
        <v>25</v>
      </c>
      <c r="C208" s="1" t="s">
        <v>43</v>
      </c>
      <c r="D208" s="1">
        <v>35</v>
      </c>
      <c r="E208" s="1" t="s">
        <v>109</v>
      </c>
      <c r="F208" s="1" t="s">
        <v>28</v>
      </c>
      <c r="G208" s="2">
        <v>44836</v>
      </c>
      <c r="H208" s="1">
        <v>60797.69</v>
      </c>
      <c r="I208" s="1" t="s">
        <v>45</v>
      </c>
      <c r="J208" s="1">
        <v>-4090138068</v>
      </c>
      <c r="K208" s="1" t="s">
        <v>18</v>
      </c>
      <c r="L208" s="1" t="b">
        <v>1</v>
      </c>
    </row>
    <row r="209" spans="1:12" x14ac:dyDescent="0.3">
      <c r="A209" s="1" t="s">
        <v>453</v>
      </c>
      <c r="B209" s="1" t="s">
        <v>54</v>
      </c>
      <c r="C209" s="1" t="s">
        <v>20</v>
      </c>
      <c r="D209" s="1">
        <v>40</v>
      </c>
      <c r="E209" s="1" t="s">
        <v>39</v>
      </c>
      <c r="F209" s="1" t="s">
        <v>33</v>
      </c>
      <c r="G209" s="1" t="s">
        <v>454</v>
      </c>
      <c r="H209" s="1">
        <v>100371</v>
      </c>
      <c r="I209" s="1" t="s">
        <v>125</v>
      </c>
      <c r="J209" s="1">
        <v>-8477596554</v>
      </c>
      <c r="K209" s="1" t="s">
        <v>41</v>
      </c>
      <c r="L209" s="1" t="b">
        <v>1</v>
      </c>
    </row>
    <row r="210" spans="1:12" x14ac:dyDescent="0.3">
      <c r="A210" s="1" t="s">
        <v>455</v>
      </c>
      <c r="B210" s="1" t="s">
        <v>32</v>
      </c>
      <c r="C210" s="1" t="s">
        <v>92</v>
      </c>
      <c r="D210" s="1">
        <v>40</v>
      </c>
      <c r="E210" s="1" t="s">
        <v>89</v>
      </c>
      <c r="F210" s="1" t="s">
        <v>16</v>
      </c>
      <c r="G210" s="1" t="s">
        <v>456</v>
      </c>
      <c r="H210" s="1">
        <v>117591.76</v>
      </c>
      <c r="I210" s="1" t="s">
        <v>263</v>
      </c>
      <c r="J210" s="1">
        <v>-5356690550</v>
      </c>
      <c r="K210" s="1" t="s">
        <v>30</v>
      </c>
      <c r="L210" s="1" t="b">
        <v>0</v>
      </c>
    </row>
    <row r="211" spans="1:12" x14ac:dyDescent="0.3">
      <c r="A211" s="1" t="s">
        <v>457</v>
      </c>
      <c r="B211" s="1" t="s">
        <v>59</v>
      </c>
      <c r="C211" s="1" t="s">
        <v>26</v>
      </c>
      <c r="D211" s="1">
        <v>35</v>
      </c>
      <c r="E211" s="1" t="s">
        <v>78</v>
      </c>
      <c r="F211" s="1" t="s">
        <v>33</v>
      </c>
      <c r="G211" s="2">
        <v>44628</v>
      </c>
      <c r="H211" s="1">
        <v>103860.7</v>
      </c>
      <c r="I211" s="1" t="s">
        <v>242</v>
      </c>
      <c r="J211" s="1">
        <v>-762091842</v>
      </c>
      <c r="K211" s="1" t="s">
        <v>18</v>
      </c>
      <c r="L211" s="1" t="b">
        <v>1</v>
      </c>
    </row>
    <row r="212" spans="1:12" x14ac:dyDescent="0.3">
      <c r="A212" s="1" t="s">
        <v>458</v>
      </c>
      <c r="B212" s="1" t="s">
        <v>69</v>
      </c>
      <c r="C212" s="1" t="s">
        <v>14</v>
      </c>
      <c r="D212" s="1">
        <v>30</v>
      </c>
      <c r="E212" s="1" t="s">
        <v>89</v>
      </c>
      <c r="F212" s="1" t="s">
        <v>16</v>
      </c>
      <c r="G212" s="1" t="s">
        <v>336</v>
      </c>
      <c r="H212" s="1">
        <v>67500.22</v>
      </c>
      <c r="I212" s="1" t="s">
        <v>235</v>
      </c>
      <c r="J212" s="1">
        <v>-5797863049</v>
      </c>
      <c r="K212" s="1" t="s">
        <v>18</v>
      </c>
      <c r="L212" s="1" t="b">
        <v>1</v>
      </c>
    </row>
    <row r="213" spans="1:12" x14ac:dyDescent="0.3">
      <c r="A213" s="1" t="s">
        <v>459</v>
      </c>
      <c r="B213" s="1" t="s">
        <v>37</v>
      </c>
      <c r="C213" s="1" t="s">
        <v>14</v>
      </c>
      <c r="D213" s="1"/>
      <c r="E213" s="1" t="s">
        <v>85</v>
      </c>
      <c r="F213" s="1" t="s">
        <v>28</v>
      </c>
      <c r="G213" s="2">
        <v>45545</v>
      </c>
      <c r="H213" s="1">
        <v>58727.44</v>
      </c>
      <c r="I213" s="1" t="s">
        <v>52</v>
      </c>
      <c r="J213" s="1">
        <v>-5057397690</v>
      </c>
      <c r="K213" s="1" t="s">
        <v>41</v>
      </c>
      <c r="L213" s="1" t="b">
        <v>1</v>
      </c>
    </row>
    <row r="214" spans="1:12" x14ac:dyDescent="0.3">
      <c r="A214" s="1" t="s">
        <v>460</v>
      </c>
      <c r="B214" s="1" t="s">
        <v>54</v>
      </c>
      <c r="C214" s="1" t="s">
        <v>26</v>
      </c>
      <c r="D214" s="1">
        <v>35</v>
      </c>
      <c r="E214" s="1" t="s">
        <v>265</v>
      </c>
      <c r="F214" s="1" t="s">
        <v>16</v>
      </c>
      <c r="G214" s="1" t="s">
        <v>208</v>
      </c>
      <c r="H214" s="1">
        <v>80623.08</v>
      </c>
      <c r="I214" s="1" t="s">
        <v>120</v>
      </c>
      <c r="J214" s="1">
        <v>-5671649327</v>
      </c>
      <c r="K214" s="1" t="s">
        <v>23</v>
      </c>
      <c r="L214" s="1" t="b">
        <v>1</v>
      </c>
    </row>
    <row r="215" spans="1:12" x14ac:dyDescent="0.3">
      <c r="A215" s="1" t="s">
        <v>461</v>
      </c>
      <c r="B215" s="1" t="s">
        <v>59</v>
      </c>
      <c r="C215" s="1" t="s">
        <v>14</v>
      </c>
      <c r="D215" s="1">
        <v>40</v>
      </c>
      <c r="E215" s="1" t="s">
        <v>139</v>
      </c>
      <c r="F215" s="1" t="s">
        <v>33</v>
      </c>
      <c r="G215" s="1" t="s">
        <v>462</v>
      </c>
      <c r="H215" s="1">
        <v>77751.78</v>
      </c>
      <c r="I215" s="1" t="s">
        <v>63</v>
      </c>
      <c r="J215" s="1">
        <v>-9802714871</v>
      </c>
      <c r="K215" s="1" t="s">
        <v>23</v>
      </c>
      <c r="L215" s="1" t="b">
        <v>0</v>
      </c>
    </row>
    <row r="216" spans="1:12" x14ac:dyDescent="0.3">
      <c r="A216" s="1" t="s">
        <v>463</v>
      </c>
      <c r="B216" s="1" t="s">
        <v>69</v>
      </c>
      <c r="C216" s="1" t="s">
        <v>38</v>
      </c>
      <c r="D216" s="1">
        <v>25</v>
      </c>
      <c r="E216" s="1" t="s">
        <v>66</v>
      </c>
      <c r="F216" s="1" t="s">
        <v>16</v>
      </c>
      <c r="G216" s="1" t="s">
        <v>464</v>
      </c>
      <c r="H216" s="1">
        <v>115157.81</v>
      </c>
      <c r="I216" s="1" t="s">
        <v>71</v>
      </c>
      <c r="J216" s="1">
        <v>-7178333210</v>
      </c>
      <c r="K216" s="1" t="s">
        <v>30</v>
      </c>
      <c r="L216" s="1" t="b">
        <v>0</v>
      </c>
    </row>
    <row r="217" spans="1:12" x14ac:dyDescent="0.3">
      <c r="A217" s="1" t="s">
        <v>465</v>
      </c>
      <c r="B217" s="1" t="s">
        <v>37</v>
      </c>
      <c r="C217" s="1" t="s">
        <v>26</v>
      </c>
      <c r="D217" s="1">
        <v>30</v>
      </c>
      <c r="E217" s="1" t="s">
        <v>103</v>
      </c>
      <c r="F217" s="1" t="s">
        <v>33</v>
      </c>
      <c r="G217" s="1" t="s">
        <v>466</v>
      </c>
      <c r="H217" s="1">
        <v>83071.850000000006</v>
      </c>
      <c r="I217" s="1" t="s">
        <v>47</v>
      </c>
      <c r="J217" s="1">
        <v>-6025643470</v>
      </c>
      <c r="K217" s="1" t="s">
        <v>41</v>
      </c>
      <c r="L217" s="1" t="b">
        <v>0</v>
      </c>
    </row>
    <row r="218" spans="1:12" x14ac:dyDescent="0.3">
      <c r="A218" s="1" t="s">
        <v>467</v>
      </c>
      <c r="B218" s="1" t="s">
        <v>65</v>
      </c>
      <c r="C218" s="1" t="s">
        <v>20</v>
      </c>
      <c r="D218" s="1">
        <v>40</v>
      </c>
      <c r="E218" s="1" t="s">
        <v>44</v>
      </c>
      <c r="F218" s="1" t="s">
        <v>16</v>
      </c>
      <c r="G218" s="2">
        <v>44045</v>
      </c>
      <c r="H218" s="1">
        <v>67914.67</v>
      </c>
      <c r="I218" s="1" t="s">
        <v>403</v>
      </c>
      <c r="J218" s="1">
        <v>-2871539914</v>
      </c>
      <c r="K218" s="1" t="s">
        <v>23</v>
      </c>
      <c r="L218" s="1" t="b">
        <v>1</v>
      </c>
    </row>
    <row r="219" spans="1:12" x14ac:dyDescent="0.3">
      <c r="A219" s="1" t="s">
        <v>468</v>
      </c>
      <c r="B219" s="1" t="s">
        <v>69</v>
      </c>
      <c r="C219" s="1" t="s">
        <v>26</v>
      </c>
      <c r="D219" s="1">
        <v>25</v>
      </c>
      <c r="E219" s="1" t="s">
        <v>66</v>
      </c>
      <c r="F219" s="1" t="s">
        <v>33</v>
      </c>
      <c r="G219" s="2">
        <v>43991</v>
      </c>
      <c r="H219" s="1">
        <v>53342.46</v>
      </c>
      <c r="I219" s="1" t="s">
        <v>76</v>
      </c>
      <c r="J219" s="1">
        <v>-6686334140</v>
      </c>
      <c r="K219" s="1" t="s">
        <v>41</v>
      </c>
      <c r="L219" s="1" t="b">
        <v>0</v>
      </c>
    </row>
    <row r="220" spans="1:12" x14ac:dyDescent="0.3">
      <c r="A220" s="1" t="s">
        <v>469</v>
      </c>
      <c r="B220" s="1" t="s">
        <v>65</v>
      </c>
      <c r="C220" s="1" t="s">
        <v>43</v>
      </c>
      <c r="D220" s="1">
        <v>25</v>
      </c>
      <c r="E220" s="1" t="s">
        <v>39</v>
      </c>
      <c r="F220" s="1" t="s">
        <v>28</v>
      </c>
      <c r="G220" s="2">
        <v>44958</v>
      </c>
      <c r="H220" s="1">
        <v>51150.47</v>
      </c>
      <c r="I220" s="1" t="s">
        <v>257</v>
      </c>
      <c r="J220" s="1">
        <v>-1159319524</v>
      </c>
      <c r="K220" s="1" t="s">
        <v>23</v>
      </c>
      <c r="L220" s="1" t="b">
        <v>0</v>
      </c>
    </row>
    <row r="221" spans="1:12" x14ac:dyDescent="0.3">
      <c r="A221" s="1" t="s">
        <v>470</v>
      </c>
      <c r="B221" s="1" t="s">
        <v>59</v>
      </c>
      <c r="C221" s="1" t="s">
        <v>14</v>
      </c>
      <c r="D221" s="1">
        <v>30</v>
      </c>
      <c r="E221" s="1" t="s">
        <v>212</v>
      </c>
      <c r="F221" s="1" t="s">
        <v>16</v>
      </c>
      <c r="G221" s="1" t="s">
        <v>471</v>
      </c>
      <c r="H221" s="1">
        <v>74697.119999999995</v>
      </c>
      <c r="I221" s="1" t="s">
        <v>63</v>
      </c>
      <c r="J221" s="1">
        <v>-6904098365</v>
      </c>
      <c r="K221" s="1" t="s">
        <v>18</v>
      </c>
      <c r="L221" s="1" t="b">
        <v>1</v>
      </c>
    </row>
    <row r="222" spans="1:12" x14ac:dyDescent="0.3">
      <c r="A222" s="1" t="s">
        <v>472</v>
      </c>
      <c r="B222" s="1" t="s">
        <v>54</v>
      </c>
      <c r="C222" s="1" t="s">
        <v>38</v>
      </c>
      <c r="D222" s="1">
        <v>25</v>
      </c>
      <c r="E222" s="1" t="s">
        <v>177</v>
      </c>
      <c r="F222" s="1" t="s">
        <v>16</v>
      </c>
      <c r="G222" s="1" t="s">
        <v>473</v>
      </c>
      <c r="H222" s="1">
        <v>88085.74</v>
      </c>
      <c r="I222" s="1" t="s">
        <v>90</v>
      </c>
      <c r="J222" s="1">
        <v>-5528993159</v>
      </c>
      <c r="K222" s="1" t="s">
        <v>23</v>
      </c>
      <c r="L222" s="1" t="b">
        <v>1</v>
      </c>
    </row>
    <row r="223" spans="1:12" x14ac:dyDescent="0.3">
      <c r="A223" s="1" t="s">
        <v>474</v>
      </c>
      <c r="B223" s="1" t="s">
        <v>25</v>
      </c>
      <c r="C223" s="1" t="s">
        <v>38</v>
      </c>
      <c r="D223" s="1">
        <v>40</v>
      </c>
      <c r="E223" s="1" t="s">
        <v>21</v>
      </c>
      <c r="F223" s="1" t="s">
        <v>28</v>
      </c>
      <c r="G223" s="2">
        <v>44623</v>
      </c>
      <c r="H223" s="1">
        <v>118672.76</v>
      </c>
      <c r="I223" s="1" t="s">
        <v>362</v>
      </c>
      <c r="J223" s="1">
        <v>-8752437728</v>
      </c>
      <c r="K223" s="1" t="s">
        <v>41</v>
      </c>
      <c r="L223" s="1" t="b">
        <v>0</v>
      </c>
    </row>
    <row r="224" spans="1:12" x14ac:dyDescent="0.3">
      <c r="A224" s="1" t="s">
        <v>475</v>
      </c>
      <c r="B224" s="1" t="s">
        <v>25</v>
      </c>
      <c r="C224" s="1" t="s">
        <v>92</v>
      </c>
      <c r="D224" s="1">
        <v>35</v>
      </c>
      <c r="E224" s="1" t="s">
        <v>268</v>
      </c>
      <c r="F224" s="1" t="s">
        <v>16</v>
      </c>
      <c r="G224" s="2">
        <v>45567</v>
      </c>
      <c r="H224" s="1">
        <v>95997.31</v>
      </c>
      <c r="I224" s="1" t="s">
        <v>166</v>
      </c>
      <c r="J224" s="1">
        <v>-4209548148</v>
      </c>
      <c r="K224" s="1" t="s">
        <v>18</v>
      </c>
      <c r="L224" s="1" t="b">
        <v>0</v>
      </c>
    </row>
    <row r="225" spans="1:12" x14ac:dyDescent="0.3">
      <c r="A225" s="1" t="s">
        <v>476</v>
      </c>
      <c r="B225" s="1" t="s">
        <v>37</v>
      </c>
      <c r="C225" s="1" t="s">
        <v>20</v>
      </c>
      <c r="D225" s="1">
        <v>30</v>
      </c>
      <c r="E225" s="1" t="s">
        <v>268</v>
      </c>
      <c r="F225" s="1" t="s">
        <v>28</v>
      </c>
      <c r="G225" s="1" t="s">
        <v>477</v>
      </c>
      <c r="H225" s="1">
        <v>106945.62</v>
      </c>
      <c r="I225" s="1" t="s">
        <v>239</v>
      </c>
      <c r="J225" s="1">
        <v>-7374605232</v>
      </c>
      <c r="K225" s="1" t="s">
        <v>18</v>
      </c>
      <c r="L225" s="1" t="b">
        <v>0</v>
      </c>
    </row>
    <row r="226" spans="1:12" x14ac:dyDescent="0.3">
      <c r="A226" s="1" t="s">
        <v>478</v>
      </c>
      <c r="B226" s="1" t="s">
        <v>65</v>
      </c>
      <c r="C226" s="1" t="s">
        <v>55</v>
      </c>
      <c r="D226" s="1">
        <v>40</v>
      </c>
      <c r="E226" s="1" t="s">
        <v>56</v>
      </c>
      <c r="F226" s="1" t="s">
        <v>16</v>
      </c>
      <c r="G226" s="2">
        <v>44079</v>
      </c>
      <c r="H226" s="1">
        <v>100123.15</v>
      </c>
      <c r="I226" s="1" t="s">
        <v>113</v>
      </c>
      <c r="J226" s="1">
        <v>-276420864</v>
      </c>
      <c r="K226" s="1" t="s">
        <v>18</v>
      </c>
      <c r="L226" s="1" t="b">
        <v>0</v>
      </c>
    </row>
    <row r="227" spans="1:12" x14ac:dyDescent="0.3">
      <c r="A227" s="1" t="s">
        <v>479</v>
      </c>
      <c r="B227" s="1" t="s">
        <v>25</v>
      </c>
      <c r="C227" s="1" t="s">
        <v>55</v>
      </c>
      <c r="D227" s="1">
        <v>35</v>
      </c>
      <c r="E227" s="1" t="s">
        <v>103</v>
      </c>
      <c r="F227" s="1" t="s">
        <v>16</v>
      </c>
      <c r="G227" s="1" t="s">
        <v>480</v>
      </c>
      <c r="H227" s="1">
        <v>52933.42</v>
      </c>
      <c r="I227" s="1" t="s">
        <v>150</v>
      </c>
      <c r="J227" s="1">
        <v>-6756618442</v>
      </c>
      <c r="K227" s="1" t="s">
        <v>41</v>
      </c>
      <c r="L227" s="1" t="b">
        <v>1</v>
      </c>
    </row>
    <row r="228" spans="1:12" x14ac:dyDescent="0.3">
      <c r="A228" s="1" t="s">
        <v>481</v>
      </c>
      <c r="B228" s="1" t="s">
        <v>69</v>
      </c>
      <c r="C228" s="1" t="s">
        <v>26</v>
      </c>
      <c r="D228" s="1"/>
      <c r="E228" s="1" t="s">
        <v>70</v>
      </c>
      <c r="F228" s="1" t="s">
        <v>16</v>
      </c>
      <c r="G228" s="1" t="s">
        <v>482</v>
      </c>
      <c r="H228" s="1">
        <v>95283.03</v>
      </c>
      <c r="I228" s="1" t="s">
        <v>76</v>
      </c>
      <c r="J228" s="1">
        <v>-8612590471</v>
      </c>
      <c r="K228" s="1" t="s">
        <v>30</v>
      </c>
      <c r="L228" s="1" t="b">
        <v>0</v>
      </c>
    </row>
    <row r="229" spans="1:12" x14ac:dyDescent="0.3">
      <c r="A229" s="1" t="s">
        <v>483</v>
      </c>
      <c r="B229" s="1" t="s">
        <v>25</v>
      </c>
      <c r="C229" s="1" t="s">
        <v>92</v>
      </c>
      <c r="D229" s="1">
        <v>35</v>
      </c>
      <c r="E229" s="1" t="s">
        <v>139</v>
      </c>
      <c r="F229" s="1" t="s">
        <v>33</v>
      </c>
      <c r="G229" s="1" t="s">
        <v>484</v>
      </c>
      <c r="H229" s="1">
        <v>112264.06</v>
      </c>
      <c r="I229" s="1" t="s">
        <v>166</v>
      </c>
      <c r="J229" s="1">
        <v>-9277423329</v>
      </c>
      <c r="K229" s="1" t="s">
        <v>30</v>
      </c>
      <c r="L229" s="1" t="b">
        <v>0</v>
      </c>
    </row>
    <row r="230" spans="1:12" x14ac:dyDescent="0.3">
      <c r="A230" s="1" t="s">
        <v>485</v>
      </c>
      <c r="B230" s="1" t="s">
        <v>69</v>
      </c>
      <c r="C230" s="1" t="s">
        <v>122</v>
      </c>
      <c r="D230" s="1">
        <v>35</v>
      </c>
      <c r="E230" s="1" t="s">
        <v>205</v>
      </c>
      <c r="F230" s="1" t="s">
        <v>28</v>
      </c>
      <c r="G230" s="1" t="s">
        <v>486</v>
      </c>
      <c r="H230" s="1">
        <v>75714.28</v>
      </c>
      <c r="I230" s="1" t="s">
        <v>135</v>
      </c>
      <c r="J230" s="1">
        <v>-5912662014</v>
      </c>
      <c r="K230" s="1" t="s">
        <v>30</v>
      </c>
      <c r="L230" s="1" t="b">
        <v>1</v>
      </c>
    </row>
    <row r="231" spans="1:12" x14ac:dyDescent="0.3">
      <c r="A231" s="1" t="s">
        <v>487</v>
      </c>
      <c r="B231" s="1" t="s">
        <v>32</v>
      </c>
      <c r="C231" s="1" t="s">
        <v>26</v>
      </c>
      <c r="D231" s="1">
        <v>25</v>
      </c>
      <c r="E231" s="1" t="s">
        <v>230</v>
      </c>
      <c r="F231" s="1" t="s">
        <v>16</v>
      </c>
      <c r="G231" s="1" t="s">
        <v>488</v>
      </c>
      <c r="H231" s="1">
        <v>92171.73</v>
      </c>
      <c r="I231" s="1" t="s">
        <v>277</v>
      </c>
      <c r="J231" s="1">
        <v>-7201859625</v>
      </c>
      <c r="K231" s="1" t="s">
        <v>41</v>
      </c>
      <c r="L231" s="1" t="b">
        <v>0</v>
      </c>
    </row>
    <row r="232" spans="1:12" x14ac:dyDescent="0.3">
      <c r="A232" s="1" t="s">
        <v>489</v>
      </c>
      <c r="B232" s="1" t="s">
        <v>32</v>
      </c>
      <c r="C232" s="1" t="s">
        <v>92</v>
      </c>
      <c r="D232" s="1">
        <v>35</v>
      </c>
      <c r="E232" s="1" t="s">
        <v>159</v>
      </c>
      <c r="F232" s="1" t="s">
        <v>33</v>
      </c>
      <c r="G232" s="1" t="s">
        <v>490</v>
      </c>
      <c r="H232" s="1">
        <v>70694.8</v>
      </c>
      <c r="I232" s="1" t="s">
        <v>263</v>
      </c>
      <c r="J232" s="1">
        <v>-3013674925</v>
      </c>
      <c r="K232" s="1" t="s">
        <v>18</v>
      </c>
      <c r="L232" s="1" t="b">
        <v>1</v>
      </c>
    </row>
    <row r="233" spans="1:12" x14ac:dyDescent="0.3">
      <c r="A233" s="1" t="s">
        <v>491</v>
      </c>
      <c r="B233" s="1" t="s">
        <v>69</v>
      </c>
      <c r="C233" s="1" t="s">
        <v>20</v>
      </c>
      <c r="D233" s="1">
        <v>30</v>
      </c>
      <c r="E233" s="1" t="s">
        <v>230</v>
      </c>
      <c r="F233" s="1" t="s">
        <v>33</v>
      </c>
      <c r="G233" s="2">
        <v>44658</v>
      </c>
      <c r="H233" s="1">
        <v>52964.86</v>
      </c>
      <c r="I233" s="1" t="s">
        <v>201</v>
      </c>
      <c r="J233" s="1">
        <v>-1764750110</v>
      </c>
      <c r="K233" s="1" t="s">
        <v>30</v>
      </c>
      <c r="L233" s="1" t="b">
        <v>1</v>
      </c>
    </row>
    <row r="234" spans="1:12" x14ac:dyDescent="0.3">
      <c r="A234" s="1" t="s">
        <v>492</v>
      </c>
      <c r="B234" s="1" t="s">
        <v>37</v>
      </c>
      <c r="C234" s="1" t="s">
        <v>20</v>
      </c>
      <c r="D234" s="1"/>
      <c r="E234" s="1" t="s">
        <v>70</v>
      </c>
      <c r="F234" s="1" t="s">
        <v>28</v>
      </c>
      <c r="G234" s="2">
        <v>45510</v>
      </c>
      <c r="H234" s="1">
        <v>116353.31</v>
      </c>
      <c r="I234" s="1" t="s">
        <v>239</v>
      </c>
      <c r="J234" s="1">
        <v>-1783099973</v>
      </c>
      <c r="K234" s="1" t="s">
        <v>41</v>
      </c>
      <c r="L234" s="1" t="b">
        <v>1</v>
      </c>
    </row>
    <row r="235" spans="1:12" x14ac:dyDescent="0.3">
      <c r="A235" s="1" t="s">
        <v>493</v>
      </c>
      <c r="B235" s="1" t="s">
        <v>69</v>
      </c>
      <c r="C235" s="1" t="s">
        <v>20</v>
      </c>
      <c r="D235" s="1">
        <v>35</v>
      </c>
      <c r="E235" s="1" t="s">
        <v>219</v>
      </c>
      <c r="F235" s="1" t="s">
        <v>28</v>
      </c>
      <c r="G235" s="1" t="s">
        <v>494</v>
      </c>
      <c r="H235" s="1">
        <v>116695.26</v>
      </c>
      <c r="I235" s="1" t="s">
        <v>201</v>
      </c>
      <c r="J235" s="1">
        <v>-1926764920</v>
      </c>
      <c r="K235" s="1" t="s">
        <v>30</v>
      </c>
      <c r="L235" s="1" t="b">
        <v>0</v>
      </c>
    </row>
    <row r="236" spans="1:12" x14ac:dyDescent="0.3">
      <c r="A236" s="1" t="s">
        <v>495</v>
      </c>
      <c r="B236" s="1" t="s">
        <v>65</v>
      </c>
      <c r="C236" s="1" t="s">
        <v>20</v>
      </c>
      <c r="D236" s="1">
        <v>25</v>
      </c>
      <c r="E236" s="1" t="s">
        <v>103</v>
      </c>
      <c r="F236" s="1" t="s">
        <v>16</v>
      </c>
      <c r="G236" s="1" t="s">
        <v>496</v>
      </c>
      <c r="H236" s="1">
        <v>95161.4</v>
      </c>
      <c r="I236" s="1" t="s">
        <v>403</v>
      </c>
      <c r="J236" s="1">
        <v>-5182606887</v>
      </c>
      <c r="K236" s="1" t="s">
        <v>23</v>
      </c>
      <c r="L236" s="1" t="b">
        <v>0</v>
      </c>
    </row>
    <row r="237" spans="1:12" x14ac:dyDescent="0.3">
      <c r="A237" s="1" t="s">
        <v>497</v>
      </c>
      <c r="B237" s="1" t="s">
        <v>25</v>
      </c>
      <c r="C237" s="1" t="s">
        <v>20</v>
      </c>
      <c r="D237" s="1"/>
      <c r="E237" s="1" t="s">
        <v>27</v>
      </c>
      <c r="F237" s="1" t="s">
        <v>33</v>
      </c>
      <c r="G237" s="1" t="s">
        <v>498</v>
      </c>
      <c r="H237" s="1">
        <v>76040.94</v>
      </c>
      <c r="I237" s="1" t="s">
        <v>80</v>
      </c>
      <c r="J237" s="1">
        <v>-7189813128</v>
      </c>
      <c r="K237" s="1" t="s">
        <v>30</v>
      </c>
      <c r="L237" s="1" t="b">
        <v>1</v>
      </c>
    </row>
    <row r="238" spans="1:12" x14ac:dyDescent="0.3">
      <c r="A238" s="1" t="s">
        <v>499</v>
      </c>
      <c r="B238" s="1" t="s">
        <v>54</v>
      </c>
      <c r="C238" s="1" t="s">
        <v>92</v>
      </c>
      <c r="D238" s="1"/>
      <c r="E238" s="1" t="s">
        <v>212</v>
      </c>
      <c r="F238" s="1" t="s">
        <v>33</v>
      </c>
      <c r="G238" s="1" t="s">
        <v>500</v>
      </c>
      <c r="H238" s="1">
        <v>69508.28</v>
      </c>
      <c r="I238" s="1" t="s">
        <v>501</v>
      </c>
      <c r="J238" s="1">
        <v>-2087510292</v>
      </c>
      <c r="K238" s="1" t="s">
        <v>30</v>
      </c>
      <c r="L238" s="1" t="b">
        <v>0</v>
      </c>
    </row>
    <row r="239" spans="1:12" x14ac:dyDescent="0.3">
      <c r="A239" s="1" t="s">
        <v>502</v>
      </c>
      <c r="B239" s="1" t="s">
        <v>25</v>
      </c>
      <c r="C239" s="1" t="s">
        <v>92</v>
      </c>
      <c r="D239" s="1">
        <v>30</v>
      </c>
      <c r="E239" s="1" t="s">
        <v>265</v>
      </c>
      <c r="F239" s="1" t="s">
        <v>33</v>
      </c>
      <c r="G239" s="1" t="s">
        <v>503</v>
      </c>
      <c r="H239" s="1">
        <v>58243.27</v>
      </c>
      <c r="I239" s="1" t="s">
        <v>166</v>
      </c>
      <c r="J239" s="1">
        <v>-2184011844</v>
      </c>
      <c r="K239" s="1" t="s">
        <v>18</v>
      </c>
      <c r="L239" s="1" t="b">
        <v>0</v>
      </c>
    </row>
    <row r="240" spans="1:12" x14ac:dyDescent="0.3">
      <c r="A240" s="1" t="s">
        <v>504</v>
      </c>
      <c r="B240" s="1" t="s">
        <v>65</v>
      </c>
      <c r="C240" s="1" t="s">
        <v>38</v>
      </c>
      <c r="D240" s="1">
        <v>30</v>
      </c>
      <c r="E240" s="1" t="s">
        <v>177</v>
      </c>
      <c r="F240" s="1" t="s">
        <v>28</v>
      </c>
      <c r="G240" s="2">
        <v>44602</v>
      </c>
      <c r="H240" s="1">
        <v>64012.480000000003</v>
      </c>
      <c r="I240" s="1" t="s">
        <v>67</v>
      </c>
      <c r="J240" s="1">
        <v>-8260340847</v>
      </c>
      <c r="K240" s="1" t="s">
        <v>41</v>
      </c>
      <c r="L240" s="1" t="b">
        <v>1</v>
      </c>
    </row>
    <row r="241" spans="1:12" x14ac:dyDescent="0.3">
      <c r="A241" s="1" t="s">
        <v>505</v>
      </c>
      <c r="B241" s="1" t="s">
        <v>13</v>
      </c>
      <c r="C241" s="1" t="s">
        <v>43</v>
      </c>
      <c r="D241" s="1">
        <v>40</v>
      </c>
      <c r="E241" s="1" t="s">
        <v>27</v>
      </c>
      <c r="F241" s="1" t="s">
        <v>33</v>
      </c>
      <c r="G241" s="1" t="s">
        <v>506</v>
      </c>
      <c r="H241" s="1">
        <v>106735.93</v>
      </c>
      <c r="I241" s="1" t="s">
        <v>153</v>
      </c>
      <c r="J241" s="1">
        <v>-7297585987</v>
      </c>
      <c r="K241" s="1" t="s">
        <v>18</v>
      </c>
      <c r="L241" s="1" t="b">
        <v>1</v>
      </c>
    </row>
    <row r="242" spans="1:12" x14ac:dyDescent="0.3">
      <c r="A242" s="1" t="s">
        <v>507</v>
      </c>
      <c r="B242" s="1" t="s">
        <v>37</v>
      </c>
      <c r="C242" s="1" t="s">
        <v>55</v>
      </c>
      <c r="D242" s="1">
        <v>35</v>
      </c>
      <c r="E242" s="1" t="s">
        <v>237</v>
      </c>
      <c r="F242" s="1" t="s">
        <v>28</v>
      </c>
      <c r="G242" s="1" t="s">
        <v>508</v>
      </c>
      <c r="H242" s="1">
        <v>70325.36</v>
      </c>
      <c r="I242" s="1" t="s">
        <v>271</v>
      </c>
      <c r="J242" s="1">
        <v>-3103032431</v>
      </c>
      <c r="K242" s="1" t="s">
        <v>18</v>
      </c>
      <c r="L242" s="1" t="b">
        <v>0</v>
      </c>
    </row>
    <row r="243" spans="1:12" x14ac:dyDescent="0.3">
      <c r="A243" s="1" t="s">
        <v>509</v>
      </c>
      <c r="B243" s="1" t="s">
        <v>54</v>
      </c>
      <c r="C243" s="1" t="s">
        <v>14</v>
      </c>
      <c r="D243" s="1">
        <v>30</v>
      </c>
      <c r="E243" s="1" t="s">
        <v>192</v>
      </c>
      <c r="F243" s="1" t="s">
        <v>16</v>
      </c>
      <c r="G243" s="2">
        <v>43960</v>
      </c>
      <c r="H243" s="1">
        <v>118959.28</v>
      </c>
      <c r="I243" s="1" t="s">
        <v>170</v>
      </c>
      <c r="J243" s="1">
        <v>-9839542960</v>
      </c>
      <c r="K243" s="1" t="s">
        <v>18</v>
      </c>
      <c r="L243" s="1" t="b">
        <v>1</v>
      </c>
    </row>
    <row r="244" spans="1:12" x14ac:dyDescent="0.3">
      <c r="A244" s="1" t="s">
        <v>510</v>
      </c>
      <c r="B244" s="1" t="s">
        <v>59</v>
      </c>
      <c r="C244" s="1" t="s">
        <v>20</v>
      </c>
      <c r="D244" s="1">
        <v>40</v>
      </c>
      <c r="E244" s="1" t="s">
        <v>268</v>
      </c>
      <c r="F244" s="1" t="s">
        <v>28</v>
      </c>
      <c r="G244" s="1" t="s">
        <v>511</v>
      </c>
      <c r="H244" s="1">
        <v>75823.78</v>
      </c>
      <c r="I244" s="1" t="s">
        <v>225</v>
      </c>
      <c r="J244" s="1">
        <v>-8446267145</v>
      </c>
      <c r="K244" s="1" t="s">
        <v>18</v>
      </c>
      <c r="L244" s="1" t="b">
        <v>0</v>
      </c>
    </row>
    <row r="245" spans="1:12" x14ac:dyDescent="0.3">
      <c r="A245" s="1" t="s">
        <v>512</v>
      </c>
      <c r="B245" s="1" t="s">
        <v>54</v>
      </c>
      <c r="C245" s="1" t="s">
        <v>122</v>
      </c>
      <c r="D245" s="1"/>
      <c r="E245" s="1" t="s">
        <v>159</v>
      </c>
      <c r="F245" s="1" t="s">
        <v>33</v>
      </c>
      <c r="G245" s="1" t="s">
        <v>513</v>
      </c>
      <c r="H245" s="1">
        <v>119971.65</v>
      </c>
      <c r="I245" s="1" t="s">
        <v>194</v>
      </c>
      <c r="J245" s="1">
        <v>-2831435988</v>
      </c>
      <c r="K245" s="1" t="s">
        <v>18</v>
      </c>
      <c r="L245" s="1" t="b">
        <v>0</v>
      </c>
    </row>
    <row r="246" spans="1:12" x14ac:dyDescent="0.3">
      <c r="A246" s="1" t="s">
        <v>514</v>
      </c>
      <c r="B246" s="1" t="s">
        <v>69</v>
      </c>
      <c r="C246" s="1" t="s">
        <v>14</v>
      </c>
      <c r="D246" s="1">
        <v>40</v>
      </c>
      <c r="E246" s="1" t="s">
        <v>44</v>
      </c>
      <c r="F246" s="1" t="s">
        <v>16</v>
      </c>
      <c r="G246" s="2">
        <v>44510</v>
      </c>
      <c r="H246" s="1">
        <v>94963.7</v>
      </c>
      <c r="I246" s="1" t="s">
        <v>235</v>
      </c>
      <c r="J246" s="1">
        <v>-2625660930</v>
      </c>
      <c r="K246" s="1" t="s">
        <v>30</v>
      </c>
      <c r="L246" s="1" t="b">
        <v>0</v>
      </c>
    </row>
    <row r="247" spans="1:12" x14ac:dyDescent="0.3">
      <c r="A247" s="1" t="s">
        <v>515</v>
      </c>
      <c r="B247" s="1" t="s">
        <v>37</v>
      </c>
      <c r="C247" s="1" t="s">
        <v>92</v>
      </c>
      <c r="D247" s="1">
        <v>30</v>
      </c>
      <c r="E247" s="1" t="s">
        <v>219</v>
      </c>
      <c r="F247" s="1" t="s">
        <v>28</v>
      </c>
      <c r="G247" s="2">
        <v>44378</v>
      </c>
      <c r="H247" s="1">
        <v>103744.71</v>
      </c>
      <c r="I247" s="1" t="s">
        <v>110</v>
      </c>
      <c r="J247" s="1">
        <v>-4181861514</v>
      </c>
      <c r="K247" s="1" t="s">
        <v>18</v>
      </c>
      <c r="L247" s="1" t="b">
        <v>0</v>
      </c>
    </row>
    <row r="248" spans="1:12" x14ac:dyDescent="0.3">
      <c r="A248" s="1" t="s">
        <v>516</v>
      </c>
      <c r="B248" s="1" t="s">
        <v>25</v>
      </c>
      <c r="C248" s="1" t="s">
        <v>122</v>
      </c>
      <c r="D248" s="1">
        <v>25</v>
      </c>
      <c r="E248" s="1" t="s">
        <v>109</v>
      </c>
      <c r="F248" s="1" t="s">
        <v>33</v>
      </c>
      <c r="G248" s="2">
        <v>43902</v>
      </c>
      <c r="H248" s="1">
        <v>61337.69</v>
      </c>
      <c r="I248" s="1" t="s">
        <v>182</v>
      </c>
      <c r="J248" s="1">
        <v>-5423401635</v>
      </c>
      <c r="K248" s="1" t="s">
        <v>18</v>
      </c>
      <c r="L248" s="1" t="b">
        <v>1</v>
      </c>
    </row>
    <row r="249" spans="1:12" x14ac:dyDescent="0.3">
      <c r="A249" s="1" t="s">
        <v>517</v>
      </c>
      <c r="B249" s="1" t="s">
        <v>59</v>
      </c>
      <c r="C249" s="1" t="s">
        <v>122</v>
      </c>
      <c r="D249" s="1">
        <v>35</v>
      </c>
      <c r="E249" s="1" t="s">
        <v>177</v>
      </c>
      <c r="F249" s="1" t="s">
        <v>16</v>
      </c>
      <c r="G249" s="1" t="s">
        <v>518</v>
      </c>
      <c r="H249" s="1">
        <v>63741.13</v>
      </c>
      <c r="I249" s="1" t="s">
        <v>340</v>
      </c>
      <c r="J249" s="1">
        <v>-1128497184</v>
      </c>
      <c r="K249" s="1" t="s">
        <v>41</v>
      </c>
      <c r="L249" s="1" t="b">
        <v>1</v>
      </c>
    </row>
    <row r="250" spans="1:12" x14ac:dyDescent="0.3">
      <c r="A250" s="1" t="s">
        <v>519</v>
      </c>
      <c r="B250" s="1" t="s">
        <v>32</v>
      </c>
      <c r="C250" s="1" t="s">
        <v>122</v>
      </c>
      <c r="D250" s="1">
        <v>30</v>
      </c>
      <c r="E250" s="1" t="s">
        <v>15</v>
      </c>
      <c r="F250" s="1" t="s">
        <v>28</v>
      </c>
      <c r="G250" s="1" t="s">
        <v>520</v>
      </c>
      <c r="H250" s="1">
        <v>56539.99</v>
      </c>
      <c r="I250" s="1" t="s">
        <v>521</v>
      </c>
      <c r="J250" s="1">
        <v>-9484910255</v>
      </c>
      <c r="K250" s="1" t="s">
        <v>23</v>
      </c>
      <c r="L250" s="1" t="b">
        <v>1</v>
      </c>
    </row>
    <row r="251" spans="1:12" x14ac:dyDescent="0.3">
      <c r="A251" s="1" t="s">
        <v>522</v>
      </c>
      <c r="B251" s="1" t="s">
        <v>54</v>
      </c>
      <c r="C251" s="1" t="s">
        <v>38</v>
      </c>
      <c r="D251" s="1">
        <v>30</v>
      </c>
      <c r="E251" s="1" t="s">
        <v>78</v>
      </c>
      <c r="F251" s="1" t="s">
        <v>28</v>
      </c>
      <c r="G251" s="1" t="s">
        <v>523</v>
      </c>
      <c r="H251" s="1">
        <v>73633.37</v>
      </c>
      <c r="I251" s="1" t="s">
        <v>90</v>
      </c>
      <c r="J251" s="1">
        <v>-2588967923</v>
      </c>
      <c r="K251" s="1" t="s">
        <v>30</v>
      </c>
      <c r="L251" s="1" t="b">
        <v>1</v>
      </c>
    </row>
    <row r="252" spans="1:12" x14ac:dyDescent="0.3">
      <c r="A252" s="1" t="s">
        <v>524</v>
      </c>
      <c r="B252" s="1" t="s">
        <v>25</v>
      </c>
      <c r="C252" s="1" t="s">
        <v>92</v>
      </c>
      <c r="D252" s="1">
        <v>25</v>
      </c>
      <c r="E252" s="1" t="s">
        <v>159</v>
      </c>
      <c r="F252" s="1" t="s">
        <v>28</v>
      </c>
      <c r="G252" s="1" t="s">
        <v>525</v>
      </c>
      <c r="H252" s="1">
        <v>90373.99</v>
      </c>
      <c r="I252" s="1" t="s">
        <v>166</v>
      </c>
      <c r="J252" s="1">
        <v>-822269404</v>
      </c>
      <c r="K252" s="1" t="s">
        <v>30</v>
      </c>
      <c r="L252" s="1" t="b">
        <v>0</v>
      </c>
    </row>
    <row r="253" spans="1:12" x14ac:dyDescent="0.3">
      <c r="A253" s="1" t="s">
        <v>526</v>
      </c>
      <c r="B253" s="1" t="s">
        <v>69</v>
      </c>
      <c r="C253" s="1" t="s">
        <v>122</v>
      </c>
      <c r="D253" s="1"/>
      <c r="E253" s="1" t="s">
        <v>237</v>
      </c>
      <c r="F253" s="1" t="s">
        <v>33</v>
      </c>
      <c r="G253" s="1" t="s">
        <v>527</v>
      </c>
      <c r="H253" s="1">
        <v>93901.48</v>
      </c>
      <c r="I253" s="1" t="s">
        <v>135</v>
      </c>
      <c r="J253" s="1">
        <v>-3967275783</v>
      </c>
      <c r="K253" s="1" t="s">
        <v>30</v>
      </c>
      <c r="L253" s="1" t="b">
        <v>0</v>
      </c>
    </row>
    <row r="254" spans="1:12" x14ac:dyDescent="0.3">
      <c r="A254" s="1" t="s">
        <v>528</v>
      </c>
      <c r="B254" s="1" t="s">
        <v>32</v>
      </c>
      <c r="C254" s="1" t="s">
        <v>20</v>
      </c>
      <c r="D254" s="1">
        <v>40</v>
      </c>
      <c r="E254" s="1" t="s">
        <v>27</v>
      </c>
      <c r="F254" s="1" t="s">
        <v>33</v>
      </c>
      <c r="G254" s="2">
        <v>44205</v>
      </c>
      <c r="H254" s="1">
        <v>81748.09</v>
      </c>
      <c r="I254" s="1" t="s">
        <v>155</v>
      </c>
      <c r="J254" s="1">
        <v>-4683414650</v>
      </c>
      <c r="K254" s="1" t="s">
        <v>18</v>
      </c>
      <c r="L254" s="1" t="b">
        <v>1</v>
      </c>
    </row>
    <row r="255" spans="1:12" x14ac:dyDescent="0.3">
      <c r="A255" s="1" t="s">
        <v>529</v>
      </c>
      <c r="B255" s="1" t="s">
        <v>54</v>
      </c>
      <c r="C255" s="1" t="s">
        <v>26</v>
      </c>
      <c r="D255" s="1">
        <v>40</v>
      </c>
      <c r="E255" s="1" t="s">
        <v>112</v>
      </c>
      <c r="F255" s="1" t="s">
        <v>33</v>
      </c>
      <c r="G255" s="1" t="s">
        <v>530</v>
      </c>
      <c r="H255" s="1">
        <v>73813.48</v>
      </c>
      <c r="I255" s="1" t="s">
        <v>120</v>
      </c>
      <c r="J255" s="1">
        <v>-1131290147</v>
      </c>
      <c r="K255" s="1" t="s">
        <v>18</v>
      </c>
      <c r="L255" s="1" t="b">
        <v>0</v>
      </c>
    </row>
    <row r="256" spans="1:12" x14ac:dyDescent="0.3">
      <c r="A256" s="1" t="s">
        <v>531</v>
      </c>
      <c r="B256" s="1" t="s">
        <v>37</v>
      </c>
      <c r="C256" s="1" t="s">
        <v>122</v>
      </c>
      <c r="D256" s="1">
        <v>35</v>
      </c>
      <c r="E256" s="1" t="s">
        <v>227</v>
      </c>
      <c r="F256" s="1" t="s">
        <v>33</v>
      </c>
      <c r="G256" s="1" t="s">
        <v>532</v>
      </c>
      <c r="H256" s="1">
        <v>89315.59</v>
      </c>
      <c r="I256" s="1" t="s">
        <v>137</v>
      </c>
      <c r="J256" s="1">
        <v>-7068277880</v>
      </c>
      <c r="K256" s="1" t="s">
        <v>18</v>
      </c>
      <c r="L256" s="1" t="b">
        <v>0</v>
      </c>
    </row>
    <row r="257" spans="1:12" x14ac:dyDescent="0.3">
      <c r="A257" s="1" t="s">
        <v>533</v>
      </c>
      <c r="B257" s="1" t="s">
        <v>65</v>
      </c>
      <c r="C257" s="1" t="s">
        <v>38</v>
      </c>
      <c r="D257" s="1">
        <v>25</v>
      </c>
      <c r="E257" s="1" t="s">
        <v>212</v>
      </c>
      <c r="F257" s="1" t="s">
        <v>16</v>
      </c>
      <c r="G257" s="1" t="s">
        <v>355</v>
      </c>
      <c r="H257" s="1">
        <v>56776.82</v>
      </c>
      <c r="I257" s="1" t="s">
        <v>67</v>
      </c>
      <c r="J257" s="1">
        <v>-6093068537</v>
      </c>
      <c r="K257" s="1" t="s">
        <v>41</v>
      </c>
      <c r="L257" s="1" t="b">
        <v>0</v>
      </c>
    </row>
    <row r="258" spans="1:12" x14ac:dyDescent="0.3">
      <c r="A258" s="1" t="s">
        <v>534</v>
      </c>
      <c r="B258" s="1" t="s">
        <v>69</v>
      </c>
      <c r="C258" s="1" t="s">
        <v>14</v>
      </c>
      <c r="D258" s="1"/>
      <c r="E258" s="1" t="s">
        <v>227</v>
      </c>
      <c r="F258" s="1" t="s">
        <v>16</v>
      </c>
      <c r="G258" s="1" t="s">
        <v>535</v>
      </c>
      <c r="H258" s="1">
        <v>72920.509999999995</v>
      </c>
      <c r="I258" s="1" t="s">
        <v>235</v>
      </c>
      <c r="J258" s="1">
        <v>-9097283214</v>
      </c>
      <c r="K258" s="1" t="s">
        <v>23</v>
      </c>
      <c r="L258" s="1" t="b">
        <v>1</v>
      </c>
    </row>
    <row r="259" spans="1:12" x14ac:dyDescent="0.3">
      <c r="A259" s="1" t="s">
        <v>536</v>
      </c>
      <c r="B259" s="1" t="s">
        <v>37</v>
      </c>
      <c r="C259" s="1" t="s">
        <v>92</v>
      </c>
      <c r="D259" s="1">
        <v>30</v>
      </c>
      <c r="E259" s="1" t="s">
        <v>205</v>
      </c>
      <c r="F259" s="1" t="s">
        <v>28</v>
      </c>
      <c r="G259" s="1" t="s">
        <v>537</v>
      </c>
      <c r="H259" s="1">
        <v>84913.18</v>
      </c>
      <c r="I259" s="1" t="s">
        <v>110</v>
      </c>
      <c r="J259" s="1">
        <v>-2850676250</v>
      </c>
      <c r="K259" s="1" t="s">
        <v>18</v>
      </c>
      <c r="L259" s="1" t="b">
        <v>1</v>
      </c>
    </row>
    <row r="260" spans="1:12" x14ac:dyDescent="0.3">
      <c r="A260" s="1" t="s">
        <v>538</v>
      </c>
      <c r="B260" s="1" t="s">
        <v>25</v>
      </c>
      <c r="C260" s="1" t="s">
        <v>43</v>
      </c>
      <c r="D260" s="1">
        <v>25</v>
      </c>
      <c r="E260" s="1" t="s">
        <v>265</v>
      </c>
      <c r="F260" s="1" t="s">
        <v>33</v>
      </c>
      <c r="G260" s="2">
        <v>44413</v>
      </c>
      <c r="H260" s="1">
        <v>65060.11</v>
      </c>
      <c r="I260" s="1" t="s">
        <v>45</v>
      </c>
      <c r="J260" s="1">
        <v>-5381447442</v>
      </c>
      <c r="K260" s="1" t="s">
        <v>23</v>
      </c>
      <c r="L260" s="1" t="b">
        <v>1</v>
      </c>
    </row>
    <row r="261" spans="1:12" x14ac:dyDescent="0.3">
      <c r="A261" s="1" t="s">
        <v>539</v>
      </c>
      <c r="B261" s="1" t="s">
        <v>25</v>
      </c>
      <c r="C261" s="1" t="s">
        <v>38</v>
      </c>
      <c r="D261" s="1">
        <v>35</v>
      </c>
      <c r="E261" s="1" t="s">
        <v>265</v>
      </c>
      <c r="F261" s="1" t="s">
        <v>28</v>
      </c>
      <c r="G261" s="2">
        <v>45179</v>
      </c>
      <c r="H261" s="1">
        <v>82941.08</v>
      </c>
      <c r="I261" s="1" t="s">
        <v>362</v>
      </c>
      <c r="J261" s="1">
        <v>-963480796</v>
      </c>
      <c r="K261" s="1" t="s">
        <v>41</v>
      </c>
      <c r="L261" s="1" t="b">
        <v>0</v>
      </c>
    </row>
    <row r="262" spans="1:12" x14ac:dyDescent="0.3">
      <c r="A262" s="1" t="s">
        <v>540</v>
      </c>
      <c r="B262" s="1" t="s">
        <v>13</v>
      </c>
      <c r="C262" s="1" t="s">
        <v>122</v>
      </c>
      <c r="D262" s="1">
        <v>40</v>
      </c>
      <c r="E262" s="1" t="s">
        <v>118</v>
      </c>
      <c r="F262" s="1" t="s">
        <v>28</v>
      </c>
      <c r="G262" s="1" t="s">
        <v>541</v>
      </c>
      <c r="H262" s="1">
        <v>103469.97</v>
      </c>
      <c r="I262" s="1" t="s">
        <v>123</v>
      </c>
      <c r="J262" s="1">
        <v>-509754509</v>
      </c>
      <c r="K262" s="1" t="s">
        <v>30</v>
      </c>
      <c r="L262" s="1" t="b">
        <v>1</v>
      </c>
    </row>
    <row r="263" spans="1:12" x14ac:dyDescent="0.3">
      <c r="A263" s="1" t="s">
        <v>542</v>
      </c>
      <c r="B263" s="1" t="s">
        <v>69</v>
      </c>
      <c r="C263" s="1" t="s">
        <v>92</v>
      </c>
      <c r="D263" s="1">
        <v>25</v>
      </c>
      <c r="E263" s="1" t="s">
        <v>98</v>
      </c>
      <c r="F263" s="1" t="s">
        <v>16</v>
      </c>
      <c r="G263" s="2">
        <v>44896</v>
      </c>
      <c r="H263" s="1">
        <v>88725.6</v>
      </c>
      <c r="I263" s="1" t="s">
        <v>168</v>
      </c>
      <c r="J263" s="1">
        <v>-5265016730</v>
      </c>
      <c r="K263" s="1" t="s">
        <v>18</v>
      </c>
      <c r="L263" s="1" t="b">
        <v>1</v>
      </c>
    </row>
    <row r="264" spans="1:12" x14ac:dyDescent="0.3">
      <c r="A264" s="1" t="s">
        <v>543</v>
      </c>
      <c r="B264" s="1" t="s">
        <v>65</v>
      </c>
      <c r="C264" s="1" t="s">
        <v>26</v>
      </c>
      <c r="D264" s="1"/>
      <c r="E264" s="1" t="s">
        <v>192</v>
      </c>
      <c r="F264" s="1" t="s">
        <v>28</v>
      </c>
      <c r="G264" s="2">
        <v>45052</v>
      </c>
      <c r="H264" s="1">
        <v>58316.77</v>
      </c>
      <c r="I264" s="1" t="s">
        <v>319</v>
      </c>
      <c r="J264" s="1">
        <v>-8826170242</v>
      </c>
      <c r="K264" s="1" t="s">
        <v>23</v>
      </c>
      <c r="L264" s="1" t="b">
        <v>1</v>
      </c>
    </row>
    <row r="265" spans="1:12" x14ac:dyDescent="0.3">
      <c r="A265" s="1" t="s">
        <v>544</v>
      </c>
      <c r="B265" s="1" t="s">
        <v>69</v>
      </c>
      <c r="C265" s="1" t="s">
        <v>122</v>
      </c>
      <c r="D265" s="1">
        <v>35</v>
      </c>
      <c r="E265" s="1" t="s">
        <v>192</v>
      </c>
      <c r="F265" s="1" t="s">
        <v>33</v>
      </c>
      <c r="G265" s="1" t="s">
        <v>545</v>
      </c>
      <c r="H265" s="1">
        <v>60098.720000000001</v>
      </c>
      <c r="I265" s="1" t="s">
        <v>135</v>
      </c>
      <c r="J265" s="1">
        <v>-7654562840</v>
      </c>
      <c r="K265" s="1" t="s">
        <v>23</v>
      </c>
      <c r="L265" s="1" t="b">
        <v>1</v>
      </c>
    </row>
    <row r="266" spans="1:12" x14ac:dyDescent="0.3">
      <c r="A266" s="1" t="s">
        <v>546</v>
      </c>
      <c r="B266" s="1" t="s">
        <v>69</v>
      </c>
      <c r="C266" s="1" t="s">
        <v>38</v>
      </c>
      <c r="D266" s="1"/>
      <c r="E266" s="1" t="s">
        <v>159</v>
      </c>
      <c r="F266" s="1" t="s">
        <v>16</v>
      </c>
      <c r="G266" s="2">
        <v>44022</v>
      </c>
      <c r="H266" s="1">
        <v>99951.43</v>
      </c>
      <c r="I266" s="1" t="s">
        <v>71</v>
      </c>
      <c r="J266" s="1">
        <v>-7722560530</v>
      </c>
      <c r="K266" s="1" t="s">
        <v>18</v>
      </c>
      <c r="L266" s="1" t="b">
        <v>1</v>
      </c>
    </row>
    <row r="267" spans="1:12" x14ac:dyDescent="0.3">
      <c r="A267" s="1" t="s">
        <v>547</v>
      </c>
      <c r="B267" s="1" t="s">
        <v>65</v>
      </c>
      <c r="C267" s="1" t="s">
        <v>55</v>
      </c>
      <c r="D267" s="1">
        <v>30</v>
      </c>
      <c r="E267" s="1" t="s">
        <v>98</v>
      </c>
      <c r="F267" s="1" t="s">
        <v>16</v>
      </c>
      <c r="G267" s="2">
        <v>44238</v>
      </c>
      <c r="H267" s="1">
        <v>115195.81</v>
      </c>
      <c r="I267" s="1" t="s">
        <v>113</v>
      </c>
      <c r="J267" s="1">
        <v>-3402665022</v>
      </c>
      <c r="K267" s="1" t="s">
        <v>30</v>
      </c>
      <c r="L267" s="1" t="b">
        <v>1</v>
      </c>
    </row>
    <row r="268" spans="1:12" x14ac:dyDescent="0.3">
      <c r="A268" s="1" t="s">
        <v>548</v>
      </c>
      <c r="B268" s="1" t="s">
        <v>69</v>
      </c>
      <c r="C268" s="1" t="s">
        <v>20</v>
      </c>
      <c r="D268" s="1"/>
      <c r="E268" s="1" t="s">
        <v>15</v>
      </c>
      <c r="F268" s="1" t="s">
        <v>28</v>
      </c>
      <c r="G268" s="1" t="s">
        <v>549</v>
      </c>
      <c r="H268" s="1">
        <v>85512.05</v>
      </c>
      <c r="I268" s="1" t="s">
        <v>201</v>
      </c>
      <c r="J268" s="1">
        <v>-7416787255</v>
      </c>
      <c r="K268" s="1" t="s">
        <v>30</v>
      </c>
      <c r="L268" s="1" t="b">
        <v>0</v>
      </c>
    </row>
    <row r="269" spans="1:12" x14ac:dyDescent="0.3">
      <c r="A269" s="1" t="s">
        <v>550</v>
      </c>
      <c r="B269" s="1" t="s">
        <v>65</v>
      </c>
      <c r="C269" s="1" t="s">
        <v>43</v>
      </c>
      <c r="D269" s="1"/>
      <c r="E269" s="1" t="s">
        <v>212</v>
      </c>
      <c r="F269" s="1" t="s">
        <v>16</v>
      </c>
      <c r="G269" s="1" t="s">
        <v>551</v>
      </c>
      <c r="H269" s="1">
        <v>73186.77</v>
      </c>
      <c r="I269" s="1" t="s">
        <v>257</v>
      </c>
      <c r="J269" s="1">
        <v>-8621102257</v>
      </c>
      <c r="K269" s="1" t="s">
        <v>30</v>
      </c>
      <c r="L269" s="1" t="b">
        <v>0</v>
      </c>
    </row>
    <row r="270" spans="1:12" x14ac:dyDescent="0.3">
      <c r="A270" s="1" t="s">
        <v>552</v>
      </c>
      <c r="B270" s="1" t="s">
        <v>69</v>
      </c>
      <c r="C270" s="1" t="s">
        <v>14</v>
      </c>
      <c r="D270" s="1"/>
      <c r="E270" s="1" t="s">
        <v>149</v>
      </c>
      <c r="F270" s="1" t="s">
        <v>28</v>
      </c>
      <c r="G270" s="2">
        <v>45267</v>
      </c>
      <c r="H270" s="1">
        <v>51865.3</v>
      </c>
      <c r="I270" s="1" t="s">
        <v>235</v>
      </c>
      <c r="J270" s="1">
        <v>-305690673</v>
      </c>
      <c r="K270" s="1" t="s">
        <v>41</v>
      </c>
      <c r="L270" s="1" t="b">
        <v>1</v>
      </c>
    </row>
    <row r="271" spans="1:12" x14ac:dyDescent="0.3">
      <c r="A271" s="1" t="s">
        <v>553</v>
      </c>
      <c r="B271" s="1" t="s">
        <v>59</v>
      </c>
      <c r="C271" s="1" t="s">
        <v>38</v>
      </c>
      <c r="D271" s="1">
        <v>25</v>
      </c>
      <c r="E271" s="1" t="s">
        <v>74</v>
      </c>
      <c r="F271" s="1" t="s">
        <v>16</v>
      </c>
      <c r="G271" s="2">
        <v>44816</v>
      </c>
      <c r="H271" s="1">
        <v>94031.77</v>
      </c>
      <c r="I271" s="1" t="s">
        <v>61</v>
      </c>
      <c r="J271" s="1">
        <v>-4716392822</v>
      </c>
      <c r="K271" s="1" t="s">
        <v>23</v>
      </c>
      <c r="L271" s="1" t="b">
        <v>1</v>
      </c>
    </row>
    <row r="272" spans="1:12" x14ac:dyDescent="0.3">
      <c r="A272" s="1" t="s">
        <v>554</v>
      </c>
      <c r="B272" s="1" t="s">
        <v>69</v>
      </c>
      <c r="C272" s="1" t="s">
        <v>92</v>
      </c>
      <c r="D272" s="1">
        <v>30</v>
      </c>
      <c r="E272" s="1" t="s">
        <v>56</v>
      </c>
      <c r="F272" s="1" t="s">
        <v>16</v>
      </c>
      <c r="G272" s="1" t="s">
        <v>511</v>
      </c>
      <c r="H272" s="1">
        <v>116374.36</v>
      </c>
      <c r="I272" s="1" t="s">
        <v>168</v>
      </c>
      <c r="J272" s="1">
        <v>-4143637188</v>
      </c>
      <c r="K272" s="1" t="s">
        <v>23</v>
      </c>
      <c r="L272" s="1" t="b">
        <v>0</v>
      </c>
    </row>
    <row r="273" spans="1:12" x14ac:dyDescent="0.3">
      <c r="A273" s="1" t="s">
        <v>555</v>
      </c>
      <c r="B273" s="1" t="s">
        <v>25</v>
      </c>
      <c r="C273" s="1" t="s">
        <v>43</v>
      </c>
      <c r="D273" s="1">
        <v>40</v>
      </c>
      <c r="E273" s="1" t="s">
        <v>212</v>
      </c>
      <c r="F273" s="1" t="s">
        <v>16</v>
      </c>
      <c r="G273" s="1" t="s">
        <v>556</v>
      </c>
      <c r="H273" s="1">
        <v>98335.02</v>
      </c>
      <c r="I273" s="1" t="s">
        <v>45</v>
      </c>
      <c r="J273" s="1">
        <v>-2392312603</v>
      </c>
      <c r="K273" s="1" t="s">
        <v>23</v>
      </c>
      <c r="L273" s="1" t="b">
        <v>0</v>
      </c>
    </row>
    <row r="274" spans="1:12" x14ac:dyDescent="0.3">
      <c r="A274" s="1" t="s">
        <v>557</v>
      </c>
      <c r="B274" s="1" t="s">
        <v>65</v>
      </c>
      <c r="C274" s="1" t="s">
        <v>43</v>
      </c>
      <c r="D274" s="1">
        <v>25</v>
      </c>
      <c r="E274" s="1" t="s">
        <v>56</v>
      </c>
      <c r="F274" s="1" t="s">
        <v>28</v>
      </c>
      <c r="G274" s="1" t="s">
        <v>558</v>
      </c>
      <c r="H274" s="1">
        <v>89262.07</v>
      </c>
      <c r="I274" s="1" t="s">
        <v>257</v>
      </c>
      <c r="J274" s="1">
        <v>-3260931065</v>
      </c>
      <c r="K274" s="1" t="s">
        <v>41</v>
      </c>
      <c r="L274" s="1" t="b">
        <v>1</v>
      </c>
    </row>
    <row r="275" spans="1:12" x14ac:dyDescent="0.3">
      <c r="A275" s="1" t="s">
        <v>559</v>
      </c>
      <c r="B275" s="1" t="s">
        <v>65</v>
      </c>
      <c r="C275" s="1" t="s">
        <v>43</v>
      </c>
      <c r="D275" s="1"/>
      <c r="E275" s="1" t="s">
        <v>70</v>
      </c>
      <c r="F275" s="1" t="s">
        <v>16</v>
      </c>
      <c r="G275" s="1" t="s">
        <v>560</v>
      </c>
      <c r="H275" s="1">
        <v>113848.69</v>
      </c>
      <c r="I275" s="1" t="s">
        <v>257</v>
      </c>
      <c r="J275" s="1">
        <v>-8433567085</v>
      </c>
      <c r="K275" s="1" t="s">
        <v>23</v>
      </c>
      <c r="L275" s="1" t="b">
        <v>1</v>
      </c>
    </row>
    <row r="276" spans="1:12" x14ac:dyDescent="0.3">
      <c r="A276" s="1" t="s">
        <v>561</v>
      </c>
      <c r="B276" s="1" t="s">
        <v>37</v>
      </c>
      <c r="C276" s="1" t="s">
        <v>122</v>
      </c>
      <c r="D276" s="1">
        <v>35</v>
      </c>
      <c r="E276" s="1" t="s">
        <v>74</v>
      </c>
      <c r="F276" s="1" t="s">
        <v>16</v>
      </c>
      <c r="G276" s="1" t="s">
        <v>562</v>
      </c>
      <c r="H276" s="1">
        <v>69530.45</v>
      </c>
      <c r="I276" s="1" t="s">
        <v>137</v>
      </c>
      <c r="J276" s="1">
        <v>-414545634</v>
      </c>
      <c r="K276" s="1" t="s">
        <v>41</v>
      </c>
      <c r="L276" s="1" t="b">
        <v>1</v>
      </c>
    </row>
    <row r="277" spans="1:12" x14ac:dyDescent="0.3">
      <c r="A277" s="1" t="s">
        <v>563</v>
      </c>
      <c r="B277" s="1" t="s">
        <v>32</v>
      </c>
      <c r="C277" s="1" t="s">
        <v>20</v>
      </c>
      <c r="D277" s="1">
        <v>35</v>
      </c>
      <c r="E277" s="1" t="s">
        <v>56</v>
      </c>
      <c r="F277" s="1" t="s">
        <v>28</v>
      </c>
      <c r="G277" s="1" t="s">
        <v>564</v>
      </c>
      <c r="H277" s="1">
        <v>84230.22</v>
      </c>
      <c r="I277" s="1" t="s">
        <v>155</v>
      </c>
      <c r="J277" s="1">
        <v>-200053473</v>
      </c>
      <c r="K277" s="1" t="s">
        <v>30</v>
      </c>
      <c r="L277" s="1" t="b">
        <v>1</v>
      </c>
    </row>
    <row r="278" spans="1:12" x14ac:dyDescent="0.3">
      <c r="A278" s="1" t="s">
        <v>565</v>
      </c>
      <c r="B278" s="1" t="s">
        <v>32</v>
      </c>
      <c r="C278" s="1" t="s">
        <v>122</v>
      </c>
      <c r="D278" s="1">
        <v>35</v>
      </c>
      <c r="E278" s="1" t="s">
        <v>95</v>
      </c>
      <c r="F278" s="1" t="s">
        <v>28</v>
      </c>
      <c r="G278" s="1" t="s">
        <v>566</v>
      </c>
      <c r="H278" s="1">
        <v>76578.59</v>
      </c>
      <c r="I278" s="1" t="s">
        <v>521</v>
      </c>
      <c r="J278" s="1">
        <v>-9162475540</v>
      </c>
      <c r="K278" s="1" t="s">
        <v>18</v>
      </c>
      <c r="L278" s="1" t="b">
        <v>0</v>
      </c>
    </row>
    <row r="279" spans="1:12" x14ac:dyDescent="0.3">
      <c r="A279" s="1" t="s">
        <v>567</v>
      </c>
      <c r="B279" s="1" t="s">
        <v>37</v>
      </c>
      <c r="C279" s="1" t="s">
        <v>92</v>
      </c>
      <c r="D279" s="1">
        <v>30</v>
      </c>
      <c r="E279" s="1" t="s">
        <v>139</v>
      </c>
      <c r="F279" s="1" t="s">
        <v>33</v>
      </c>
      <c r="G279" s="2">
        <v>45323</v>
      </c>
      <c r="H279" s="1">
        <v>55532.06</v>
      </c>
      <c r="I279" s="1" t="s">
        <v>110</v>
      </c>
      <c r="J279" s="1">
        <v>-1082555988</v>
      </c>
      <c r="K279" s="1" t="s">
        <v>23</v>
      </c>
      <c r="L279" s="1" t="b">
        <v>1</v>
      </c>
    </row>
    <row r="280" spans="1:12" x14ac:dyDescent="0.3">
      <c r="A280" s="1" t="s">
        <v>568</v>
      </c>
      <c r="B280" s="1" t="s">
        <v>32</v>
      </c>
      <c r="C280" s="1" t="s">
        <v>122</v>
      </c>
      <c r="D280" s="1">
        <v>40</v>
      </c>
      <c r="E280" s="1" t="s">
        <v>196</v>
      </c>
      <c r="F280" s="1" t="s">
        <v>28</v>
      </c>
      <c r="G280" s="2">
        <v>44446</v>
      </c>
      <c r="H280" s="1">
        <v>115311.67999999999</v>
      </c>
      <c r="I280" s="1" t="s">
        <v>521</v>
      </c>
      <c r="J280" s="1">
        <v>-5343961128</v>
      </c>
      <c r="K280" s="1" t="s">
        <v>23</v>
      </c>
      <c r="L280" s="1" t="b">
        <v>1</v>
      </c>
    </row>
    <row r="281" spans="1:12" x14ac:dyDescent="0.3">
      <c r="A281" s="1" t="s">
        <v>569</v>
      </c>
      <c r="B281" s="1" t="s">
        <v>54</v>
      </c>
      <c r="C281" s="1" t="s">
        <v>55</v>
      </c>
      <c r="D281" s="1">
        <v>25</v>
      </c>
      <c r="E281" s="1" t="s">
        <v>219</v>
      </c>
      <c r="F281" s="1" t="s">
        <v>28</v>
      </c>
      <c r="G281" s="2">
        <v>44321</v>
      </c>
      <c r="H281" s="1">
        <v>66972.06</v>
      </c>
      <c r="I281" s="1" t="s">
        <v>57</v>
      </c>
      <c r="J281" s="1">
        <v>-1093371188</v>
      </c>
      <c r="K281" s="1" t="s">
        <v>30</v>
      </c>
      <c r="L281" s="1" t="b">
        <v>1</v>
      </c>
    </row>
    <row r="282" spans="1:12" x14ac:dyDescent="0.3">
      <c r="A282" s="1" t="s">
        <v>570</v>
      </c>
      <c r="B282" s="1" t="s">
        <v>59</v>
      </c>
      <c r="C282" s="1" t="s">
        <v>20</v>
      </c>
      <c r="D282" s="1">
        <v>30</v>
      </c>
      <c r="E282" s="1" t="s">
        <v>159</v>
      </c>
      <c r="F282" s="1" t="s">
        <v>33</v>
      </c>
      <c r="G282" s="2">
        <v>44388</v>
      </c>
      <c r="H282" s="1">
        <v>100215.06</v>
      </c>
      <c r="I282" s="1" t="s">
        <v>225</v>
      </c>
      <c r="J282" s="1">
        <v>-5473820235</v>
      </c>
      <c r="K282" s="1" t="s">
        <v>18</v>
      </c>
      <c r="L282" s="1" t="b">
        <v>1</v>
      </c>
    </row>
    <row r="283" spans="1:12" x14ac:dyDescent="0.3">
      <c r="A283" s="1" t="s">
        <v>571</v>
      </c>
      <c r="B283" s="1" t="s">
        <v>54</v>
      </c>
      <c r="C283" s="1" t="s">
        <v>20</v>
      </c>
      <c r="D283" s="1">
        <v>25</v>
      </c>
      <c r="E283" s="1" t="s">
        <v>109</v>
      </c>
      <c r="F283" s="1" t="s">
        <v>33</v>
      </c>
      <c r="G283" s="1" t="s">
        <v>572</v>
      </c>
      <c r="H283" s="1">
        <v>115452.25</v>
      </c>
      <c r="I283" s="1" t="s">
        <v>125</v>
      </c>
      <c r="J283" s="1">
        <v>-8485571616</v>
      </c>
      <c r="K283" s="1" t="s">
        <v>41</v>
      </c>
      <c r="L283" s="1" t="b">
        <v>0</v>
      </c>
    </row>
    <row r="284" spans="1:12" x14ac:dyDescent="0.3">
      <c r="A284" s="1" t="s">
        <v>573</v>
      </c>
      <c r="B284" s="1" t="s">
        <v>65</v>
      </c>
      <c r="C284" s="1" t="s">
        <v>92</v>
      </c>
      <c r="D284" s="1">
        <v>30</v>
      </c>
      <c r="E284" s="1" t="s">
        <v>146</v>
      </c>
      <c r="F284" s="1" t="s">
        <v>33</v>
      </c>
      <c r="G284" s="1" t="s">
        <v>574</v>
      </c>
      <c r="H284" s="1">
        <v>54141.38</v>
      </c>
      <c r="I284" s="1" t="s">
        <v>130</v>
      </c>
      <c r="J284" s="1">
        <v>-6880294239</v>
      </c>
      <c r="K284" s="1" t="s">
        <v>18</v>
      </c>
      <c r="L284" s="1" t="b">
        <v>0</v>
      </c>
    </row>
    <row r="285" spans="1:12" x14ac:dyDescent="0.3">
      <c r="A285" s="1" t="s">
        <v>575</v>
      </c>
      <c r="B285" s="1" t="s">
        <v>59</v>
      </c>
      <c r="C285" s="1" t="s">
        <v>14</v>
      </c>
      <c r="D285" s="1"/>
      <c r="E285" s="1" t="s">
        <v>328</v>
      </c>
      <c r="F285" s="1" t="s">
        <v>16</v>
      </c>
      <c r="G285" s="1" t="s">
        <v>576</v>
      </c>
      <c r="H285" s="1">
        <v>79251.95</v>
      </c>
      <c r="I285" s="1" t="s">
        <v>63</v>
      </c>
      <c r="J285" s="1">
        <v>-9036788126</v>
      </c>
      <c r="K285" s="1" t="s">
        <v>30</v>
      </c>
      <c r="L285" s="1" t="b">
        <v>0</v>
      </c>
    </row>
    <row r="286" spans="1:12" x14ac:dyDescent="0.3">
      <c r="A286" s="1" t="s">
        <v>577</v>
      </c>
      <c r="B286" s="1" t="s">
        <v>25</v>
      </c>
      <c r="C286" s="1" t="s">
        <v>55</v>
      </c>
      <c r="D286" s="1">
        <v>40</v>
      </c>
      <c r="E286" s="1" t="s">
        <v>227</v>
      </c>
      <c r="F286" s="1" t="s">
        <v>28</v>
      </c>
      <c r="G286" s="1" t="s">
        <v>578</v>
      </c>
      <c r="H286" s="1">
        <v>114822.78</v>
      </c>
      <c r="I286" s="1" t="s">
        <v>150</v>
      </c>
      <c r="J286" s="1">
        <v>-8686694319</v>
      </c>
      <c r="K286" s="1" t="s">
        <v>30</v>
      </c>
      <c r="L286" s="1" t="b">
        <v>1</v>
      </c>
    </row>
    <row r="287" spans="1:12" x14ac:dyDescent="0.3">
      <c r="A287" s="1" t="s">
        <v>579</v>
      </c>
      <c r="B287" s="1" t="s">
        <v>25</v>
      </c>
      <c r="C287" s="1" t="s">
        <v>38</v>
      </c>
      <c r="D287" s="1">
        <v>35</v>
      </c>
      <c r="E287" s="1" t="s">
        <v>98</v>
      </c>
      <c r="F287" s="1" t="s">
        <v>16</v>
      </c>
      <c r="G287" s="1" t="s">
        <v>580</v>
      </c>
      <c r="H287" s="1">
        <v>69919.320000000007</v>
      </c>
      <c r="I287" s="1" t="s">
        <v>362</v>
      </c>
      <c r="J287" s="1">
        <v>-2939087883</v>
      </c>
      <c r="K287" s="1" t="s">
        <v>18</v>
      </c>
      <c r="L287" s="1" t="b">
        <v>1</v>
      </c>
    </row>
    <row r="288" spans="1:12" x14ac:dyDescent="0.3">
      <c r="A288" s="1" t="s">
        <v>581</v>
      </c>
      <c r="B288" s="1" t="s">
        <v>65</v>
      </c>
      <c r="C288" s="1" t="s">
        <v>122</v>
      </c>
      <c r="D288" s="1">
        <v>30</v>
      </c>
      <c r="E288" s="1" t="s">
        <v>74</v>
      </c>
      <c r="F288" s="1" t="s">
        <v>33</v>
      </c>
      <c r="G288" s="1" t="s">
        <v>582</v>
      </c>
      <c r="H288" s="1">
        <v>106616.97</v>
      </c>
      <c r="I288" s="1" t="s">
        <v>366</v>
      </c>
      <c r="J288" s="1">
        <v>-4344812307</v>
      </c>
      <c r="K288" s="1" t="s">
        <v>41</v>
      </c>
      <c r="L288" s="1" t="b">
        <v>0</v>
      </c>
    </row>
    <row r="289" spans="1:12" x14ac:dyDescent="0.3">
      <c r="A289" s="1" t="s">
        <v>583</v>
      </c>
      <c r="B289" s="1" t="s">
        <v>65</v>
      </c>
      <c r="C289" s="1" t="s">
        <v>26</v>
      </c>
      <c r="D289" s="1">
        <v>35</v>
      </c>
      <c r="E289" s="1" t="s">
        <v>56</v>
      </c>
      <c r="F289" s="1" t="s">
        <v>16</v>
      </c>
      <c r="G289" s="1" t="s">
        <v>584</v>
      </c>
      <c r="H289" s="1">
        <v>73597.850000000006</v>
      </c>
      <c r="I289" s="1" t="s">
        <v>319</v>
      </c>
      <c r="J289" s="1">
        <v>-3402424032</v>
      </c>
      <c r="K289" s="1" t="s">
        <v>41</v>
      </c>
      <c r="L289" s="1" t="b">
        <v>1</v>
      </c>
    </row>
    <row r="290" spans="1:12" x14ac:dyDescent="0.3">
      <c r="A290" s="1" t="s">
        <v>585</v>
      </c>
      <c r="B290" s="1" t="s">
        <v>59</v>
      </c>
      <c r="C290" s="1" t="s">
        <v>122</v>
      </c>
      <c r="D290" s="1">
        <v>30</v>
      </c>
      <c r="E290" s="1" t="s">
        <v>219</v>
      </c>
      <c r="F290" s="1" t="s">
        <v>33</v>
      </c>
      <c r="G290" s="1" t="s">
        <v>586</v>
      </c>
      <c r="H290" s="1">
        <v>79939.23</v>
      </c>
      <c r="I290" s="1" t="s">
        <v>340</v>
      </c>
      <c r="J290" s="1">
        <v>-8105955183</v>
      </c>
      <c r="K290" s="1" t="s">
        <v>23</v>
      </c>
      <c r="L290" s="1" t="b">
        <v>1</v>
      </c>
    </row>
    <row r="291" spans="1:12" x14ac:dyDescent="0.3">
      <c r="A291" s="1" t="s">
        <v>587</v>
      </c>
      <c r="B291" s="1" t="s">
        <v>69</v>
      </c>
      <c r="C291" s="1" t="s">
        <v>43</v>
      </c>
      <c r="D291" s="1">
        <v>25</v>
      </c>
      <c r="E291" s="1" t="s">
        <v>196</v>
      </c>
      <c r="F291" s="1" t="s">
        <v>33</v>
      </c>
      <c r="G291" s="1" t="s">
        <v>588</v>
      </c>
      <c r="H291" s="1"/>
      <c r="I291" s="1" t="s">
        <v>83</v>
      </c>
      <c r="J291" s="1">
        <v>-2694500533</v>
      </c>
      <c r="K291" s="1" t="s">
        <v>41</v>
      </c>
      <c r="L291" s="1" t="b">
        <v>0</v>
      </c>
    </row>
    <row r="292" spans="1:12" x14ac:dyDescent="0.3">
      <c r="A292" s="1" t="s">
        <v>589</v>
      </c>
      <c r="B292" s="1" t="s">
        <v>69</v>
      </c>
      <c r="C292" s="1" t="s">
        <v>122</v>
      </c>
      <c r="D292" s="1">
        <v>30</v>
      </c>
      <c r="E292" s="1" t="s">
        <v>70</v>
      </c>
      <c r="F292" s="1" t="s">
        <v>33</v>
      </c>
      <c r="G292" s="2">
        <v>44478</v>
      </c>
      <c r="H292" s="1">
        <v>90772.25</v>
      </c>
      <c r="I292" s="1" t="s">
        <v>135</v>
      </c>
      <c r="J292" s="1">
        <v>-2408916497</v>
      </c>
      <c r="K292" s="1" t="s">
        <v>18</v>
      </c>
      <c r="L292" s="1" t="b">
        <v>0</v>
      </c>
    </row>
    <row r="293" spans="1:12" x14ac:dyDescent="0.3">
      <c r="A293" s="1" t="s">
        <v>590</v>
      </c>
      <c r="B293" s="1" t="s">
        <v>32</v>
      </c>
      <c r="C293" s="1" t="s">
        <v>38</v>
      </c>
      <c r="D293" s="1">
        <v>35</v>
      </c>
      <c r="E293" s="1" t="s">
        <v>56</v>
      </c>
      <c r="F293" s="1" t="s">
        <v>16</v>
      </c>
      <c r="G293" s="1" t="s">
        <v>591</v>
      </c>
      <c r="H293" s="1">
        <v>58275.74</v>
      </c>
      <c r="I293" s="1" t="s">
        <v>141</v>
      </c>
      <c r="J293" s="1">
        <v>-3735439626</v>
      </c>
      <c r="K293" s="1" t="s">
        <v>30</v>
      </c>
      <c r="L293" s="1" t="b">
        <v>0</v>
      </c>
    </row>
    <row r="294" spans="1:12" x14ac:dyDescent="0.3">
      <c r="A294" s="1" t="s">
        <v>592</v>
      </c>
      <c r="B294" s="1" t="s">
        <v>69</v>
      </c>
      <c r="C294" s="1" t="s">
        <v>122</v>
      </c>
      <c r="D294" s="1"/>
      <c r="E294" s="1" t="s">
        <v>15</v>
      </c>
      <c r="F294" s="1" t="s">
        <v>28</v>
      </c>
      <c r="G294" s="1" t="s">
        <v>316</v>
      </c>
      <c r="H294" s="1">
        <v>94709.79</v>
      </c>
      <c r="I294" s="1" t="s">
        <v>135</v>
      </c>
      <c r="J294" s="1">
        <v>-3652717271</v>
      </c>
      <c r="K294" s="1" t="s">
        <v>23</v>
      </c>
      <c r="L294" s="1" t="b">
        <v>0</v>
      </c>
    </row>
    <row r="295" spans="1:12" x14ac:dyDescent="0.3">
      <c r="A295" s="1" t="s">
        <v>593</v>
      </c>
      <c r="B295" s="1" t="s">
        <v>37</v>
      </c>
      <c r="C295" s="1" t="s">
        <v>55</v>
      </c>
      <c r="D295" s="1"/>
      <c r="E295" s="1" t="s">
        <v>196</v>
      </c>
      <c r="F295" s="1" t="s">
        <v>16</v>
      </c>
      <c r="G295" s="2">
        <v>44721</v>
      </c>
      <c r="H295" s="1">
        <v>60722.99</v>
      </c>
      <c r="I295" s="1" t="s">
        <v>271</v>
      </c>
      <c r="J295" s="1">
        <v>-2397240421</v>
      </c>
      <c r="K295" s="1" t="s">
        <v>23</v>
      </c>
      <c r="L295" s="1" t="b">
        <v>1</v>
      </c>
    </row>
    <row r="296" spans="1:12" x14ac:dyDescent="0.3">
      <c r="A296" s="1" t="s">
        <v>594</v>
      </c>
      <c r="B296" s="1" t="s">
        <v>37</v>
      </c>
      <c r="C296" s="1" t="s">
        <v>55</v>
      </c>
      <c r="D296" s="1">
        <v>40</v>
      </c>
      <c r="E296" s="1" t="s">
        <v>78</v>
      </c>
      <c r="F296" s="1" t="s">
        <v>33</v>
      </c>
      <c r="G296" s="1" t="s">
        <v>595</v>
      </c>
      <c r="H296" s="1">
        <v>87626.240000000005</v>
      </c>
      <c r="I296" s="1" t="s">
        <v>271</v>
      </c>
      <c r="J296" s="1">
        <v>-6931216375</v>
      </c>
      <c r="K296" s="1" t="s">
        <v>30</v>
      </c>
      <c r="L296" s="1" t="b">
        <v>1</v>
      </c>
    </row>
    <row r="297" spans="1:12" x14ac:dyDescent="0.3">
      <c r="A297" s="1" t="s">
        <v>596</v>
      </c>
      <c r="B297" s="1" t="s">
        <v>59</v>
      </c>
      <c r="C297" s="1" t="s">
        <v>20</v>
      </c>
      <c r="D297" s="1">
        <v>30</v>
      </c>
      <c r="E297" s="1" t="s">
        <v>78</v>
      </c>
      <c r="F297" s="1" t="s">
        <v>16</v>
      </c>
      <c r="G297" s="2">
        <v>44907</v>
      </c>
      <c r="H297" s="1">
        <v>81272.36</v>
      </c>
      <c r="I297" s="1" t="s">
        <v>225</v>
      </c>
      <c r="J297" s="1">
        <v>-1820916600</v>
      </c>
      <c r="K297" s="1" t="s">
        <v>41</v>
      </c>
      <c r="L297" s="1" t="b">
        <v>0</v>
      </c>
    </row>
    <row r="298" spans="1:12" x14ac:dyDescent="0.3">
      <c r="A298" s="1" t="s">
        <v>597</v>
      </c>
      <c r="B298" s="1" t="s">
        <v>13</v>
      </c>
      <c r="C298" s="1" t="s">
        <v>92</v>
      </c>
      <c r="D298" s="1"/>
      <c r="E298" s="1" t="s">
        <v>159</v>
      </c>
      <c r="F298" s="1" t="s">
        <v>28</v>
      </c>
      <c r="G298" s="2">
        <v>44572</v>
      </c>
      <c r="H298" s="1">
        <v>64150.97</v>
      </c>
      <c r="I298" s="1" t="s">
        <v>93</v>
      </c>
      <c r="J298" s="1">
        <v>-23142899</v>
      </c>
      <c r="K298" s="1" t="s">
        <v>30</v>
      </c>
      <c r="L298" s="1" t="b">
        <v>1</v>
      </c>
    </row>
    <row r="299" spans="1:12" x14ac:dyDescent="0.3">
      <c r="A299" s="1" t="s">
        <v>598</v>
      </c>
      <c r="B299" s="1" t="s">
        <v>54</v>
      </c>
      <c r="C299" s="1" t="s">
        <v>14</v>
      </c>
      <c r="D299" s="1">
        <v>35</v>
      </c>
      <c r="E299" s="1" t="s">
        <v>74</v>
      </c>
      <c r="F299" s="1" t="s">
        <v>16</v>
      </c>
      <c r="G299" s="1" t="s">
        <v>599</v>
      </c>
      <c r="H299" s="1">
        <v>64378.1</v>
      </c>
      <c r="I299" s="1" t="s">
        <v>170</v>
      </c>
      <c r="J299" s="1">
        <v>-1851327971</v>
      </c>
      <c r="K299" s="1" t="s">
        <v>41</v>
      </c>
      <c r="L299" s="1" t="b">
        <v>0</v>
      </c>
    </row>
    <row r="300" spans="1:12" x14ac:dyDescent="0.3">
      <c r="A300" s="1" t="s">
        <v>600</v>
      </c>
      <c r="B300" s="1" t="s">
        <v>13</v>
      </c>
      <c r="C300" s="1" t="s">
        <v>26</v>
      </c>
      <c r="D300" s="1"/>
      <c r="E300" s="1" t="s">
        <v>21</v>
      </c>
      <c r="F300" s="1" t="s">
        <v>33</v>
      </c>
      <c r="G300" s="1" t="s">
        <v>601</v>
      </c>
      <c r="H300" s="1">
        <v>85927.35</v>
      </c>
      <c r="I300" s="1" t="s">
        <v>50</v>
      </c>
      <c r="J300" s="1">
        <v>-4572308480</v>
      </c>
      <c r="K300" s="1" t="s">
        <v>30</v>
      </c>
      <c r="L300" s="1" t="b">
        <v>0</v>
      </c>
    </row>
    <row r="301" spans="1:12" x14ac:dyDescent="0.3">
      <c r="A301" s="1" t="s">
        <v>602</v>
      </c>
      <c r="B301" s="1" t="s">
        <v>25</v>
      </c>
      <c r="C301" s="1" t="s">
        <v>43</v>
      </c>
      <c r="D301" s="1"/>
      <c r="E301" s="1" t="s">
        <v>100</v>
      </c>
      <c r="F301" s="1" t="s">
        <v>33</v>
      </c>
      <c r="G301" s="1" t="s">
        <v>603</v>
      </c>
      <c r="H301" s="1">
        <v>51523.93</v>
      </c>
      <c r="I301" s="1" t="s">
        <v>45</v>
      </c>
      <c r="J301" s="1">
        <v>-18418619</v>
      </c>
      <c r="K301" s="1" t="s">
        <v>18</v>
      </c>
      <c r="L301" s="1" t="b">
        <v>1</v>
      </c>
    </row>
    <row r="302" spans="1:12" x14ac:dyDescent="0.3">
      <c r="A302" s="1" t="s">
        <v>604</v>
      </c>
      <c r="B302" s="1" t="s">
        <v>25</v>
      </c>
      <c r="C302" s="1" t="s">
        <v>122</v>
      </c>
      <c r="D302" s="1">
        <v>30</v>
      </c>
      <c r="E302" s="1" t="s">
        <v>44</v>
      </c>
      <c r="F302" s="1" t="s">
        <v>16</v>
      </c>
      <c r="G302" s="1" t="s">
        <v>605</v>
      </c>
      <c r="H302" s="1">
        <v>74117.02</v>
      </c>
      <c r="I302" s="1" t="s">
        <v>182</v>
      </c>
      <c r="J302" s="1">
        <v>-3036625435</v>
      </c>
      <c r="K302" s="1" t="s">
        <v>41</v>
      </c>
      <c r="L302" s="1" t="b">
        <v>0</v>
      </c>
    </row>
    <row r="303" spans="1:12" x14ac:dyDescent="0.3">
      <c r="A303" s="1" t="s">
        <v>606</v>
      </c>
      <c r="B303" s="1" t="s">
        <v>25</v>
      </c>
      <c r="C303" s="1" t="s">
        <v>122</v>
      </c>
      <c r="D303" s="1">
        <v>25</v>
      </c>
      <c r="E303" s="1" t="s">
        <v>21</v>
      </c>
      <c r="F303" s="1" t="s">
        <v>33</v>
      </c>
      <c r="G303" s="1" t="s">
        <v>607</v>
      </c>
      <c r="H303" s="1">
        <v>62598.69</v>
      </c>
      <c r="I303" s="1" t="s">
        <v>182</v>
      </c>
      <c r="J303" s="1">
        <v>-1721314518</v>
      </c>
      <c r="K303" s="1" t="s">
        <v>18</v>
      </c>
      <c r="L303" s="1" t="b">
        <v>1</v>
      </c>
    </row>
    <row r="304" spans="1:12" x14ac:dyDescent="0.3">
      <c r="A304" s="1" t="s">
        <v>608</v>
      </c>
      <c r="B304" s="1" t="s">
        <v>69</v>
      </c>
      <c r="C304" s="1" t="s">
        <v>38</v>
      </c>
      <c r="D304" s="1">
        <v>35</v>
      </c>
      <c r="E304" s="1" t="s">
        <v>112</v>
      </c>
      <c r="F304" s="1" t="s">
        <v>33</v>
      </c>
      <c r="G304" s="2">
        <v>44775</v>
      </c>
      <c r="H304" s="1">
        <v>55617.5</v>
      </c>
      <c r="I304" s="1" t="s">
        <v>71</v>
      </c>
      <c r="J304" s="1">
        <v>-5151092267</v>
      </c>
      <c r="K304" s="1" t="s">
        <v>23</v>
      </c>
      <c r="L304" s="1" t="b">
        <v>1</v>
      </c>
    </row>
    <row r="305" spans="1:12" x14ac:dyDescent="0.3">
      <c r="A305" s="1" t="s">
        <v>609</v>
      </c>
      <c r="B305" s="1" t="s">
        <v>54</v>
      </c>
      <c r="C305" s="1" t="s">
        <v>92</v>
      </c>
      <c r="D305" s="1">
        <v>35</v>
      </c>
      <c r="E305" s="1" t="s">
        <v>60</v>
      </c>
      <c r="F305" s="1" t="s">
        <v>28</v>
      </c>
      <c r="G305" s="1" t="s">
        <v>610</v>
      </c>
      <c r="H305" s="1">
        <v>87018.98</v>
      </c>
      <c r="I305" s="1" t="s">
        <v>501</v>
      </c>
      <c r="J305" s="1">
        <v>-5926249450</v>
      </c>
      <c r="K305" s="1" t="s">
        <v>30</v>
      </c>
      <c r="L305" s="1" t="b">
        <v>1</v>
      </c>
    </row>
    <row r="306" spans="1:12" x14ac:dyDescent="0.3">
      <c r="A306" s="1" t="s">
        <v>611</v>
      </c>
      <c r="B306" s="1" t="s">
        <v>59</v>
      </c>
      <c r="C306" s="1" t="s">
        <v>55</v>
      </c>
      <c r="D306" s="1">
        <v>25</v>
      </c>
      <c r="E306" s="1" t="s">
        <v>268</v>
      </c>
      <c r="F306" s="1" t="s">
        <v>33</v>
      </c>
      <c r="G306" s="2">
        <v>45240</v>
      </c>
      <c r="H306" s="1">
        <v>100336.58</v>
      </c>
      <c r="I306" s="1" t="s">
        <v>217</v>
      </c>
      <c r="J306" s="1">
        <v>-4754102251</v>
      </c>
      <c r="K306" s="1" t="s">
        <v>23</v>
      </c>
      <c r="L306" s="1" t="b">
        <v>1</v>
      </c>
    </row>
    <row r="307" spans="1:12" x14ac:dyDescent="0.3">
      <c r="A307" s="1" t="s">
        <v>612</v>
      </c>
      <c r="B307" s="1" t="s">
        <v>69</v>
      </c>
      <c r="C307" s="1" t="s">
        <v>26</v>
      </c>
      <c r="D307" s="1">
        <v>30</v>
      </c>
      <c r="E307" s="1" t="s">
        <v>205</v>
      </c>
      <c r="F307" s="1" t="s">
        <v>33</v>
      </c>
      <c r="G307" s="1" t="s">
        <v>613</v>
      </c>
      <c r="H307" s="1">
        <v>69295.48</v>
      </c>
      <c r="I307" s="1" t="s">
        <v>76</v>
      </c>
      <c r="J307" s="1">
        <v>-6771196420</v>
      </c>
      <c r="K307" s="1" t="s">
        <v>23</v>
      </c>
      <c r="L307" s="1" t="b">
        <v>0</v>
      </c>
    </row>
    <row r="308" spans="1:12" x14ac:dyDescent="0.3">
      <c r="A308" s="1" t="s">
        <v>614</v>
      </c>
      <c r="B308" s="1" t="s">
        <v>13</v>
      </c>
      <c r="C308" s="1" t="s">
        <v>20</v>
      </c>
      <c r="D308" s="1">
        <v>25</v>
      </c>
      <c r="E308" s="1" t="s">
        <v>230</v>
      </c>
      <c r="F308" s="1" t="s">
        <v>28</v>
      </c>
      <c r="G308" s="1" t="s">
        <v>615</v>
      </c>
      <c r="H308" s="1">
        <v>115536.66</v>
      </c>
      <c r="I308" s="1" t="s">
        <v>22</v>
      </c>
      <c r="J308" s="1">
        <v>-5226557675</v>
      </c>
      <c r="K308" s="1" t="s">
        <v>23</v>
      </c>
      <c r="L308" s="1" t="b">
        <v>1</v>
      </c>
    </row>
    <row r="309" spans="1:12" x14ac:dyDescent="0.3">
      <c r="A309" s="1" t="s">
        <v>616</v>
      </c>
      <c r="B309" s="1" t="s">
        <v>59</v>
      </c>
      <c r="C309" s="1" t="s">
        <v>55</v>
      </c>
      <c r="D309" s="1">
        <v>30</v>
      </c>
      <c r="E309" s="1" t="s">
        <v>159</v>
      </c>
      <c r="F309" s="1" t="s">
        <v>28</v>
      </c>
      <c r="G309" s="2">
        <v>44077</v>
      </c>
      <c r="H309" s="1">
        <v>81250.87</v>
      </c>
      <c r="I309" s="1" t="s">
        <v>217</v>
      </c>
      <c r="J309" s="1">
        <v>-9523668787</v>
      </c>
      <c r="K309" s="1" t="s">
        <v>23</v>
      </c>
      <c r="L309" s="1" t="b">
        <v>0</v>
      </c>
    </row>
    <row r="310" spans="1:12" x14ac:dyDescent="0.3">
      <c r="A310" s="1" t="s">
        <v>617</v>
      </c>
      <c r="B310" s="1" t="s">
        <v>25</v>
      </c>
      <c r="C310" s="1" t="s">
        <v>43</v>
      </c>
      <c r="D310" s="1">
        <v>30</v>
      </c>
      <c r="E310" s="1" t="s">
        <v>237</v>
      </c>
      <c r="F310" s="1" t="s">
        <v>33</v>
      </c>
      <c r="G310" s="1" t="s">
        <v>618</v>
      </c>
      <c r="H310" s="1">
        <v>66403.75</v>
      </c>
      <c r="I310" s="1" t="s">
        <v>45</v>
      </c>
      <c r="J310" s="1">
        <v>-7883619688</v>
      </c>
      <c r="K310" s="1" t="s">
        <v>30</v>
      </c>
      <c r="L310" s="1" t="b">
        <v>0</v>
      </c>
    </row>
    <row r="311" spans="1:12" x14ac:dyDescent="0.3">
      <c r="A311" s="1" t="s">
        <v>619</v>
      </c>
      <c r="B311" s="1" t="s">
        <v>25</v>
      </c>
      <c r="C311" s="1" t="s">
        <v>92</v>
      </c>
      <c r="D311" s="1">
        <v>30</v>
      </c>
      <c r="E311" s="1" t="s">
        <v>177</v>
      </c>
      <c r="F311" s="1" t="s">
        <v>16</v>
      </c>
      <c r="G311" s="1" t="s">
        <v>620</v>
      </c>
      <c r="H311" s="1">
        <v>114147.79</v>
      </c>
      <c r="I311" s="1" t="s">
        <v>166</v>
      </c>
      <c r="J311" s="1">
        <v>-3135030586</v>
      </c>
      <c r="K311" s="1" t="s">
        <v>23</v>
      </c>
      <c r="L311" s="1" t="b">
        <v>0</v>
      </c>
    </row>
    <row r="312" spans="1:12" x14ac:dyDescent="0.3">
      <c r="A312" s="1" t="s">
        <v>621</v>
      </c>
      <c r="B312" s="1" t="s">
        <v>37</v>
      </c>
      <c r="C312" s="1" t="s">
        <v>43</v>
      </c>
      <c r="D312" s="1">
        <v>30</v>
      </c>
      <c r="E312" s="1" t="s">
        <v>66</v>
      </c>
      <c r="F312" s="1" t="s">
        <v>28</v>
      </c>
      <c r="G312" s="2">
        <v>44632</v>
      </c>
      <c r="H312" s="1">
        <v>65472.99</v>
      </c>
      <c r="I312" s="1" t="s">
        <v>180</v>
      </c>
      <c r="J312" s="1">
        <v>-2105524727</v>
      </c>
      <c r="K312" s="1" t="s">
        <v>30</v>
      </c>
      <c r="L312" s="1" t="b">
        <v>0</v>
      </c>
    </row>
    <row r="313" spans="1:12" x14ac:dyDescent="0.3">
      <c r="A313" s="1" t="s">
        <v>622</v>
      </c>
      <c r="B313" s="1" t="s">
        <v>25</v>
      </c>
      <c r="C313" s="1" t="s">
        <v>14</v>
      </c>
      <c r="D313" s="1"/>
      <c r="E313" s="1" t="s">
        <v>219</v>
      </c>
      <c r="F313" s="1" t="s">
        <v>16</v>
      </c>
      <c r="G313" s="2">
        <v>45084</v>
      </c>
      <c r="H313" s="1">
        <v>97512.51</v>
      </c>
      <c r="I313" s="1" t="s">
        <v>163</v>
      </c>
      <c r="J313" s="1">
        <v>-6333021259</v>
      </c>
      <c r="K313" s="1" t="s">
        <v>30</v>
      </c>
      <c r="L313" s="1" t="b">
        <v>1</v>
      </c>
    </row>
    <row r="314" spans="1:12" x14ac:dyDescent="0.3">
      <c r="A314" s="1" t="s">
        <v>623</v>
      </c>
      <c r="B314" s="1" t="s">
        <v>25</v>
      </c>
      <c r="C314" s="1" t="s">
        <v>20</v>
      </c>
      <c r="D314" s="1">
        <v>35</v>
      </c>
      <c r="E314" s="1" t="s">
        <v>328</v>
      </c>
      <c r="F314" s="1" t="s">
        <v>33</v>
      </c>
      <c r="G314" s="1" t="s">
        <v>624</v>
      </c>
      <c r="H314" s="1">
        <v>86712.41</v>
      </c>
      <c r="I314" s="1" t="s">
        <v>80</v>
      </c>
      <c r="J314" s="1">
        <v>-6501917919</v>
      </c>
      <c r="K314" s="1" t="s">
        <v>18</v>
      </c>
      <c r="L314" s="1" t="b">
        <v>1</v>
      </c>
    </row>
    <row r="315" spans="1:12" x14ac:dyDescent="0.3">
      <c r="A315" s="1" t="s">
        <v>625</v>
      </c>
      <c r="B315" s="1" t="s">
        <v>69</v>
      </c>
      <c r="C315" s="1" t="s">
        <v>14</v>
      </c>
      <c r="D315" s="1">
        <v>30</v>
      </c>
      <c r="E315" s="1" t="s">
        <v>212</v>
      </c>
      <c r="F315" s="1" t="s">
        <v>16</v>
      </c>
      <c r="G315" s="1" t="s">
        <v>626</v>
      </c>
      <c r="H315" s="1">
        <v>87654.98</v>
      </c>
      <c r="I315" s="1" t="s">
        <v>235</v>
      </c>
      <c r="J315" s="1">
        <v>-2521310961</v>
      </c>
      <c r="K315" s="1" t="s">
        <v>41</v>
      </c>
      <c r="L315" s="1" t="b">
        <v>0</v>
      </c>
    </row>
    <row r="316" spans="1:12" x14ac:dyDescent="0.3">
      <c r="A316" s="1" t="s">
        <v>627</v>
      </c>
      <c r="B316" s="1" t="s">
        <v>59</v>
      </c>
      <c r="C316" s="1" t="s">
        <v>38</v>
      </c>
      <c r="D316" s="1">
        <v>35</v>
      </c>
      <c r="E316" s="1" t="s">
        <v>56</v>
      </c>
      <c r="F316" s="1" t="s">
        <v>33</v>
      </c>
      <c r="G316" s="1" t="s">
        <v>628</v>
      </c>
      <c r="H316" s="1">
        <v>89367.02</v>
      </c>
      <c r="I316" s="1" t="s">
        <v>61</v>
      </c>
      <c r="J316" s="1">
        <v>-2728476569</v>
      </c>
      <c r="K316" s="1" t="s">
        <v>41</v>
      </c>
      <c r="L316" s="1" t="b">
        <v>0</v>
      </c>
    </row>
    <row r="317" spans="1:12" x14ac:dyDescent="0.3">
      <c r="A317" s="1" t="s">
        <v>629</v>
      </c>
      <c r="B317" s="1" t="s">
        <v>54</v>
      </c>
      <c r="C317" s="1" t="s">
        <v>43</v>
      </c>
      <c r="D317" s="1">
        <v>40</v>
      </c>
      <c r="E317" s="1" t="s">
        <v>118</v>
      </c>
      <c r="F317" s="1" t="s">
        <v>16</v>
      </c>
      <c r="G317" s="2">
        <v>44388</v>
      </c>
      <c r="H317" s="1">
        <v>95269.41</v>
      </c>
      <c r="I317" s="1" t="s">
        <v>87</v>
      </c>
      <c r="J317" s="1">
        <v>-4120092819</v>
      </c>
      <c r="K317" s="1" t="s">
        <v>30</v>
      </c>
      <c r="L317" s="1" t="b">
        <v>1</v>
      </c>
    </row>
    <row r="318" spans="1:12" x14ac:dyDescent="0.3">
      <c r="A318" s="1" t="s">
        <v>630</v>
      </c>
      <c r="B318" s="1" t="s">
        <v>37</v>
      </c>
      <c r="C318" s="1" t="s">
        <v>38</v>
      </c>
      <c r="D318" s="1">
        <v>25</v>
      </c>
      <c r="E318" s="1" t="s">
        <v>219</v>
      </c>
      <c r="F318" s="1" t="s">
        <v>16</v>
      </c>
      <c r="G318" s="1" t="s">
        <v>631</v>
      </c>
      <c r="H318" s="1">
        <v>68792.31</v>
      </c>
      <c r="I318" s="1" t="s">
        <v>40</v>
      </c>
      <c r="J318" s="1">
        <v>-6678498435</v>
      </c>
      <c r="K318" s="1" t="s">
        <v>18</v>
      </c>
      <c r="L318" s="1" t="b">
        <v>0</v>
      </c>
    </row>
    <row r="319" spans="1:12" x14ac:dyDescent="0.3">
      <c r="A319" s="1" t="s">
        <v>632</v>
      </c>
      <c r="B319" s="1" t="s">
        <v>25</v>
      </c>
      <c r="C319" s="1" t="s">
        <v>122</v>
      </c>
      <c r="D319" s="1">
        <v>25</v>
      </c>
      <c r="E319" s="1" t="s">
        <v>89</v>
      </c>
      <c r="F319" s="1" t="s">
        <v>28</v>
      </c>
      <c r="G319" s="2">
        <v>45117</v>
      </c>
      <c r="H319" s="1">
        <v>89119.53</v>
      </c>
      <c r="I319" s="1" t="s">
        <v>182</v>
      </c>
      <c r="J319" s="1">
        <v>-2418623689</v>
      </c>
      <c r="K319" s="1" t="s">
        <v>30</v>
      </c>
      <c r="L319" s="1" t="b">
        <v>1</v>
      </c>
    </row>
    <row r="320" spans="1:12" x14ac:dyDescent="0.3">
      <c r="A320" s="1" t="s">
        <v>633</v>
      </c>
      <c r="B320" s="1" t="s">
        <v>37</v>
      </c>
      <c r="C320" s="1" t="s">
        <v>14</v>
      </c>
      <c r="D320" s="1">
        <v>35</v>
      </c>
      <c r="E320" s="1" t="s">
        <v>60</v>
      </c>
      <c r="F320" s="1" t="s">
        <v>16</v>
      </c>
      <c r="G320" s="1" t="s">
        <v>634</v>
      </c>
      <c r="H320" s="1">
        <v>58212.13</v>
      </c>
      <c r="I320" s="1" t="s">
        <v>52</v>
      </c>
      <c r="J320" s="1">
        <v>-3628917755</v>
      </c>
      <c r="K320" s="1" t="s">
        <v>30</v>
      </c>
      <c r="L320" s="1" t="b">
        <v>0</v>
      </c>
    </row>
    <row r="321" spans="1:12" x14ac:dyDescent="0.3">
      <c r="A321" s="1" t="s">
        <v>635</v>
      </c>
      <c r="B321" s="1" t="s">
        <v>65</v>
      </c>
      <c r="C321" s="1" t="s">
        <v>92</v>
      </c>
      <c r="D321" s="1">
        <v>30</v>
      </c>
      <c r="E321" s="1" t="s">
        <v>78</v>
      </c>
      <c r="F321" s="1" t="s">
        <v>28</v>
      </c>
      <c r="G321" s="1" t="s">
        <v>636</v>
      </c>
      <c r="H321" s="1">
        <v>77764.240000000005</v>
      </c>
      <c r="I321" s="1" t="s">
        <v>130</v>
      </c>
      <c r="J321" s="1">
        <v>-6205634110</v>
      </c>
      <c r="K321" s="1" t="s">
        <v>30</v>
      </c>
      <c r="L321" s="1" t="b">
        <v>1</v>
      </c>
    </row>
    <row r="322" spans="1:12" x14ac:dyDescent="0.3">
      <c r="A322" s="1" t="s">
        <v>637</v>
      </c>
      <c r="B322" s="1" t="s">
        <v>37</v>
      </c>
      <c r="C322" s="1" t="s">
        <v>43</v>
      </c>
      <c r="D322" s="1">
        <v>35</v>
      </c>
      <c r="E322" s="1" t="s">
        <v>112</v>
      </c>
      <c r="F322" s="1" t="s">
        <v>28</v>
      </c>
      <c r="G322" s="1" t="s">
        <v>638</v>
      </c>
      <c r="H322" s="1">
        <v>75148.17</v>
      </c>
      <c r="I322" s="1" t="s">
        <v>180</v>
      </c>
      <c r="J322" s="1">
        <v>-5950342810</v>
      </c>
      <c r="K322" s="1" t="s">
        <v>18</v>
      </c>
      <c r="L322" s="1" t="b">
        <v>0</v>
      </c>
    </row>
    <row r="323" spans="1:12" x14ac:dyDescent="0.3">
      <c r="A323" s="1" t="s">
        <v>639</v>
      </c>
      <c r="B323" s="1" t="s">
        <v>65</v>
      </c>
      <c r="C323" s="1" t="s">
        <v>26</v>
      </c>
      <c r="D323" s="1">
        <v>40</v>
      </c>
      <c r="E323" s="1" t="s">
        <v>85</v>
      </c>
      <c r="F323" s="1" t="s">
        <v>33</v>
      </c>
      <c r="G323" s="2">
        <v>45508</v>
      </c>
      <c r="H323" s="1">
        <v>108781.18</v>
      </c>
      <c r="I323" s="1" t="s">
        <v>319</v>
      </c>
      <c r="J323" s="1">
        <v>-3904383033</v>
      </c>
      <c r="K323" s="1" t="s">
        <v>41</v>
      </c>
      <c r="L323" s="1" t="b">
        <v>0</v>
      </c>
    </row>
    <row r="324" spans="1:12" x14ac:dyDescent="0.3">
      <c r="A324" s="1" t="s">
        <v>640</v>
      </c>
      <c r="B324" s="1" t="s">
        <v>37</v>
      </c>
      <c r="C324" s="1" t="s">
        <v>20</v>
      </c>
      <c r="D324" s="1">
        <v>35</v>
      </c>
      <c r="E324" s="1" t="s">
        <v>21</v>
      </c>
      <c r="F324" s="1" t="s">
        <v>28</v>
      </c>
      <c r="G324" s="2">
        <v>45393</v>
      </c>
      <c r="H324" s="1">
        <v>65489.19</v>
      </c>
      <c r="I324" s="1" t="s">
        <v>239</v>
      </c>
      <c r="J324" s="1">
        <v>-1990970050</v>
      </c>
      <c r="K324" s="1" t="s">
        <v>18</v>
      </c>
      <c r="L324" s="1" t="b">
        <v>1</v>
      </c>
    </row>
    <row r="325" spans="1:12" x14ac:dyDescent="0.3">
      <c r="A325" s="1" t="s">
        <v>641</v>
      </c>
      <c r="B325" s="1" t="s">
        <v>32</v>
      </c>
      <c r="C325" s="1" t="s">
        <v>55</v>
      </c>
      <c r="D325" s="1"/>
      <c r="E325" s="1" t="s">
        <v>98</v>
      </c>
      <c r="F325" s="1" t="s">
        <v>28</v>
      </c>
      <c r="G325" s="2">
        <v>44686</v>
      </c>
      <c r="H325" s="1">
        <v>70663.460000000006</v>
      </c>
      <c r="I325" s="1" t="s">
        <v>322</v>
      </c>
      <c r="J325" s="1">
        <v>-4054683564</v>
      </c>
      <c r="K325" s="1" t="s">
        <v>23</v>
      </c>
      <c r="L325" s="1" t="b">
        <v>0</v>
      </c>
    </row>
    <row r="326" spans="1:12" x14ac:dyDescent="0.3">
      <c r="A326" s="1" t="s">
        <v>642</v>
      </c>
      <c r="B326" s="1" t="s">
        <v>59</v>
      </c>
      <c r="C326" s="1" t="s">
        <v>92</v>
      </c>
      <c r="D326" s="1">
        <v>40</v>
      </c>
      <c r="E326" s="1" t="s">
        <v>109</v>
      </c>
      <c r="F326" s="1" t="s">
        <v>33</v>
      </c>
      <c r="G326" s="2">
        <v>44928</v>
      </c>
      <c r="H326" s="1">
        <v>95822.56</v>
      </c>
      <c r="I326" s="1" t="s">
        <v>107</v>
      </c>
      <c r="J326" s="1">
        <v>-2156818208</v>
      </c>
      <c r="K326" s="1" t="s">
        <v>18</v>
      </c>
      <c r="L326" s="1" t="b">
        <v>0</v>
      </c>
    </row>
    <row r="327" spans="1:12" x14ac:dyDescent="0.3">
      <c r="A327" s="1" t="s">
        <v>643</v>
      </c>
      <c r="B327" s="1" t="s">
        <v>32</v>
      </c>
      <c r="C327" s="1" t="s">
        <v>92</v>
      </c>
      <c r="D327" s="1">
        <v>40</v>
      </c>
      <c r="E327" s="1" t="s">
        <v>328</v>
      </c>
      <c r="F327" s="1" t="s">
        <v>28</v>
      </c>
      <c r="G327" s="2">
        <v>44571</v>
      </c>
      <c r="H327" s="1">
        <v>82258.03</v>
      </c>
      <c r="I327" s="1" t="s">
        <v>263</v>
      </c>
      <c r="J327" s="1">
        <v>-6790422710</v>
      </c>
      <c r="K327" s="1" t="s">
        <v>18</v>
      </c>
      <c r="L327" s="1" t="b">
        <v>1</v>
      </c>
    </row>
    <row r="328" spans="1:12" x14ac:dyDescent="0.3">
      <c r="A328" s="1" t="s">
        <v>644</v>
      </c>
      <c r="B328" s="1" t="s">
        <v>37</v>
      </c>
      <c r="C328" s="1" t="s">
        <v>38</v>
      </c>
      <c r="D328" s="1">
        <v>30</v>
      </c>
      <c r="E328" s="1" t="s">
        <v>27</v>
      </c>
      <c r="F328" s="1" t="s">
        <v>28</v>
      </c>
      <c r="G328" s="1" t="s">
        <v>645</v>
      </c>
      <c r="H328" s="1">
        <v>62883.34</v>
      </c>
      <c r="I328" s="1" t="s">
        <v>40</v>
      </c>
      <c r="J328" s="1">
        <v>-3322889856</v>
      </c>
      <c r="K328" s="1" t="s">
        <v>18</v>
      </c>
      <c r="L328" s="1" t="b">
        <v>0</v>
      </c>
    </row>
    <row r="329" spans="1:12" x14ac:dyDescent="0.3">
      <c r="A329" s="1" t="s">
        <v>646</v>
      </c>
      <c r="B329" s="1" t="s">
        <v>25</v>
      </c>
      <c r="C329" s="1" t="s">
        <v>14</v>
      </c>
      <c r="D329" s="1"/>
      <c r="E329" s="1" t="s">
        <v>159</v>
      </c>
      <c r="F329" s="1" t="s">
        <v>28</v>
      </c>
      <c r="G329" s="2">
        <v>44078</v>
      </c>
      <c r="H329" s="1">
        <v>103503.72</v>
      </c>
      <c r="I329" s="1" t="s">
        <v>163</v>
      </c>
      <c r="J329" s="1">
        <v>-2545960632</v>
      </c>
      <c r="K329" s="1" t="s">
        <v>18</v>
      </c>
      <c r="L329" s="1" t="b">
        <v>1</v>
      </c>
    </row>
    <row r="330" spans="1:12" x14ac:dyDescent="0.3">
      <c r="A330" s="1" t="s">
        <v>647</v>
      </c>
      <c r="B330" s="1" t="s">
        <v>59</v>
      </c>
      <c r="C330" s="1" t="s">
        <v>43</v>
      </c>
      <c r="D330" s="1">
        <v>25</v>
      </c>
      <c r="E330" s="1" t="s">
        <v>56</v>
      </c>
      <c r="F330" s="1" t="s">
        <v>16</v>
      </c>
      <c r="G330" s="1" t="s">
        <v>648</v>
      </c>
      <c r="H330" s="1">
        <v>85401.3</v>
      </c>
      <c r="I330" s="1" t="s">
        <v>101</v>
      </c>
      <c r="J330" s="1">
        <v>-9912971023</v>
      </c>
      <c r="K330" s="1" t="s">
        <v>41</v>
      </c>
      <c r="L330" s="1" t="b">
        <v>1</v>
      </c>
    </row>
    <row r="331" spans="1:12" x14ac:dyDescent="0.3">
      <c r="A331" s="1" t="s">
        <v>649</v>
      </c>
      <c r="B331" s="1" t="s">
        <v>65</v>
      </c>
      <c r="C331" s="1" t="s">
        <v>43</v>
      </c>
      <c r="D331" s="1">
        <v>40</v>
      </c>
      <c r="E331" s="1" t="s">
        <v>159</v>
      </c>
      <c r="F331" s="1" t="s">
        <v>28</v>
      </c>
      <c r="G331" s="2">
        <v>44987</v>
      </c>
      <c r="H331" s="1"/>
      <c r="I331" s="1" t="s">
        <v>257</v>
      </c>
      <c r="J331" s="1">
        <v>-8171752420</v>
      </c>
      <c r="K331" s="1" t="s">
        <v>23</v>
      </c>
      <c r="L331" s="1" t="b">
        <v>0</v>
      </c>
    </row>
    <row r="332" spans="1:12" x14ac:dyDescent="0.3">
      <c r="A332" s="1" t="s">
        <v>650</v>
      </c>
      <c r="B332" s="1" t="s">
        <v>32</v>
      </c>
      <c r="C332" s="1" t="s">
        <v>122</v>
      </c>
      <c r="D332" s="1"/>
      <c r="E332" s="1" t="s">
        <v>139</v>
      </c>
      <c r="F332" s="1" t="s">
        <v>28</v>
      </c>
      <c r="G332" s="1" t="s">
        <v>651</v>
      </c>
      <c r="H332" s="1">
        <v>98850.14</v>
      </c>
      <c r="I332" s="1" t="s">
        <v>521</v>
      </c>
      <c r="J332" s="1">
        <v>-4955112746</v>
      </c>
      <c r="K332" s="1" t="s">
        <v>41</v>
      </c>
      <c r="L332" s="1" t="b">
        <v>0</v>
      </c>
    </row>
    <row r="333" spans="1:12" x14ac:dyDescent="0.3">
      <c r="A333" s="1" t="s">
        <v>652</v>
      </c>
      <c r="B333" s="1" t="s">
        <v>54</v>
      </c>
      <c r="C333" s="1" t="s">
        <v>122</v>
      </c>
      <c r="D333" s="1">
        <v>25</v>
      </c>
      <c r="E333" s="1" t="s">
        <v>95</v>
      </c>
      <c r="F333" s="1" t="s">
        <v>16</v>
      </c>
      <c r="G333" s="2">
        <v>44413</v>
      </c>
      <c r="H333" s="1">
        <v>63435.24</v>
      </c>
      <c r="I333" s="1" t="s">
        <v>194</v>
      </c>
      <c r="J333" s="1">
        <v>-4721970545</v>
      </c>
      <c r="K333" s="1" t="s">
        <v>41</v>
      </c>
      <c r="L333" s="1" t="b">
        <v>0</v>
      </c>
    </row>
    <row r="334" spans="1:12" x14ac:dyDescent="0.3">
      <c r="A334" s="1" t="s">
        <v>653</v>
      </c>
      <c r="B334" s="1" t="s">
        <v>37</v>
      </c>
      <c r="C334" s="1" t="s">
        <v>20</v>
      </c>
      <c r="D334" s="1">
        <v>35</v>
      </c>
      <c r="E334" s="1" t="s">
        <v>21</v>
      </c>
      <c r="F334" s="1" t="s">
        <v>33</v>
      </c>
      <c r="G334" s="2">
        <v>44869</v>
      </c>
      <c r="H334" s="1">
        <v>82129.84</v>
      </c>
      <c r="I334" s="1" t="s">
        <v>239</v>
      </c>
      <c r="J334" s="1">
        <v>-6927589550</v>
      </c>
      <c r="K334" s="1" t="s">
        <v>18</v>
      </c>
      <c r="L334" s="1" t="b">
        <v>0</v>
      </c>
    </row>
    <row r="335" spans="1:12" x14ac:dyDescent="0.3">
      <c r="A335" s="1" t="s">
        <v>654</v>
      </c>
      <c r="B335" s="1" t="s">
        <v>59</v>
      </c>
      <c r="C335" s="1" t="s">
        <v>38</v>
      </c>
      <c r="D335" s="1">
        <v>35</v>
      </c>
      <c r="E335" s="1" t="s">
        <v>237</v>
      </c>
      <c r="F335" s="1" t="s">
        <v>28</v>
      </c>
      <c r="G335" s="1" t="s">
        <v>655</v>
      </c>
      <c r="H335" s="1">
        <v>95492.61</v>
      </c>
      <c r="I335" s="1" t="s">
        <v>61</v>
      </c>
      <c r="J335" s="1">
        <v>-6874090379</v>
      </c>
      <c r="K335" s="1" t="s">
        <v>30</v>
      </c>
      <c r="L335" s="1" t="b">
        <v>0</v>
      </c>
    </row>
    <row r="336" spans="1:12" x14ac:dyDescent="0.3">
      <c r="A336" s="1" t="s">
        <v>656</v>
      </c>
      <c r="B336" s="1" t="s">
        <v>69</v>
      </c>
      <c r="C336" s="1" t="s">
        <v>92</v>
      </c>
      <c r="D336" s="1">
        <v>40</v>
      </c>
      <c r="E336" s="1" t="s">
        <v>265</v>
      </c>
      <c r="F336" s="1" t="s">
        <v>33</v>
      </c>
      <c r="G336" s="1" t="s">
        <v>657</v>
      </c>
      <c r="H336" s="1">
        <v>94572.37</v>
      </c>
      <c r="I336" s="1" t="s">
        <v>168</v>
      </c>
      <c r="J336" s="1">
        <v>-2146296135</v>
      </c>
      <c r="K336" s="1" t="s">
        <v>30</v>
      </c>
      <c r="L336" s="1" t="b">
        <v>0</v>
      </c>
    </row>
    <row r="337" spans="1:12" x14ac:dyDescent="0.3">
      <c r="A337" s="1" t="s">
        <v>658</v>
      </c>
      <c r="B337" s="1" t="s">
        <v>13</v>
      </c>
      <c r="C337" s="1" t="s">
        <v>43</v>
      </c>
      <c r="D337" s="1">
        <v>40</v>
      </c>
      <c r="E337" s="1" t="s">
        <v>100</v>
      </c>
      <c r="F337" s="1" t="s">
        <v>33</v>
      </c>
      <c r="G337" s="2">
        <v>45019</v>
      </c>
      <c r="H337" s="1">
        <v>118413.05</v>
      </c>
      <c r="I337" s="1" t="s">
        <v>153</v>
      </c>
      <c r="J337" s="1">
        <v>-7157787111</v>
      </c>
      <c r="K337" s="1" t="s">
        <v>41</v>
      </c>
      <c r="L337" s="1" t="b">
        <v>0</v>
      </c>
    </row>
    <row r="338" spans="1:12" x14ac:dyDescent="0.3">
      <c r="A338" s="1" t="s">
        <v>659</v>
      </c>
      <c r="B338" s="1" t="s">
        <v>25</v>
      </c>
      <c r="C338" s="1" t="s">
        <v>26</v>
      </c>
      <c r="D338" s="1">
        <v>30</v>
      </c>
      <c r="E338" s="1" t="s">
        <v>27</v>
      </c>
      <c r="F338" s="1" t="s">
        <v>28</v>
      </c>
      <c r="G338" s="1" t="s">
        <v>660</v>
      </c>
      <c r="H338" s="1">
        <v>68976.649999999994</v>
      </c>
      <c r="I338" s="1" t="s">
        <v>29</v>
      </c>
      <c r="J338" s="1">
        <v>-1663651558</v>
      </c>
      <c r="K338" s="1" t="s">
        <v>41</v>
      </c>
      <c r="L338" s="1" t="b">
        <v>1</v>
      </c>
    </row>
    <row r="339" spans="1:12" x14ac:dyDescent="0.3">
      <c r="A339" s="1" t="s">
        <v>661</v>
      </c>
      <c r="B339" s="1" t="s">
        <v>32</v>
      </c>
      <c r="C339" s="1" t="s">
        <v>38</v>
      </c>
      <c r="D339" s="1"/>
      <c r="E339" s="1" t="s">
        <v>219</v>
      </c>
      <c r="F339" s="1" t="s">
        <v>16</v>
      </c>
      <c r="G339" s="2">
        <v>44228</v>
      </c>
      <c r="H339" s="1">
        <v>115013.65</v>
      </c>
      <c r="I339" s="1" t="s">
        <v>141</v>
      </c>
      <c r="J339" s="1">
        <v>-7371470826</v>
      </c>
      <c r="K339" s="1" t="s">
        <v>18</v>
      </c>
      <c r="L339" s="1" t="b">
        <v>0</v>
      </c>
    </row>
    <row r="340" spans="1:12" x14ac:dyDescent="0.3">
      <c r="A340" s="1" t="s">
        <v>662</v>
      </c>
      <c r="B340" s="1" t="s">
        <v>59</v>
      </c>
      <c r="C340" s="1" t="s">
        <v>20</v>
      </c>
      <c r="D340" s="1"/>
      <c r="E340" s="1" t="s">
        <v>27</v>
      </c>
      <c r="F340" s="1" t="s">
        <v>33</v>
      </c>
      <c r="G340" s="2">
        <v>43988</v>
      </c>
      <c r="H340" s="1">
        <v>70949.38</v>
      </c>
      <c r="I340" s="1" t="s">
        <v>225</v>
      </c>
      <c r="J340" s="1">
        <v>-2359096055</v>
      </c>
      <c r="K340" s="1" t="s">
        <v>41</v>
      </c>
      <c r="L340" s="1" t="b">
        <v>1</v>
      </c>
    </row>
    <row r="341" spans="1:12" x14ac:dyDescent="0.3">
      <c r="A341" s="1" t="s">
        <v>663</v>
      </c>
      <c r="B341" s="1" t="s">
        <v>69</v>
      </c>
      <c r="C341" s="1" t="s">
        <v>20</v>
      </c>
      <c r="D341" s="1"/>
      <c r="E341" s="1" t="s">
        <v>212</v>
      </c>
      <c r="F341" s="1" t="s">
        <v>28</v>
      </c>
      <c r="G341" s="1" t="s">
        <v>364</v>
      </c>
      <c r="H341" s="1">
        <v>105334.87</v>
      </c>
      <c r="I341" s="1" t="s">
        <v>201</v>
      </c>
      <c r="J341" s="1">
        <v>-7303064420</v>
      </c>
      <c r="K341" s="1" t="s">
        <v>18</v>
      </c>
      <c r="L341" s="1" t="b">
        <v>0</v>
      </c>
    </row>
    <row r="342" spans="1:12" x14ac:dyDescent="0.3">
      <c r="A342" s="1" t="s">
        <v>664</v>
      </c>
      <c r="B342" s="1" t="s">
        <v>13</v>
      </c>
      <c r="C342" s="1" t="s">
        <v>38</v>
      </c>
      <c r="D342" s="1"/>
      <c r="E342" s="1" t="s">
        <v>15</v>
      </c>
      <c r="F342" s="1" t="s">
        <v>16</v>
      </c>
      <c r="G342" s="1" t="s">
        <v>665</v>
      </c>
      <c r="H342" s="1">
        <v>80596.179999999993</v>
      </c>
      <c r="I342" s="1" t="s">
        <v>144</v>
      </c>
      <c r="J342" s="1">
        <v>-2146147682</v>
      </c>
      <c r="K342" s="1" t="s">
        <v>30</v>
      </c>
      <c r="L342" s="1" t="b">
        <v>0</v>
      </c>
    </row>
    <row r="343" spans="1:12" x14ac:dyDescent="0.3">
      <c r="A343" s="1" t="s">
        <v>666</v>
      </c>
      <c r="B343" s="1" t="s">
        <v>37</v>
      </c>
      <c r="C343" s="1" t="s">
        <v>20</v>
      </c>
      <c r="D343" s="1"/>
      <c r="E343" s="1" t="s">
        <v>98</v>
      </c>
      <c r="F343" s="1" t="s">
        <v>33</v>
      </c>
      <c r="G343" s="2">
        <v>45356</v>
      </c>
      <c r="H343" s="1">
        <v>72846.37</v>
      </c>
      <c r="I343" s="1" t="s">
        <v>239</v>
      </c>
      <c r="J343" s="1">
        <v>-4201654234</v>
      </c>
      <c r="K343" s="1" t="s">
        <v>30</v>
      </c>
      <c r="L343" s="1" t="b">
        <v>1</v>
      </c>
    </row>
    <row r="344" spans="1:12" x14ac:dyDescent="0.3">
      <c r="A344" s="1" t="s">
        <v>667</v>
      </c>
      <c r="B344" s="1" t="s">
        <v>65</v>
      </c>
      <c r="C344" s="1" t="s">
        <v>38</v>
      </c>
      <c r="D344" s="1">
        <v>40</v>
      </c>
      <c r="E344" s="1" t="s">
        <v>118</v>
      </c>
      <c r="F344" s="1" t="s">
        <v>28</v>
      </c>
      <c r="G344" s="2">
        <v>44744</v>
      </c>
      <c r="H344" s="1">
        <v>80229.36</v>
      </c>
      <c r="I344" s="1" t="s">
        <v>67</v>
      </c>
      <c r="J344" s="1">
        <v>-6778265959</v>
      </c>
      <c r="K344" s="1" t="s">
        <v>23</v>
      </c>
      <c r="L344" s="1" t="b">
        <v>0</v>
      </c>
    </row>
    <row r="345" spans="1:12" x14ac:dyDescent="0.3">
      <c r="A345" s="1" t="s">
        <v>668</v>
      </c>
      <c r="B345" s="1" t="s">
        <v>69</v>
      </c>
      <c r="C345" s="1" t="s">
        <v>55</v>
      </c>
      <c r="D345" s="1">
        <v>25</v>
      </c>
      <c r="E345" s="1" t="s">
        <v>177</v>
      </c>
      <c r="F345" s="1" t="s">
        <v>16</v>
      </c>
      <c r="G345" s="1" t="s">
        <v>669</v>
      </c>
      <c r="H345" s="1">
        <v>55145.47</v>
      </c>
      <c r="I345" s="1" t="s">
        <v>127</v>
      </c>
      <c r="J345" s="1">
        <v>-8931992549</v>
      </c>
      <c r="K345" s="1" t="s">
        <v>30</v>
      </c>
      <c r="L345" s="1" t="b">
        <v>0</v>
      </c>
    </row>
    <row r="346" spans="1:12" x14ac:dyDescent="0.3">
      <c r="A346" s="1" t="s">
        <v>670</v>
      </c>
      <c r="B346" s="1" t="s">
        <v>69</v>
      </c>
      <c r="C346" s="1" t="s">
        <v>38</v>
      </c>
      <c r="D346" s="1">
        <v>30</v>
      </c>
      <c r="E346" s="1" t="s">
        <v>230</v>
      </c>
      <c r="F346" s="1" t="s">
        <v>33</v>
      </c>
      <c r="G346" s="2">
        <v>44774</v>
      </c>
      <c r="H346" s="1"/>
      <c r="I346" s="1" t="s">
        <v>71</v>
      </c>
      <c r="J346" s="1">
        <v>-2727516479</v>
      </c>
      <c r="K346" s="1" t="s">
        <v>41</v>
      </c>
      <c r="L346" s="1" t="b">
        <v>1</v>
      </c>
    </row>
    <row r="347" spans="1:12" x14ac:dyDescent="0.3">
      <c r="A347" s="1" t="s">
        <v>671</v>
      </c>
      <c r="B347" s="1" t="s">
        <v>32</v>
      </c>
      <c r="C347" s="1" t="s">
        <v>14</v>
      </c>
      <c r="D347" s="1">
        <v>40</v>
      </c>
      <c r="E347" s="1" t="s">
        <v>146</v>
      </c>
      <c r="F347" s="1" t="s">
        <v>16</v>
      </c>
      <c r="G347" s="1" t="s">
        <v>672</v>
      </c>
      <c r="H347" s="1">
        <v>56110.81</v>
      </c>
      <c r="I347" s="1" t="s">
        <v>35</v>
      </c>
      <c r="J347" s="1">
        <v>-7279103367</v>
      </c>
      <c r="K347" s="1" t="s">
        <v>30</v>
      </c>
      <c r="L347" s="1" t="b">
        <v>0</v>
      </c>
    </row>
    <row r="348" spans="1:12" x14ac:dyDescent="0.3">
      <c r="A348" s="1" t="s">
        <v>673</v>
      </c>
      <c r="B348" s="1" t="s">
        <v>69</v>
      </c>
      <c r="C348" s="1" t="s">
        <v>38</v>
      </c>
      <c r="D348" s="1">
        <v>25</v>
      </c>
      <c r="E348" s="1" t="s">
        <v>159</v>
      </c>
      <c r="F348" s="1" t="s">
        <v>33</v>
      </c>
      <c r="G348" s="2">
        <v>45171</v>
      </c>
      <c r="H348" s="1">
        <v>56514.5</v>
      </c>
      <c r="I348" s="1" t="s">
        <v>71</v>
      </c>
      <c r="J348" s="1">
        <v>-2963533904</v>
      </c>
      <c r="K348" s="1" t="s">
        <v>18</v>
      </c>
      <c r="L348" s="1" t="b">
        <v>0</v>
      </c>
    </row>
    <row r="349" spans="1:12" x14ac:dyDescent="0.3">
      <c r="A349" s="1" t="s">
        <v>674</v>
      </c>
      <c r="B349" s="1" t="s">
        <v>37</v>
      </c>
      <c r="C349" s="1" t="s">
        <v>20</v>
      </c>
      <c r="D349" s="1">
        <v>40</v>
      </c>
      <c r="E349" s="1" t="s">
        <v>268</v>
      </c>
      <c r="F349" s="1" t="s">
        <v>33</v>
      </c>
      <c r="G349" s="2">
        <v>44684</v>
      </c>
      <c r="H349" s="1">
        <v>104541.84</v>
      </c>
      <c r="I349" s="1" t="s">
        <v>239</v>
      </c>
      <c r="J349" s="1">
        <v>-5044817765</v>
      </c>
      <c r="K349" s="1" t="s">
        <v>30</v>
      </c>
      <c r="L349" s="1" t="b">
        <v>0</v>
      </c>
    </row>
    <row r="350" spans="1:12" x14ac:dyDescent="0.3">
      <c r="A350" s="1" t="s">
        <v>675</v>
      </c>
      <c r="B350" s="1" t="s">
        <v>59</v>
      </c>
      <c r="C350" s="1" t="s">
        <v>43</v>
      </c>
      <c r="D350" s="1"/>
      <c r="E350" s="1" t="s">
        <v>109</v>
      </c>
      <c r="F350" s="1" t="s">
        <v>28</v>
      </c>
      <c r="G350" s="1" t="s">
        <v>676</v>
      </c>
      <c r="H350" s="1">
        <v>61865.120000000003</v>
      </c>
      <c r="I350" s="1" t="s">
        <v>101</v>
      </c>
      <c r="J350" s="1">
        <v>-5586851275</v>
      </c>
      <c r="K350" s="1" t="s">
        <v>23</v>
      </c>
      <c r="L350" s="1" t="b">
        <v>1</v>
      </c>
    </row>
    <row r="351" spans="1:12" x14ac:dyDescent="0.3">
      <c r="A351" s="1" t="s">
        <v>677</v>
      </c>
      <c r="B351" s="1" t="s">
        <v>32</v>
      </c>
      <c r="C351" s="1" t="s">
        <v>14</v>
      </c>
      <c r="D351" s="1">
        <v>40</v>
      </c>
      <c r="E351" s="1" t="s">
        <v>103</v>
      </c>
      <c r="F351" s="1" t="s">
        <v>16</v>
      </c>
      <c r="G351" s="2">
        <v>44810</v>
      </c>
      <c r="H351" s="1">
        <v>69317.33</v>
      </c>
      <c r="I351" s="1" t="s">
        <v>35</v>
      </c>
      <c r="J351" s="1">
        <v>-5289286645</v>
      </c>
      <c r="K351" s="1" t="s">
        <v>30</v>
      </c>
      <c r="L351" s="1" t="b">
        <v>0</v>
      </c>
    </row>
    <row r="352" spans="1:12" x14ac:dyDescent="0.3">
      <c r="A352" s="1" t="s">
        <v>678</v>
      </c>
      <c r="B352" s="1" t="s">
        <v>13</v>
      </c>
      <c r="C352" s="1" t="s">
        <v>20</v>
      </c>
      <c r="D352" s="1">
        <v>35</v>
      </c>
      <c r="E352" s="1" t="s">
        <v>66</v>
      </c>
      <c r="F352" s="1" t="s">
        <v>28</v>
      </c>
      <c r="G352" s="2">
        <v>45023</v>
      </c>
      <c r="H352" s="1">
        <v>84706.17</v>
      </c>
      <c r="I352" s="1" t="s">
        <v>22</v>
      </c>
      <c r="J352" s="1">
        <v>-4911110960</v>
      </c>
      <c r="K352" s="1" t="s">
        <v>18</v>
      </c>
      <c r="L352" s="1" t="b">
        <v>0</v>
      </c>
    </row>
    <row r="353" spans="1:12" x14ac:dyDescent="0.3">
      <c r="A353" s="1" t="s">
        <v>679</v>
      </c>
      <c r="B353" s="1" t="s">
        <v>65</v>
      </c>
      <c r="C353" s="1" t="s">
        <v>122</v>
      </c>
      <c r="D353" s="1">
        <v>25</v>
      </c>
      <c r="E353" s="1" t="s">
        <v>118</v>
      </c>
      <c r="F353" s="1" t="s">
        <v>16</v>
      </c>
      <c r="G353" s="1" t="s">
        <v>680</v>
      </c>
      <c r="H353" s="1">
        <v>73255.210000000006</v>
      </c>
      <c r="I353" s="1" t="s">
        <v>366</v>
      </c>
      <c r="J353" s="1">
        <v>-7981789045</v>
      </c>
      <c r="K353" s="1" t="s">
        <v>18</v>
      </c>
      <c r="L353" s="1" t="b">
        <v>0</v>
      </c>
    </row>
    <row r="354" spans="1:12" x14ac:dyDescent="0.3">
      <c r="A354" s="1" t="s">
        <v>681</v>
      </c>
      <c r="B354" s="1" t="s">
        <v>37</v>
      </c>
      <c r="C354" s="1" t="s">
        <v>122</v>
      </c>
      <c r="D354" s="1">
        <v>40</v>
      </c>
      <c r="E354" s="1" t="s">
        <v>212</v>
      </c>
      <c r="F354" s="1" t="s">
        <v>28</v>
      </c>
      <c r="G354" s="2">
        <v>44962</v>
      </c>
      <c r="H354" s="1">
        <v>59528.71</v>
      </c>
      <c r="I354" s="1" t="s">
        <v>137</v>
      </c>
      <c r="J354" s="1">
        <v>-3378613714</v>
      </c>
      <c r="K354" s="1" t="s">
        <v>41</v>
      </c>
      <c r="L354" s="1" t="b">
        <v>0</v>
      </c>
    </row>
    <row r="355" spans="1:12" x14ac:dyDescent="0.3">
      <c r="A355" s="1" t="s">
        <v>682</v>
      </c>
      <c r="B355" s="1" t="s">
        <v>59</v>
      </c>
      <c r="C355" s="1" t="s">
        <v>43</v>
      </c>
      <c r="D355" s="1">
        <v>40</v>
      </c>
      <c r="E355" s="1" t="s">
        <v>66</v>
      </c>
      <c r="F355" s="1" t="s">
        <v>33</v>
      </c>
      <c r="G355" s="1" t="s">
        <v>683</v>
      </c>
      <c r="H355" s="1">
        <v>70401.37</v>
      </c>
      <c r="I355" s="1" t="s">
        <v>101</v>
      </c>
      <c r="J355" s="1">
        <v>-7660538443</v>
      </c>
      <c r="K355" s="1" t="s">
        <v>30</v>
      </c>
      <c r="L355" s="1" t="b">
        <v>1</v>
      </c>
    </row>
    <row r="356" spans="1:12" x14ac:dyDescent="0.3">
      <c r="A356" s="1" t="s">
        <v>684</v>
      </c>
      <c r="B356" s="1" t="s">
        <v>65</v>
      </c>
      <c r="C356" s="1" t="s">
        <v>43</v>
      </c>
      <c r="D356" s="1"/>
      <c r="E356" s="1" t="s">
        <v>118</v>
      </c>
      <c r="F356" s="1" t="s">
        <v>33</v>
      </c>
      <c r="G356" s="1" t="s">
        <v>685</v>
      </c>
      <c r="H356" s="1">
        <v>107154.62</v>
      </c>
      <c r="I356" s="1" t="s">
        <v>257</v>
      </c>
      <c r="J356" s="1">
        <v>-4630600024</v>
      </c>
      <c r="K356" s="1" t="s">
        <v>18</v>
      </c>
      <c r="L356" s="1" t="b">
        <v>1</v>
      </c>
    </row>
    <row r="357" spans="1:12" x14ac:dyDescent="0.3">
      <c r="A357" s="1" t="s">
        <v>686</v>
      </c>
      <c r="B357" s="1" t="s">
        <v>13</v>
      </c>
      <c r="C357" s="1" t="s">
        <v>14</v>
      </c>
      <c r="D357" s="1"/>
      <c r="E357" s="1" t="s">
        <v>89</v>
      </c>
      <c r="F357" s="1" t="s">
        <v>28</v>
      </c>
      <c r="G357" s="2">
        <v>44256</v>
      </c>
      <c r="H357" s="1">
        <v>97719.88</v>
      </c>
      <c r="I357" s="1" t="s">
        <v>17</v>
      </c>
      <c r="J357" s="1">
        <v>-8955296385</v>
      </c>
      <c r="K357" s="1" t="s">
        <v>23</v>
      </c>
      <c r="L357" s="1" t="b">
        <v>0</v>
      </c>
    </row>
    <row r="358" spans="1:12" x14ac:dyDescent="0.3">
      <c r="A358" s="1" t="s">
        <v>687</v>
      </c>
      <c r="B358" s="1" t="s">
        <v>65</v>
      </c>
      <c r="C358" s="1" t="s">
        <v>55</v>
      </c>
      <c r="D358" s="1">
        <v>30</v>
      </c>
      <c r="E358" s="1" t="s">
        <v>70</v>
      </c>
      <c r="F358" s="1" t="s">
        <v>28</v>
      </c>
      <c r="G358" s="1" t="s">
        <v>251</v>
      </c>
      <c r="H358" s="1">
        <v>107327.59</v>
      </c>
      <c r="I358" s="1" t="s">
        <v>113</v>
      </c>
      <c r="J358" s="1">
        <v>-3960962625</v>
      </c>
      <c r="K358" s="1" t="s">
        <v>41</v>
      </c>
      <c r="L358" s="1" t="b">
        <v>0</v>
      </c>
    </row>
    <row r="359" spans="1:12" x14ac:dyDescent="0.3">
      <c r="A359" s="1" t="s">
        <v>688</v>
      </c>
      <c r="B359" s="1" t="s">
        <v>69</v>
      </c>
      <c r="C359" s="1" t="s">
        <v>43</v>
      </c>
      <c r="D359" s="1">
        <v>40</v>
      </c>
      <c r="E359" s="1" t="s">
        <v>27</v>
      </c>
      <c r="F359" s="1" t="s">
        <v>33</v>
      </c>
      <c r="G359" s="2">
        <v>44474</v>
      </c>
      <c r="H359" s="1">
        <v>67687.72</v>
      </c>
      <c r="I359" s="1" t="s">
        <v>83</v>
      </c>
      <c r="J359" s="1">
        <v>-5826312818</v>
      </c>
      <c r="K359" s="1" t="s">
        <v>23</v>
      </c>
      <c r="L359" s="1" t="b">
        <v>1</v>
      </c>
    </row>
    <row r="360" spans="1:12" x14ac:dyDescent="0.3">
      <c r="A360" s="1" t="s">
        <v>689</v>
      </c>
      <c r="B360" s="1" t="s">
        <v>69</v>
      </c>
      <c r="C360" s="1" t="s">
        <v>122</v>
      </c>
      <c r="D360" s="1">
        <v>40</v>
      </c>
      <c r="E360" s="1" t="s">
        <v>39</v>
      </c>
      <c r="F360" s="1" t="s">
        <v>28</v>
      </c>
      <c r="G360" s="2">
        <v>44782</v>
      </c>
      <c r="H360" s="1">
        <v>90757.08</v>
      </c>
      <c r="I360" s="1" t="s">
        <v>135</v>
      </c>
      <c r="J360" s="1">
        <v>-6482531105</v>
      </c>
      <c r="K360" s="1" t="s">
        <v>30</v>
      </c>
      <c r="L360" s="1" t="b">
        <v>1</v>
      </c>
    </row>
    <row r="361" spans="1:12" x14ac:dyDescent="0.3">
      <c r="A361" s="1" t="s">
        <v>690</v>
      </c>
      <c r="B361" s="1" t="s">
        <v>69</v>
      </c>
      <c r="C361" s="1" t="s">
        <v>38</v>
      </c>
      <c r="D361" s="1"/>
      <c r="E361" s="1" t="s">
        <v>268</v>
      </c>
      <c r="F361" s="1" t="s">
        <v>28</v>
      </c>
      <c r="G361" s="1" t="s">
        <v>691</v>
      </c>
      <c r="H361" s="1">
        <v>87583.42</v>
      </c>
      <c r="I361" s="1" t="s">
        <v>71</v>
      </c>
      <c r="J361" s="1">
        <v>-920981959</v>
      </c>
      <c r="K361" s="1" t="s">
        <v>30</v>
      </c>
      <c r="L361" s="1" t="b">
        <v>0</v>
      </c>
    </row>
    <row r="362" spans="1:12" x14ac:dyDescent="0.3">
      <c r="A362" s="1" t="s">
        <v>692</v>
      </c>
      <c r="B362" s="1" t="s">
        <v>13</v>
      </c>
      <c r="C362" s="1" t="s">
        <v>20</v>
      </c>
      <c r="D362" s="1">
        <v>25</v>
      </c>
      <c r="E362" s="1" t="s">
        <v>27</v>
      </c>
      <c r="F362" s="1" t="s">
        <v>28</v>
      </c>
      <c r="G362" s="1" t="s">
        <v>693</v>
      </c>
      <c r="H362" s="1">
        <v>61643.69</v>
      </c>
      <c r="I362" s="1" t="s">
        <v>22</v>
      </c>
      <c r="J362" s="1">
        <v>-2752334382</v>
      </c>
      <c r="K362" s="1" t="s">
        <v>30</v>
      </c>
      <c r="L362" s="1" t="b">
        <v>1</v>
      </c>
    </row>
    <row r="363" spans="1:12" x14ac:dyDescent="0.3">
      <c r="A363" s="1" t="s">
        <v>694</v>
      </c>
      <c r="B363" s="1" t="s">
        <v>69</v>
      </c>
      <c r="C363" s="1" t="s">
        <v>122</v>
      </c>
      <c r="D363" s="1">
        <v>35</v>
      </c>
      <c r="E363" s="1" t="s">
        <v>21</v>
      </c>
      <c r="F363" s="1" t="s">
        <v>16</v>
      </c>
      <c r="G363" s="1" t="s">
        <v>695</v>
      </c>
      <c r="H363" s="1">
        <v>68111.69</v>
      </c>
      <c r="I363" s="1" t="s">
        <v>135</v>
      </c>
      <c r="J363" s="1">
        <v>-6404120910</v>
      </c>
      <c r="K363" s="1" t="s">
        <v>41</v>
      </c>
      <c r="L363" s="1" t="b">
        <v>0</v>
      </c>
    </row>
    <row r="364" spans="1:12" x14ac:dyDescent="0.3">
      <c r="A364" s="1" t="s">
        <v>696</v>
      </c>
      <c r="B364" s="1" t="s">
        <v>59</v>
      </c>
      <c r="C364" s="1" t="s">
        <v>122</v>
      </c>
      <c r="D364" s="1">
        <v>40</v>
      </c>
      <c r="E364" s="1" t="s">
        <v>212</v>
      </c>
      <c r="F364" s="1" t="s">
        <v>33</v>
      </c>
      <c r="G364" s="1" t="s">
        <v>697</v>
      </c>
      <c r="H364" s="1">
        <v>97568.88</v>
      </c>
      <c r="I364" s="1" t="s">
        <v>340</v>
      </c>
      <c r="J364" s="1">
        <v>-7911244210</v>
      </c>
      <c r="K364" s="1" t="s">
        <v>18</v>
      </c>
      <c r="L364" s="1" t="b">
        <v>1</v>
      </c>
    </row>
    <row r="365" spans="1:12" x14ac:dyDescent="0.3">
      <c r="A365" s="1" t="s">
        <v>698</v>
      </c>
      <c r="B365" s="1" t="s">
        <v>54</v>
      </c>
      <c r="C365" s="1" t="s">
        <v>55</v>
      </c>
      <c r="D365" s="1">
        <v>35</v>
      </c>
      <c r="E365" s="1" t="s">
        <v>39</v>
      </c>
      <c r="F365" s="1" t="s">
        <v>16</v>
      </c>
      <c r="G365" s="1" t="s">
        <v>699</v>
      </c>
      <c r="H365" s="1">
        <v>79118.28</v>
      </c>
      <c r="I365" s="1" t="s">
        <v>57</v>
      </c>
      <c r="J365" s="1">
        <v>-7536170616</v>
      </c>
      <c r="K365" s="1" t="s">
        <v>41</v>
      </c>
      <c r="L365" s="1" t="b">
        <v>1</v>
      </c>
    </row>
    <row r="366" spans="1:12" x14ac:dyDescent="0.3">
      <c r="A366" s="1" t="s">
        <v>700</v>
      </c>
      <c r="B366" s="1" t="s">
        <v>13</v>
      </c>
      <c r="C366" s="1" t="s">
        <v>14</v>
      </c>
      <c r="D366" s="1">
        <v>30</v>
      </c>
      <c r="E366" s="1" t="s">
        <v>146</v>
      </c>
      <c r="F366" s="1" t="s">
        <v>33</v>
      </c>
      <c r="G366" s="1" t="s">
        <v>324</v>
      </c>
      <c r="H366" s="1">
        <v>104898.9</v>
      </c>
      <c r="I366" s="1" t="s">
        <v>17</v>
      </c>
      <c r="J366" s="1">
        <v>-1366572239</v>
      </c>
      <c r="K366" s="1" t="s">
        <v>23</v>
      </c>
      <c r="L366" s="1" t="b">
        <v>1</v>
      </c>
    </row>
    <row r="367" spans="1:12" x14ac:dyDescent="0.3">
      <c r="A367" s="1" t="s">
        <v>701</v>
      </c>
      <c r="B367" s="1" t="s">
        <v>37</v>
      </c>
      <c r="C367" s="1" t="s">
        <v>14</v>
      </c>
      <c r="D367" s="1">
        <v>40</v>
      </c>
      <c r="E367" s="1" t="s">
        <v>39</v>
      </c>
      <c r="F367" s="1" t="s">
        <v>28</v>
      </c>
      <c r="G367" s="1" t="s">
        <v>702</v>
      </c>
      <c r="H367" s="1">
        <v>81671.3</v>
      </c>
      <c r="I367" s="1" t="s">
        <v>52</v>
      </c>
      <c r="J367" s="1">
        <v>-2990155798</v>
      </c>
      <c r="K367" s="1" t="s">
        <v>41</v>
      </c>
      <c r="L367" s="1" t="b">
        <v>1</v>
      </c>
    </row>
    <row r="368" spans="1:12" x14ac:dyDescent="0.3">
      <c r="A368" s="1" t="s">
        <v>703</v>
      </c>
      <c r="B368" s="1" t="s">
        <v>25</v>
      </c>
      <c r="C368" s="1" t="s">
        <v>92</v>
      </c>
      <c r="D368" s="1">
        <v>25</v>
      </c>
      <c r="E368" s="1" t="s">
        <v>268</v>
      </c>
      <c r="F368" s="1" t="s">
        <v>28</v>
      </c>
      <c r="G368" s="2">
        <v>44143</v>
      </c>
      <c r="H368" s="1">
        <v>97399.75</v>
      </c>
      <c r="I368" s="1" t="s">
        <v>166</v>
      </c>
      <c r="J368" s="1">
        <v>-8028413907</v>
      </c>
      <c r="K368" s="1" t="s">
        <v>23</v>
      </c>
      <c r="L368" s="1" t="b">
        <v>0</v>
      </c>
    </row>
    <row r="369" spans="1:12" x14ac:dyDescent="0.3">
      <c r="A369" s="1" t="s">
        <v>704</v>
      </c>
      <c r="B369" s="1" t="s">
        <v>59</v>
      </c>
      <c r="C369" s="1" t="s">
        <v>55</v>
      </c>
      <c r="D369" s="1"/>
      <c r="E369" s="1" t="s">
        <v>89</v>
      </c>
      <c r="F369" s="1" t="s">
        <v>16</v>
      </c>
      <c r="G369" s="2">
        <v>44419</v>
      </c>
      <c r="H369" s="1">
        <v>89189.43</v>
      </c>
      <c r="I369" s="1" t="s">
        <v>217</v>
      </c>
      <c r="J369" s="1">
        <v>-882351304</v>
      </c>
      <c r="K369" s="1" t="s">
        <v>41</v>
      </c>
      <c r="L369" s="1" t="b">
        <v>1</v>
      </c>
    </row>
    <row r="370" spans="1:12" x14ac:dyDescent="0.3">
      <c r="A370" s="1" t="s">
        <v>705</v>
      </c>
      <c r="B370" s="1" t="s">
        <v>59</v>
      </c>
      <c r="C370" s="1" t="s">
        <v>38</v>
      </c>
      <c r="D370" s="1">
        <v>40</v>
      </c>
      <c r="E370" s="1" t="s">
        <v>56</v>
      </c>
      <c r="F370" s="1" t="s">
        <v>16</v>
      </c>
      <c r="G370" s="2">
        <v>45024</v>
      </c>
      <c r="H370" s="1">
        <v>96011.55</v>
      </c>
      <c r="I370" s="1" t="s">
        <v>61</v>
      </c>
      <c r="J370" s="1">
        <v>-2312447314</v>
      </c>
      <c r="K370" s="1" t="s">
        <v>18</v>
      </c>
      <c r="L370" s="1" t="b">
        <v>1</v>
      </c>
    </row>
    <row r="371" spans="1:12" x14ac:dyDescent="0.3">
      <c r="A371" s="1" t="s">
        <v>706</v>
      </c>
      <c r="B371" s="1" t="s">
        <v>59</v>
      </c>
      <c r="C371" s="1" t="s">
        <v>14</v>
      </c>
      <c r="D371" s="1">
        <v>40</v>
      </c>
      <c r="E371" s="1" t="s">
        <v>74</v>
      </c>
      <c r="F371" s="1" t="s">
        <v>33</v>
      </c>
      <c r="G371" s="2">
        <v>44105</v>
      </c>
      <c r="H371" s="1">
        <v>99331.49</v>
      </c>
      <c r="I371" s="1" t="s">
        <v>63</v>
      </c>
      <c r="J371" s="1">
        <v>-8477686341</v>
      </c>
      <c r="K371" s="1" t="s">
        <v>23</v>
      </c>
      <c r="L371" s="1" t="b">
        <v>0</v>
      </c>
    </row>
    <row r="372" spans="1:12" x14ac:dyDescent="0.3">
      <c r="A372" s="1" t="s">
        <v>707</v>
      </c>
      <c r="B372" s="1" t="s">
        <v>13</v>
      </c>
      <c r="C372" s="1" t="s">
        <v>20</v>
      </c>
      <c r="D372" s="1"/>
      <c r="E372" s="1" t="s">
        <v>95</v>
      </c>
      <c r="F372" s="1" t="s">
        <v>16</v>
      </c>
      <c r="G372" s="1" t="s">
        <v>541</v>
      </c>
      <c r="H372" s="1">
        <v>72818.94</v>
      </c>
      <c r="I372" s="1" t="s">
        <v>22</v>
      </c>
      <c r="J372" s="1">
        <v>-3461994236</v>
      </c>
      <c r="K372" s="1" t="s">
        <v>30</v>
      </c>
      <c r="L372" s="1" t="b">
        <v>1</v>
      </c>
    </row>
    <row r="373" spans="1:12" x14ac:dyDescent="0.3">
      <c r="A373" s="1" t="s">
        <v>708</v>
      </c>
      <c r="B373" s="1" t="s">
        <v>32</v>
      </c>
      <c r="C373" s="1" t="s">
        <v>43</v>
      </c>
      <c r="D373" s="1">
        <v>40</v>
      </c>
      <c r="E373" s="1" t="s">
        <v>219</v>
      </c>
      <c r="F373" s="1" t="s">
        <v>33</v>
      </c>
      <c r="G373" s="2">
        <v>45112</v>
      </c>
      <c r="H373" s="1">
        <v>77204.75</v>
      </c>
      <c r="I373" s="1" t="s">
        <v>296</v>
      </c>
      <c r="J373" s="1">
        <v>-6769459195</v>
      </c>
      <c r="K373" s="1" t="s">
        <v>30</v>
      </c>
      <c r="L373" s="1" t="b">
        <v>1</v>
      </c>
    </row>
    <row r="374" spans="1:12" x14ac:dyDescent="0.3">
      <c r="A374" s="1" t="s">
        <v>709</v>
      </c>
      <c r="B374" s="1" t="s">
        <v>13</v>
      </c>
      <c r="C374" s="1" t="s">
        <v>55</v>
      </c>
      <c r="D374" s="1">
        <v>35</v>
      </c>
      <c r="E374" s="1" t="s">
        <v>212</v>
      </c>
      <c r="F374" s="1" t="s">
        <v>28</v>
      </c>
      <c r="G374" s="1" t="s">
        <v>710</v>
      </c>
      <c r="H374" s="1">
        <v>106961.68</v>
      </c>
      <c r="I374" s="1" t="s">
        <v>199</v>
      </c>
      <c r="J374" s="1">
        <v>-6395517207</v>
      </c>
      <c r="K374" s="1" t="s">
        <v>41</v>
      </c>
      <c r="L374" s="1" t="b">
        <v>0</v>
      </c>
    </row>
    <row r="375" spans="1:12" x14ac:dyDescent="0.3">
      <c r="A375" s="1" t="s">
        <v>711</v>
      </c>
      <c r="B375" s="1" t="s">
        <v>32</v>
      </c>
      <c r="C375" s="1" t="s">
        <v>43</v>
      </c>
      <c r="D375" s="1"/>
      <c r="E375" s="1" t="s">
        <v>44</v>
      </c>
      <c r="F375" s="1" t="s">
        <v>28</v>
      </c>
      <c r="G375" s="2">
        <v>43840</v>
      </c>
      <c r="H375" s="1">
        <v>71923</v>
      </c>
      <c r="I375" s="1" t="s">
        <v>296</v>
      </c>
      <c r="J375" s="1">
        <v>-4964985600</v>
      </c>
      <c r="K375" s="1" t="s">
        <v>30</v>
      </c>
      <c r="L375" s="1" t="b">
        <v>1</v>
      </c>
    </row>
    <row r="376" spans="1:12" x14ac:dyDescent="0.3">
      <c r="A376" s="1" t="s">
        <v>712</v>
      </c>
      <c r="B376" s="1" t="s">
        <v>13</v>
      </c>
      <c r="C376" s="1" t="s">
        <v>122</v>
      </c>
      <c r="D376" s="1">
        <v>30</v>
      </c>
      <c r="E376" s="1" t="s">
        <v>149</v>
      </c>
      <c r="F376" s="1" t="s">
        <v>16</v>
      </c>
      <c r="G376" s="2">
        <v>44906</v>
      </c>
      <c r="H376" s="1">
        <v>77192.429999999993</v>
      </c>
      <c r="I376" s="1" t="s">
        <v>123</v>
      </c>
      <c r="J376" s="1">
        <v>-2562531354</v>
      </c>
      <c r="K376" s="1" t="s">
        <v>23</v>
      </c>
      <c r="L376" s="1" t="b">
        <v>0</v>
      </c>
    </row>
    <row r="377" spans="1:12" x14ac:dyDescent="0.3">
      <c r="A377" s="1" t="s">
        <v>713</v>
      </c>
      <c r="B377" s="1" t="s">
        <v>69</v>
      </c>
      <c r="C377" s="1" t="s">
        <v>20</v>
      </c>
      <c r="D377" s="1">
        <v>40</v>
      </c>
      <c r="E377" s="1" t="s">
        <v>205</v>
      </c>
      <c r="F377" s="1" t="s">
        <v>28</v>
      </c>
      <c r="G377" s="2">
        <v>45047</v>
      </c>
      <c r="H377" s="1">
        <v>98540.3</v>
      </c>
      <c r="I377" s="1" t="s">
        <v>201</v>
      </c>
      <c r="J377" s="1">
        <v>-2510505378</v>
      </c>
      <c r="K377" s="1" t="s">
        <v>30</v>
      </c>
      <c r="L377" s="1" t="b">
        <v>0</v>
      </c>
    </row>
    <row r="378" spans="1:12" x14ac:dyDescent="0.3">
      <c r="A378" s="1" t="s">
        <v>714</v>
      </c>
      <c r="B378" s="1" t="s">
        <v>54</v>
      </c>
      <c r="C378" s="1" t="s">
        <v>20</v>
      </c>
      <c r="D378" s="1"/>
      <c r="E378" s="1" t="s">
        <v>205</v>
      </c>
      <c r="F378" s="1" t="s">
        <v>33</v>
      </c>
      <c r="G378" s="1" t="s">
        <v>715</v>
      </c>
      <c r="H378" s="1">
        <v>63096.9</v>
      </c>
      <c r="I378" s="1" t="s">
        <v>125</v>
      </c>
      <c r="J378" s="1">
        <v>-5381649382</v>
      </c>
      <c r="K378" s="1" t="s">
        <v>18</v>
      </c>
      <c r="L378" s="1" t="b">
        <v>0</v>
      </c>
    </row>
    <row r="379" spans="1:12" x14ac:dyDescent="0.3">
      <c r="A379" s="1" t="s">
        <v>716</v>
      </c>
      <c r="B379" s="1" t="s">
        <v>25</v>
      </c>
      <c r="C379" s="1" t="s">
        <v>122</v>
      </c>
      <c r="D379" s="1">
        <v>35</v>
      </c>
      <c r="E379" s="1" t="s">
        <v>39</v>
      </c>
      <c r="F379" s="1" t="s">
        <v>16</v>
      </c>
      <c r="G379" s="2">
        <v>44257</v>
      </c>
      <c r="H379" s="1">
        <v>107065.12</v>
      </c>
      <c r="I379" s="1" t="s">
        <v>182</v>
      </c>
      <c r="J379" s="1">
        <v>-1849196654</v>
      </c>
      <c r="K379" s="1" t="s">
        <v>18</v>
      </c>
      <c r="L379" s="1" t="b">
        <v>0</v>
      </c>
    </row>
    <row r="380" spans="1:12" x14ac:dyDescent="0.3">
      <c r="A380" s="1" t="s">
        <v>717</v>
      </c>
      <c r="B380" s="1" t="s">
        <v>65</v>
      </c>
      <c r="C380" s="1" t="s">
        <v>55</v>
      </c>
      <c r="D380" s="1">
        <v>40</v>
      </c>
      <c r="E380" s="1" t="s">
        <v>230</v>
      </c>
      <c r="F380" s="1" t="s">
        <v>33</v>
      </c>
      <c r="G380" s="1" t="s">
        <v>718</v>
      </c>
      <c r="H380" s="1">
        <v>108792.43</v>
      </c>
      <c r="I380" s="1" t="s">
        <v>113</v>
      </c>
      <c r="J380" s="1">
        <v>-3307704610</v>
      </c>
      <c r="K380" s="1" t="s">
        <v>41</v>
      </c>
      <c r="L380" s="1" t="b">
        <v>1</v>
      </c>
    </row>
    <row r="381" spans="1:12" x14ac:dyDescent="0.3">
      <c r="A381" s="1" t="s">
        <v>719</v>
      </c>
      <c r="B381" s="1" t="s">
        <v>13</v>
      </c>
      <c r="C381" s="1" t="s">
        <v>122</v>
      </c>
      <c r="D381" s="1"/>
      <c r="E381" s="1" t="s">
        <v>60</v>
      </c>
      <c r="F381" s="1" t="s">
        <v>33</v>
      </c>
      <c r="G381" s="2">
        <v>44015</v>
      </c>
      <c r="H381" s="1">
        <v>69239.7</v>
      </c>
      <c r="I381" s="1" t="s">
        <v>123</v>
      </c>
      <c r="J381" s="1">
        <v>-7295963903</v>
      </c>
      <c r="K381" s="1" t="s">
        <v>23</v>
      </c>
      <c r="L381" s="1" t="b">
        <v>0</v>
      </c>
    </row>
    <row r="382" spans="1:12" x14ac:dyDescent="0.3">
      <c r="A382" s="1" t="s">
        <v>720</v>
      </c>
      <c r="B382" s="1" t="s">
        <v>54</v>
      </c>
      <c r="C382" s="1" t="s">
        <v>43</v>
      </c>
      <c r="D382" s="1">
        <v>40</v>
      </c>
      <c r="E382" s="1" t="s">
        <v>219</v>
      </c>
      <c r="F382" s="1" t="s">
        <v>33</v>
      </c>
      <c r="G382" s="1" t="s">
        <v>721</v>
      </c>
      <c r="H382" s="1">
        <v>85756.42</v>
      </c>
      <c r="I382" s="1" t="s">
        <v>87</v>
      </c>
      <c r="J382" s="1">
        <v>-907426087</v>
      </c>
      <c r="K382" s="1" t="s">
        <v>18</v>
      </c>
      <c r="L382" s="1" t="b">
        <v>1</v>
      </c>
    </row>
    <row r="383" spans="1:12" x14ac:dyDescent="0.3">
      <c r="A383" s="1" t="s">
        <v>722</v>
      </c>
      <c r="B383" s="1" t="s">
        <v>32</v>
      </c>
      <c r="C383" s="1" t="s">
        <v>92</v>
      </c>
      <c r="D383" s="1"/>
      <c r="E383" s="1" t="s">
        <v>192</v>
      </c>
      <c r="F383" s="1" t="s">
        <v>16</v>
      </c>
      <c r="G383" s="2">
        <v>45416</v>
      </c>
      <c r="H383" s="1">
        <v>100328.62</v>
      </c>
      <c r="I383" s="1" t="s">
        <v>263</v>
      </c>
      <c r="J383" s="1">
        <v>-501716444</v>
      </c>
      <c r="K383" s="1" t="s">
        <v>18</v>
      </c>
      <c r="L383" s="1" t="b">
        <v>1</v>
      </c>
    </row>
    <row r="384" spans="1:12" x14ac:dyDescent="0.3">
      <c r="A384" s="1" t="s">
        <v>723</v>
      </c>
      <c r="B384" s="1" t="s">
        <v>69</v>
      </c>
      <c r="C384" s="1" t="s">
        <v>20</v>
      </c>
      <c r="D384" s="1">
        <v>25</v>
      </c>
      <c r="E384" s="1" t="s">
        <v>328</v>
      </c>
      <c r="F384" s="1" t="s">
        <v>16</v>
      </c>
      <c r="G384" s="2">
        <v>44205</v>
      </c>
      <c r="H384" s="1">
        <v>111236.69</v>
      </c>
      <c r="I384" s="1" t="s">
        <v>201</v>
      </c>
      <c r="J384" s="1">
        <v>-5618579063</v>
      </c>
      <c r="K384" s="1" t="s">
        <v>23</v>
      </c>
      <c r="L384" s="1" t="b">
        <v>1</v>
      </c>
    </row>
    <row r="385" spans="1:12" x14ac:dyDescent="0.3">
      <c r="A385" s="1" t="s">
        <v>724</v>
      </c>
      <c r="B385" s="1" t="s">
        <v>32</v>
      </c>
      <c r="C385" s="1" t="s">
        <v>26</v>
      </c>
      <c r="D385" s="1">
        <v>35</v>
      </c>
      <c r="E385" s="1" t="s">
        <v>39</v>
      </c>
      <c r="F385" s="1" t="s">
        <v>16</v>
      </c>
      <c r="G385" s="2">
        <v>45478</v>
      </c>
      <c r="H385" s="1">
        <v>106832.22</v>
      </c>
      <c r="I385" s="1" t="s">
        <v>277</v>
      </c>
      <c r="J385" s="1">
        <v>-7715910299</v>
      </c>
      <c r="K385" s="1" t="s">
        <v>30</v>
      </c>
      <c r="L385" s="1" t="b">
        <v>1</v>
      </c>
    </row>
    <row r="386" spans="1:12" x14ac:dyDescent="0.3">
      <c r="A386" s="1" t="s">
        <v>725</v>
      </c>
      <c r="B386" s="1" t="s">
        <v>37</v>
      </c>
      <c r="C386" s="1" t="s">
        <v>26</v>
      </c>
      <c r="D386" s="1"/>
      <c r="E386" s="1" t="s">
        <v>230</v>
      </c>
      <c r="F386" s="1" t="s">
        <v>16</v>
      </c>
      <c r="G386" s="1" t="s">
        <v>726</v>
      </c>
      <c r="H386" s="1">
        <v>59746.45</v>
      </c>
      <c r="I386" s="1" t="s">
        <v>47</v>
      </c>
      <c r="J386" s="1">
        <v>-2156321357</v>
      </c>
      <c r="K386" s="1" t="s">
        <v>30</v>
      </c>
      <c r="L386" s="1" t="b">
        <v>1</v>
      </c>
    </row>
    <row r="387" spans="1:12" x14ac:dyDescent="0.3">
      <c r="A387" s="1" t="s">
        <v>727</v>
      </c>
      <c r="B387" s="1" t="s">
        <v>59</v>
      </c>
      <c r="C387" s="1" t="s">
        <v>43</v>
      </c>
      <c r="D387" s="1">
        <v>25</v>
      </c>
      <c r="E387" s="1" t="s">
        <v>177</v>
      </c>
      <c r="F387" s="1" t="s">
        <v>28</v>
      </c>
      <c r="G387" s="1" t="s">
        <v>728</v>
      </c>
      <c r="H387" s="1">
        <v>91780.04</v>
      </c>
      <c r="I387" s="1" t="s">
        <v>101</v>
      </c>
      <c r="J387" s="1">
        <v>-40104144</v>
      </c>
      <c r="K387" s="1" t="s">
        <v>41</v>
      </c>
      <c r="L387" s="1" t="b">
        <v>1</v>
      </c>
    </row>
    <row r="388" spans="1:12" x14ac:dyDescent="0.3">
      <c r="A388" s="1" t="s">
        <v>729</v>
      </c>
      <c r="B388" s="1" t="s">
        <v>32</v>
      </c>
      <c r="C388" s="1" t="s">
        <v>38</v>
      </c>
      <c r="D388" s="1">
        <v>35</v>
      </c>
      <c r="E388" s="1" t="s">
        <v>177</v>
      </c>
      <c r="F388" s="1" t="s">
        <v>28</v>
      </c>
      <c r="G388" s="1" t="s">
        <v>730</v>
      </c>
      <c r="H388" s="1">
        <v>107062.66</v>
      </c>
      <c r="I388" s="1" t="s">
        <v>141</v>
      </c>
      <c r="J388" s="1">
        <v>-9642297124</v>
      </c>
      <c r="K388" s="1" t="s">
        <v>30</v>
      </c>
      <c r="L388" s="1" t="b">
        <v>1</v>
      </c>
    </row>
    <row r="389" spans="1:12" x14ac:dyDescent="0.3">
      <c r="A389" s="1" t="s">
        <v>731</v>
      </c>
      <c r="B389" s="1" t="s">
        <v>69</v>
      </c>
      <c r="C389" s="1" t="s">
        <v>14</v>
      </c>
      <c r="D389" s="1">
        <v>25</v>
      </c>
      <c r="E389" s="1" t="s">
        <v>149</v>
      </c>
      <c r="F389" s="1" t="s">
        <v>16</v>
      </c>
      <c r="G389" s="2">
        <v>45119</v>
      </c>
      <c r="H389" s="1">
        <v>110625.52</v>
      </c>
      <c r="I389" s="1" t="s">
        <v>235</v>
      </c>
      <c r="J389" s="1">
        <v>-2967188396</v>
      </c>
      <c r="K389" s="1" t="s">
        <v>23</v>
      </c>
      <c r="L389" s="1" t="b">
        <v>1</v>
      </c>
    </row>
    <row r="390" spans="1:12" x14ac:dyDescent="0.3">
      <c r="A390" s="1" t="s">
        <v>732</v>
      </c>
      <c r="B390" s="1" t="s">
        <v>37</v>
      </c>
      <c r="C390" s="1" t="s">
        <v>122</v>
      </c>
      <c r="D390" s="1">
        <v>30</v>
      </c>
      <c r="E390" s="1" t="s">
        <v>230</v>
      </c>
      <c r="F390" s="1" t="s">
        <v>33</v>
      </c>
      <c r="G390" s="1" t="s">
        <v>733</v>
      </c>
      <c r="H390" s="1">
        <v>90419.79</v>
      </c>
      <c r="I390" s="1" t="s">
        <v>137</v>
      </c>
      <c r="J390" s="1">
        <v>-7457314414</v>
      </c>
      <c r="K390" s="1" t="s">
        <v>18</v>
      </c>
      <c r="L390" s="1" t="b">
        <v>1</v>
      </c>
    </row>
    <row r="391" spans="1:12" x14ac:dyDescent="0.3">
      <c r="A391" s="1" t="s">
        <v>734</v>
      </c>
      <c r="B391" s="1" t="s">
        <v>69</v>
      </c>
      <c r="C391" s="1" t="s">
        <v>122</v>
      </c>
      <c r="D391" s="1">
        <v>40</v>
      </c>
      <c r="E391" s="1" t="s">
        <v>21</v>
      </c>
      <c r="F391" s="1" t="s">
        <v>28</v>
      </c>
      <c r="G391" s="1" t="s">
        <v>735</v>
      </c>
      <c r="H391" s="1">
        <v>111608.76</v>
      </c>
      <c r="I391" s="1" t="s">
        <v>135</v>
      </c>
      <c r="J391" s="1">
        <v>-8331170302</v>
      </c>
      <c r="K391" s="1" t="s">
        <v>30</v>
      </c>
      <c r="L391" s="1" t="b">
        <v>1</v>
      </c>
    </row>
    <row r="392" spans="1:12" x14ac:dyDescent="0.3">
      <c r="A392" s="1" t="s">
        <v>736</v>
      </c>
      <c r="B392" s="1" t="s">
        <v>32</v>
      </c>
      <c r="C392" s="1" t="s">
        <v>38</v>
      </c>
      <c r="D392" s="1">
        <v>35</v>
      </c>
      <c r="E392" s="1" t="s">
        <v>112</v>
      </c>
      <c r="F392" s="1" t="s">
        <v>33</v>
      </c>
      <c r="G392" s="2">
        <v>45081</v>
      </c>
      <c r="H392" s="1">
        <v>50173.120000000003</v>
      </c>
      <c r="I392" s="1" t="s">
        <v>141</v>
      </c>
      <c r="J392" s="1">
        <v>-7637153987</v>
      </c>
      <c r="K392" s="1" t="s">
        <v>41</v>
      </c>
      <c r="L392" s="1" t="b">
        <v>0</v>
      </c>
    </row>
    <row r="393" spans="1:12" x14ac:dyDescent="0.3">
      <c r="A393" s="1" t="s">
        <v>737</v>
      </c>
      <c r="B393" s="1" t="s">
        <v>13</v>
      </c>
      <c r="C393" s="1" t="s">
        <v>38</v>
      </c>
      <c r="D393" s="1">
        <v>40</v>
      </c>
      <c r="E393" s="1" t="s">
        <v>328</v>
      </c>
      <c r="F393" s="1" t="s">
        <v>28</v>
      </c>
      <c r="G393" s="2">
        <v>44621</v>
      </c>
      <c r="H393" s="1">
        <v>109507.44</v>
      </c>
      <c r="I393" s="1" t="s">
        <v>144</v>
      </c>
      <c r="J393" s="1">
        <v>-5472812355</v>
      </c>
      <c r="K393" s="1" t="s">
        <v>30</v>
      </c>
      <c r="L393" s="1" t="b">
        <v>0</v>
      </c>
    </row>
    <row r="394" spans="1:12" x14ac:dyDescent="0.3">
      <c r="A394" s="1" t="s">
        <v>738</v>
      </c>
      <c r="B394" s="1" t="s">
        <v>69</v>
      </c>
      <c r="C394" s="1" t="s">
        <v>43</v>
      </c>
      <c r="D394" s="1">
        <v>30</v>
      </c>
      <c r="E394" s="1" t="s">
        <v>227</v>
      </c>
      <c r="F394" s="1" t="s">
        <v>33</v>
      </c>
      <c r="G394" s="2">
        <v>44262</v>
      </c>
      <c r="H394" s="1">
        <v>72600.56</v>
      </c>
      <c r="I394" s="1" t="s">
        <v>83</v>
      </c>
      <c r="J394" s="1">
        <v>-7983631461</v>
      </c>
      <c r="K394" s="1" t="s">
        <v>23</v>
      </c>
      <c r="L394" s="1" t="b">
        <v>0</v>
      </c>
    </row>
    <row r="395" spans="1:12" x14ac:dyDescent="0.3">
      <c r="A395" s="1" t="s">
        <v>739</v>
      </c>
      <c r="B395" s="1" t="s">
        <v>54</v>
      </c>
      <c r="C395" s="1" t="s">
        <v>43</v>
      </c>
      <c r="D395" s="1"/>
      <c r="E395" s="1" t="s">
        <v>70</v>
      </c>
      <c r="F395" s="1" t="s">
        <v>28</v>
      </c>
      <c r="G395" s="2">
        <v>45569</v>
      </c>
      <c r="H395" s="1">
        <v>53388.65</v>
      </c>
      <c r="I395" s="1" t="s">
        <v>87</v>
      </c>
      <c r="J395" s="1">
        <v>-4912711306</v>
      </c>
      <c r="K395" s="1" t="s">
        <v>41</v>
      </c>
      <c r="L395" s="1" t="b">
        <v>1</v>
      </c>
    </row>
    <row r="396" spans="1:12" x14ac:dyDescent="0.3">
      <c r="A396" s="1" t="s">
        <v>740</v>
      </c>
      <c r="B396" s="1" t="s">
        <v>65</v>
      </c>
      <c r="C396" s="1" t="s">
        <v>38</v>
      </c>
      <c r="D396" s="1">
        <v>25</v>
      </c>
      <c r="E396" s="1" t="s">
        <v>60</v>
      </c>
      <c r="F396" s="1" t="s">
        <v>33</v>
      </c>
      <c r="G396" s="1" t="s">
        <v>741</v>
      </c>
      <c r="H396" s="1">
        <v>50047.32</v>
      </c>
      <c r="I396" s="1" t="s">
        <v>67</v>
      </c>
      <c r="J396" s="1">
        <v>-2407875417</v>
      </c>
      <c r="K396" s="1" t="s">
        <v>30</v>
      </c>
      <c r="L396" s="1" t="b">
        <v>0</v>
      </c>
    </row>
    <row r="397" spans="1:12" x14ac:dyDescent="0.3">
      <c r="A397" s="1" t="s">
        <v>742</v>
      </c>
      <c r="B397" s="1" t="s">
        <v>59</v>
      </c>
      <c r="C397" s="1" t="s">
        <v>20</v>
      </c>
      <c r="D397" s="1">
        <v>30</v>
      </c>
      <c r="E397" s="1" t="s">
        <v>15</v>
      </c>
      <c r="F397" s="1" t="s">
        <v>16</v>
      </c>
      <c r="G397" s="1" t="s">
        <v>743</v>
      </c>
      <c r="H397" s="1">
        <v>115290.79</v>
      </c>
      <c r="I397" s="1" t="s">
        <v>225</v>
      </c>
      <c r="J397" s="1">
        <v>-1563268684</v>
      </c>
      <c r="K397" s="1" t="s">
        <v>41</v>
      </c>
      <c r="L397" s="1" t="b">
        <v>0</v>
      </c>
    </row>
    <row r="398" spans="1:12" x14ac:dyDescent="0.3">
      <c r="A398" s="1" t="s">
        <v>744</v>
      </c>
      <c r="B398" s="1" t="s">
        <v>37</v>
      </c>
      <c r="C398" s="1" t="s">
        <v>43</v>
      </c>
      <c r="D398" s="1">
        <v>35</v>
      </c>
      <c r="E398" s="1" t="s">
        <v>268</v>
      </c>
      <c r="F398" s="1" t="s">
        <v>28</v>
      </c>
      <c r="G398" s="1" t="s">
        <v>638</v>
      </c>
      <c r="H398" s="1">
        <v>61586.76</v>
      </c>
      <c r="I398" s="1" t="s">
        <v>180</v>
      </c>
      <c r="J398" s="1">
        <v>-745106633</v>
      </c>
      <c r="K398" s="1" t="s">
        <v>23</v>
      </c>
      <c r="L398" s="1" t="b">
        <v>0</v>
      </c>
    </row>
    <row r="399" spans="1:12" x14ac:dyDescent="0.3">
      <c r="A399" s="1" t="s">
        <v>745</v>
      </c>
      <c r="B399" s="1" t="s">
        <v>32</v>
      </c>
      <c r="C399" s="1" t="s">
        <v>92</v>
      </c>
      <c r="D399" s="1">
        <v>30</v>
      </c>
      <c r="E399" s="1" t="s">
        <v>100</v>
      </c>
      <c r="F399" s="1" t="s">
        <v>16</v>
      </c>
      <c r="G399" s="2">
        <v>45272</v>
      </c>
      <c r="H399" s="1">
        <v>56662.86</v>
      </c>
      <c r="I399" s="1" t="s">
        <v>263</v>
      </c>
      <c r="J399" s="1">
        <v>-3629489785</v>
      </c>
      <c r="K399" s="1" t="s">
        <v>18</v>
      </c>
      <c r="L399" s="1" t="b">
        <v>1</v>
      </c>
    </row>
    <row r="400" spans="1:12" x14ac:dyDescent="0.3">
      <c r="A400" s="1" t="s">
        <v>746</v>
      </c>
      <c r="B400" s="1" t="s">
        <v>13</v>
      </c>
      <c r="C400" s="1" t="s">
        <v>43</v>
      </c>
      <c r="D400" s="1">
        <v>30</v>
      </c>
      <c r="E400" s="1" t="s">
        <v>109</v>
      </c>
      <c r="F400" s="1" t="s">
        <v>28</v>
      </c>
      <c r="G400" s="1" t="s">
        <v>747</v>
      </c>
      <c r="H400" s="1"/>
      <c r="I400" s="1" t="s">
        <v>153</v>
      </c>
      <c r="J400" s="1">
        <v>-1031310093</v>
      </c>
      <c r="K400" s="1" t="s">
        <v>23</v>
      </c>
      <c r="L400" s="1" t="b">
        <v>1</v>
      </c>
    </row>
    <row r="401" spans="1:12" x14ac:dyDescent="0.3">
      <c r="A401" s="1" t="s">
        <v>748</v>
      </c>
      <c r="B401" s="1" t="s">
        <v>37</v>
      </c>
      <c r="C401" s="1" t="s">
        <v>122</v>
      </c>
      <c r="D401" s="1">
        <v>25</v>
      </c>
      <c r="E401" s="1" t="s">
        <v>100</v>
      </c>
      <c r="F401" s="1" t="s">
        <v>16</v>
      </c>
      <c r="G401" s="2">
        <v>44690</v>
      </c>
      <c r="H401" s="1">
        <v>54957.98</v>
      </c>
      <c r="I401" s="1" t="s">
        <v>137</v>
      </c>
      <c r="J401" s="1">
        <v>-3181439665</v>
      </c>
      <c r="K401" s="1" t="s">
        <v>23</v>
      </c>
      <c r="L401" s="1" t="b">
        <v>1</v>
      </c>
    </row>
    <row r="402" spans="1:12" x14ac:dyDescent="0.3">
      <c r="A402" s="1" t="s">
        <v>749</v>
      </c>
      <c r="B402" s="1" t="s">
        <v>13</v>
      </c>
      <c r="C402" s="1" t="s">
        <v>43</v>
      </c>
      <c r="D402" s="1">
        <v>25</v>
      </c>
      <c r="E402" s="1" t="s">
        <v>146</v>
      </c>
      <c r="F402" s="1" t="s">
        <v>33</v>
      </c>
      <c r="G402" s="2">
        <v>44022</v>
      </c>
      <c r="H402" s="1">
        <v>76790.47</v>
      </c>
      <c r="I402" s="1" t="s">
        <v>153</v>
      </c>
      <c r="J402" s="1">
        <v>-1347323548</v>
      </c>
      <c r="K402" s="1" t="s">
        <v>23</v>
      </c>
      <c r="L402" s="1" t="b">
        <v>1</v>
      </c>
    </row>
    <row r="403" spans="1:12" x14ac:dyDescent="0.3">
      <c r="A403" s="1" t="s">
        <v>750</v>
      </c>
      <c r="B403" s="1" t="s">
        <v>54</v>
      </c>
      <c r="C403" s="1" t="s">
        <v>20</v>
      </c>
      <c r="D403" s="1">
        <v>30</v>
      </c>
      <c r="E403" s="1" t="s">
        <v>95</v>
      </c>
      <c r="F403" s="1" t="s">
        <v>28</v>
      </c>
      <c r="G403" s="1" t="s">
        <v>751</v>
      </c>
      <c r="H403" s="1">
        <v>92722.35</v>
      </c>
      <c r="I403" s="1" t="s">
        <v>125</v>
      </c>
      <c r="J403" s="1">
        <v>-4012897431</v>
      </c>
      <c r="K403" s="1" t="s">
        <v>23</v>
      </c>
      <c r="L403" s="1" t="b">
        <v>0</v>
      </c>
    </row>
    <row r="404" spans="1:12" x14ac:dyDescent="0.3">
      <c r="A404" s="1" t="s">
        <v>752</v>
      </c>
      <c r="B404" s="1" t="s">
        <v>37</v>
      </c>
      <c r="C404" s="1" t="s">
        <v>38</v>
      </c>
      <c r="D404" s="1">
        <v>30</v>
      </c>
      <c r="E404" s="1" t="s">
        <v>328</v>
      </c>
      <c r="F404" s="1" t="s">
        <v>16</v>
      </c>
      <c r="G404" s="1" t="s">
        <v>753</v>
      </c>
      <c r="H404" s="1">
        <v>93125.32</v>
      </c>
      <c r="I404" s="1" t="s">
        <v>40</v>
      </c>
      <c r="J404" s="1">
        <v>-5122572075</v>
      </c>
      <c r="K404" s="1" t="s">
        <v>18</v>
      </c>
      <c r="L404" s="1" t="b">
        <v>0</v>
      </c>
    </row>
    <row r="405" spans="1:12" x14ac:dyDescent="0.3">
      <c r="A405" s="1" t="s">
        <v>754</v>
      </c>
      <c r="B405" s="1" t="s">
        <v>59</v>
      </c>
      <c r="C405" s="1" t="s">
        <v>122</v>
      </c>
      <c r="D405" s="1">
        <v>25</v>
      </c>
      <c r="E405" s="1" t="s">
        <v>60</v>
      </c>
      <c r="F405" s="1" t="s">
        <v>16</v>
      </c>
      <c r="G405" s="1" t="s">
        <v>755</v>
      </c>
      <c r="H405" s="1">
        <v>101100.64</v>
      </c>
      <c r="I405" s="1" t="s">
        <v>340</v>
      </c>
      <c r="J405" s="1">
        <v>-5024120956</v>
      </c>
      <c r="K405" s="1" t="s">
        <v>18</v>
      </c>
      <c r="L405" s="1" t="b">
        <v>0</v>
      </c>
    </row>
    <row r="406" spans="1:12" x14ac:dyDescent="0.3">
      <c r="A406" s="1" t="s">
        <v>756</v>
      </c>
      <c r="B406" s="1" t="s">
        <v>69</v>
      </c>
      <c r="C406" s="1" t="s">
        <v>43</v>
      </c>
      <c r="D406" s="1">
        <v>35</v>
      </c>
      <c r="E406" s="1" t="s">
        <v>196</v>
      </c>
      <c r="F406" s="1" t="s">
        <v>33</v>
      </c>
      <c r="G406" s="1" t="s">
        <v>757</v>
      </c>
      <c r="H406" s="1">
        <v>55897.41</v>
      </c>
      <c r="I406" s="1" t="s">
        <v>83</v>
      </c>
      <c r="J406" s="1">
        <v>-9073710093</v>
      </c>
      <c r="K406" s="1" t="s">
        <v>41</v>
      </c>
      <c r="L406" s="1" t="b">
        <v>0</v>
      </c>
    </row>
    <row r="407" spans="1:12" x14ac:dyDescent="0.3">
      <c r="A407" s="1" t="s">
        <v>758</v>
      </c>
      <c r="B407" s="1" t="s">
        <v>32</v>
      </c>
      <c r="C407" s="1" t="s">
        <v>20</v>
      </c>
      <c r="D407" s="1">
        <v>25</v>
      </c>
      <c r="E407" s="1" t="s">
        <v>15</v>
      </c>
      <c r="F407" s="1" t="s">
        <v>16</v>
      </c>
      <c r="G407" s="1" t="s">
        <v>203</v>
      </c>
      <c r="H407" s="1">
        <v>92484.88</v>
      </c>
      <c r="I407" s="1" t="s">
        <v>155</v>
      </c>
      <c r="J407" s="1">
        <v>-3882211456</v>
      </c>
      <c r="K407" s="1" t="s">
        <v>30</v>
      </c>
      <c r="L407" s="1" t="b">
        <v>1</v>
      </c>
    </row>
    <row r="408" spans="1:12" x14ac:dyDescent="0.3">
      <c r="A408" s="1" t="s">
        <v>759</v>
      </c>
      <c r="B408" s="1" t="s">
        <v>69</v>
      </c>
      <c r="C408" s="1" t="s">
        <v>92</v>
      </c>
      <c r="D408" s="1">
        <v>35</v>
      </c>
      <c r="E408" s="1" t="s">
        <v>237</v>
      </c>
      <c r="F408" s="1" t="s">
        <v>16</v>
      </c>
      <c r="G408" s="2">
        <v>44844</v>
      </c>
      <c r="H408" s="1">
        <v>77011.990000000005</v>
      </c>
      <c r="I408" s="1" t="s">
        <v>168</v>
      </c>
      <c r="J408" s="1">
        <v>-7584745704</v>
      </c>
      <c r="K408" s="1" t="s">
        <v>18</v>
      </c>
      <c r="L408" s="1" t="b">
        <v>1</v>
      </c>
    </row>
    <row r="409" spans="1:12" x14ac:dyDescent="0.3">
      <c r="A409" s="1" t="s">
        <v>760</v>
      </c>
      <c r="B409" s="1" t="s">
        <v>13</v>
      </c>
      <c r="C409" s="1" t="s">
        <v>43</v>
      </c>
      <c r="D409" s="1"/>
      <c r="E409" s="1" t="s">
        <v>268</v>
      </c>
      <c r="F409" s="1" t="s">
        <v>33</v>
      </c>
      <c r="G409" s="1" t="s">
        <v>601</v>
      </c>
      <c r="H409" s="1">
        <v>77078.679999999993</v>
      </c>
      <c r="I409" s="1" t="s">
        <v>153</v>
      </c>
      <c r="J409" s="1">
        <v>-4589714801</v>
      </c>
      <c r="K409" s="1" t="s">
        <v>18</v>
      </c>
      <c r="L409" s="1" t="b">
        <v>1</v>
      </c>
    </row>
    <row r="410" spans="1:12" x14ac:dyDescent="0.3">
      <c r="A410" s="1" t="s">
        <v>761</v>
      </c>
      <c r="B410" s="1" t="s">
        <v>69</v>
      </c>
      <c r="C410" s="1" t="s">
        <v>20</v>
      </c>
      <c r="D410" s="1">
        <v>35</v>
      </c>
      <c r="E410" s="1" t="s">
        <v>219</v>
      </c>
      <c r="F410" s="1" t="s">
        <v>16</v>
      </c>
      <c r="G410" s="2">
        <v>45600</v>
      </c>
      <c r="H410" s="1">
        <v>82971.02</v>
      </c>
      <c r="I410" s="1" t="s">
        <v>201</v>
      </c>
      <c r="J410" s="1">
        <v>-6325703964</v>
      </c>
      <c r="K410" s="1" t="s">
        <v>30</v>
      </c>
      <c r="L410" s="1" t="b">
        <v>0</v>
      </c>
    </row>
    <row r="411" spans="1:12" x14ac:dyDescent="0.3">
      <c r="A411" s="1" t="s">
        <v>762</v>
      </c>
      <c r="B411" s="1" t="s">
        <v>13</v>
      </c>
      <c r="C411" s="1" t="s">
        <v>92</v>
      </c>
      <c r="D411" s="1">
        <v>25</v>
      </c>
      <c r="E411" s="1" t="s">
        <v>44</v>
      </c>
      <c r="F411" s="1" t="s">
        <v>16</v>
      </c>
      <c r="G411" s="1" t="s">
        <v>157</v>
      </c>
      <c r="H411" s="1">
        <v>65102.01</v>
      </c>
      <c r="I411" s="1" t="s">
        <v>93</v>
      </c>
      <c r="J411" s="1">
        <v>-3136148781</v>
      </c>
      <c r="K411" s="1" t="s">
        <v>18</v>
      </c>
      <c r="L411" s="1" t="b">
        <v>1</v>
      </c>
    </row>
    <row r="412" spans="1:12" x14ac:dyDescent="0.3">
      <c r="A412" s="1" t="s">
        <v>763</v>
      </c>
      <c r="B412" s="1" t="s">
        <v>69</v>
      </c>
      <c r="C412" s="1" t="s">
        <v>38</v>
      </c>
      <c r="D412" s="1"/>
      <c r="E412" s="1" t="s">
        <v>149</v>
      </c>
      <c r="F412" s="1" t="s">
        <v>28</v>
      </c>
      <c r="G412" s="1" t="s">
        <v>764</v>
      </c>
      <c r="H412" s="1">
        <v>103697.7</v>
      </c>
      <c r="I412" s="1" t="s">
        <v>71</v>
      </c>
      <c r="J412" s="1">
        <v>-4556964429</v>
      </c>
      <c r="K412" s="1" t="s">
        <v>23</v>
      </c>
      <c r="L412" s="1" t="b">
        <v>1</v>
      </c>
    </row>
    <row r="413" spans="1:12" x14ac:dyDescent="0.3">
      <c r="A413" s="1" t="s">
        <v>765</v>
      </c>
      <c r="B413" s="1" t="s">
        <v>69</v>
      </c>
      <c r="C413" s="1" t="s">
        <v>43</v>
      </c>
      <c r="D413" s="1">
        <v>25</v>
      </c>
      <c r="E413" s="1" t="s">
        <v>78</v>
      </c>
      <c r="F413" s="1" t="s">
        <v>28</v>
      </c>
      <c r="G413" s="1" t="s">
        <v>726</v>
      </c>
      <c r="H413" s="1">
        <v>60687.63</v>
      </c>
      <c r="I413" s="1" t="s">
        <v>83</v>
      </c>
      <c r="J413" s="1">
        <v>-9859167953</v>
      </c>
      <c r="K413" s="1" t="s">
        <v>23</v>
      </c>
      <c r="L413" s="1" t="b">
        <v>0</v>
      </c>
    </row>
    <row r="414" spans="1:12" x14ac:dyDescent="0.3">
      <c r="A414" s="1" t="s">
        <v>766</v>
      </c>
      <c r="B414" s="1" t="s">
        <v>13</v>
      </c>
      <c r="C414" s="1" t="s">
        <v>92</v>
      </c>
      <c r="D414" s="1"/>
      <c r="E414" s="1" t="s">
        <v>196</v>
      </c>
      <c r="F414" s="1" t="s">
        <v>28</v>
      </c>
      <c r="G414" s="1" t="s">
        <v>767</v>
      </c>
      <c r="H414" s="1">
        <v>77351.210000000006</v>
      </c>
      <c r="I414" s="1" t="s">
        <v>93</v>
      </c>
      <c r="J414" s="1">
        <v>-1072728497</v>
      </c>
      <c r="K414" s="1" t="s">
        <v>30</v>
      </c>
      <c r="L414" s="1" t="b">
        <v>0</v>
      </c>
    </row>
    <row r="415" spans="1:12" x14ac:dyDescent="0.3">
      <c r="A415" s="1" t="s">
        <v>768</v>
      </c>
      <c r="B415" s="1" t="s">
        <v>13</v>
      </c>
      <c r="C415" s="1" t="s">
        <v>122</v>
      </c>
      <c r="D415" s="1">
        <v>35</v>
      </c>
      <c r="E415" s="1" t="s">
        <v>230</v>
      </c>
      <c r="F415" s="1" t="s">
        <v>28</v>
      </c>
      <c r="G415" s="1" t="s">
        <v>769</v>
      </c>
      <c r="H415" s="1">
        <v>66704.62</v>
      </c>
      <c r="I415" s="1" t="s">
        <v>123</v>
      </c>
      <c r="J415" s="1">
        <v>-2474140702</v>
      </c>
      <c r="K415" s="1" t="s">
        <v>41</v>
      </c>
      <c r="L415" s="1" t="b">
        <v>1</v>
      </c>
    </row>
    <row r="416" spans="1:12" x14ac:dyDescent="0.3">
      <c r="A416" s="1" t="s">
        <v>770</v>
      </c>
      <c r="B416" s="1" t="s">
        <v>69</v>
      </c>
      <c r="C416" s="1" t="s">
        <v>38</v>
      </c>
      <c r="D416" s="1">
        <v>25</v>
      </c>
      <c r="E416" s="1" t="s">
        <v>265</v>
      </c>
      <c r="F416" s="1" t="s">
        <v>28</v>
      </c>
      <c r="G416" s="1" t="s">
        <v>771</v>
      </c>
      <c r="H416" s="1">
        <v>71650.3</v>
      </c>
      <c r="I416" s="1" t="s">
        <v>71</v>
      </c>
      <c r="J416" s="1">
        <v>-4910740649</v>
      </c>
      <c r="K416" s="1" t="s">
        <v>41</v>
      </c>
      <c r="L416" s="1" t="b">
        <v>1</v>
      </c>
    </row>
    <row r="417" spans="1:12" x14ac:dyDescent="0.3">
      <c r="A417" s="1" t="s">
        <v>772</v>
      </c>
      <c r="B417" s="1" t="s">
        <v>54</v>
      </c>
      <c r="C417" s="1" t="s">
        <v>122</v>
      </c>
      <c r="D417" s="1">
        <v>25</v>
      </c>
      <c r="E417" s="1" t="s">
        <v>85</v>
      </c>
      <c r="F417" s="1" t="s">
        <v>16</v>
      </c>
      <c r="G417" s="2">
        <v>45119</v>
      </c>
      <c r="H417" s="1">
        <v>50794.54</v>
      </c>
      <c r="I417" s="1" t="s">
        <v>194</v>
      </c>
      <c r="J417" s="1">
        <v>-425488213</v>
      </c>
      <c r="K417" s="1" t="s">
        <v>30</v>
      </c>
      <c r="L417" s="1" t="b">
        <v>1</v>
      </c>
    </row>
    <row r="418" spans="1:12" x14ac:dyDescent="0.3">
      <c r="A418" s="1" t="s">
        <v>773</v>
      </c>
      <c r="B418" s="1" t="s">
        <v>37</v>
      </c>
      <c r="C418" s="1" t="s">
        <v>26</v>
      </c>
      <c r="D418" s="1"/>
      <c r="E418" s="1" t="s">
        <v>219</v>
      </c>
      <c r="F418" s="1" t="s">
        <v>33</v>
      </c>
      <c r="G418" s="2">
        <v>44024</v>
      </c>
      <c r="H418" s="1">
        <v>76030.86</v>
      </c>
      <c r="I418" s="1" t="s">
        <v>47</v>
      </c>
      <c r="J418" s="1">
        <v>-2369143074</v>
      </c>
      <c r="K418" s="1" t="s">
        <v>30</v>
      </c>
      <c r="L418" s="1" t="b">
        <v>1</v>
      </c>
    </row>
    <row r="419" spans="1:12" x14ac:dyDescent="0.3">
      <c r="A419" s="1" t="s">
        <v>774</v>
      </c>
      <c r="B419" s="1" t="s">
        <v>32</v>
      </c>
      <c r="C419" s="1" t="s">
        <v>55</v>
      </c>
      <c r="D419" s="1">
        <v>25</v>
      </c>
      <c r="E419" s="1" t="s">
        <v>268</v>
      </c>
      <c r="F419" s="1" t="s">
        <v>33</v>
      </c>
      <c r="G419" s="2">
        <v>44507</v>
      </c>
      <c r="H419" s="1">
        <v>86669.79</v>
      </c>
      <c r="I419" s="1" t="s">
        <v>322</v>
      </c>
      <c r="J419" s="1">
        <v>-3666144941</v>
      </c>
      <c r="K419" s="1" t="s">
        <v>23</v>
      </c>
      <c r="L419" s="1" t="b">
        <v>1</v>
      </c>
    </row>
    <row r="420" spans="1:12" x14ac:dyDescent="0.3">
      <c r="A420" s="1" t="s">
        <v>775</v>
      </c>
      <c r="B420" s="1" t="s">
        <v>13</v>
      </c>
      <c r="C420" s="1" t="s">
        <v>43</v>
      </c>
      <c r="D420" s="1">
        <v>40</v>
      </c>
      <c r="E420" s="1" t="s">
        <v>265</v>
      </c>
      <c r="F420" s="1" t="s">
        <v>33</v>
      </c>
      <c r="G420" s="1" t="s">
        <v>776</v>
      </c>
      <c r="H420" s="1">
        <v>84972.7</v>
      </c>
      <c r="I420" s="1" t="s">
        <v>153</v>
      </c>
      <c r="J420" s="1">
        <v>-9659234267</v>
      </c>
      <c r="K420" s="1" t="s">
        <v>41</v>
      </c>
      <c r="L420" s="1" t="b">
        <v>1</v>
      </c>
    </row>
    <row r="421" spans="1:12" x14ac:dyDescent="0.3">
      <c r="A421" s="1" t="s">
        <v>777</v>
      </c>
      <c r="B421" s="1" t="s">
        <v>37</v>
      </c>
      <c r="C421" s="1" t="s">
        <v>92</v>
      </c>
      <c r="D421" s="1">
        <v>30</v>
      </c>
      <c r="E421" s="1" t="s">
        <v>139</v>
      </c>
      <c r="F421" s="1" t="s">
        <v>28</v>
      </c>
      <c r="G421" s="2">
        <v>45270</v>
      </c>
      <c r="H421" s="1">
        <v>100594.49</v>
      </c>
      <c r="I421" s="1" t="s">
        <v>110</v>
      </c>
      <c r="J421" s="1">
        <v>-3441497825</v>
      </c>
      <c r="K421" s="1" t="s">
        <v>18</v>
      </c>
      <c r="L421" s="1" t="b">
        <v>0</v>
      </c>
    </row>
    <row r="422" spans="1:12" x14ac:dyDescent="0.3">
      <c r="A422" s="1" t="s">
        <v>778</v>
      </c>
      <c r="B422" s="1" t="s">
        <v>25</v>
      </c>
      <c r="C422" s="1" t="s">
        <v>55</v>
      </c>
      <c r="D422" s="1">
        <v>25</v>
      </c>
      <c r="E422" s="1" t="s">
        <v>60</v>
      </c>
      <c r="F422" s="1" t="s">
        <v>16</v>
      </c>
      <c r="G422" s="1" t="s">
        <v>779</v>
      </c>
      <c r="H422" s="1">
        <v>75478.350000000006</v>
      </c>
      <c r="I422" s="1" t="s">
        <v>150</v>
      </c>
      <c r="J422" s="1">
        <v>-6128758574</v>
      </c>
      <c r="K422" s="1" t="s">
        <v>23</v>
      </c>
      <c r="L422" s="1" t="b">
        <v>0</v>
      </c>
    </row>
    <row r="423" spans="1:12" x14ac:dyDescent="0.3">
      <c r="A423" s="1" t="s">
        <v>780</v>
      </c>
      <c r="B423" s="1" t="s">
        <v>54</v>
      </c>
      <c r="C423" s="1" t="s">
        <v>55</v>
      </c>
      <c r="D423" s="1">
        <v>25</v>
      </c>
      <c r="E423" s="1" t="s">
        <v>219</v>
      </c>
      <c r="F423" s="1" t="s">
        <v>28</v>
      </c>
      <c r="G423" s="2">
        <v>45025</v>
      </c>
      <c r="H423" s="1">
        <v>79355.850000000006</v>
      </c>
      <c r="I423" s="1" t="s">
        <v>57</v>
      </c>
      <c r="J423" s="1">
        <v>-6766708060</v>
      </c>
      <c r="K423" s="1" t="s">
        <v>30</v>
      </c>
      <c r="L423" s="1" t="b">
        <v>0</v>
      </c>
    </row>
    <row r="424" spans="1:12" x14ac:dyDescent="0.3">
      <c r="A424" s="1" t="s">
        <v>781</v>
      </c>
      <c r="B424" s="1" t="s">
        <v>69</v>
      </c>
      <c r="C424" s="1" t="s">
        <v>92</v>
      </c>
      <c r="D424" s="1">
        <v>35</v>
      </c>
      <c r="E424" s="1" t="s">
        <v>139</v>
      </c>
      <c r="F424" s="1" t="s">
        <v>28</v>
      </c>
      <c r="G424" s="2">
        <v>44594</v>
      </c>
      <c r="H424" s="1">
        <v>58358.07</v>
      </c>
      <c r="I424" s="1" t="s">
        <v>168</v>
      </c>
      <c r="J424" s="1">
        <v>-2943985297</v>
      </c>
      <c r="K424" s="1" t="s">
        <v>41</v>
      </c>
      <c r="L424" s="1" t="b">
        <v>1</v>
      </c>
    </row>
    <row r="425" spans="1:12" x14ac:dyDescent="0.3">
      <c r="A425" s="1" t="s">
        <v>782</v>
      </c>
      <c r="B425" s="1" t="s">
        <v>25</v>
      </c>
      <c r="C425" s="1" t="s">
        <v>38</v>
      </c>
      <c r="D425" s="1">
        <v>30</v>
      </c>
      <c r="E425" s="1" t="s">
        <v>89</v>
      </c>
      <c r="F425" s="1" t="s">
        <v>16</v>
      </c>
      <c r="G425" s="2">
        <v>44565</v>
      </c>
      <c r="H425" s="1">
        <v>54824.85</v>
      </c>
      <c r="I425" s="1" t="s">
        <v>362</v>
      </c>
      <c r="J425" s="1">
        <v>-9406260786</v>
      </c>
      <c r="K425" s="1" t="s">
        <v>18</v>
      </c>
      <c r="L425" s="1" t="b">
        <v>0</v>
      </c>
    </row>
    <row r="426" spans="1:12" x14ac:dyDescent="0.3">
      <c r="A426" s="1" t="s">
        <v>783</v>
      </c>
      <c r="B426" s="1" t="s">
        <v>32</v>
      </c>
      <c r="C426" s="1" t="s">
        <v>43</v>
      </c>
      <c r="D426" s="1">
        <v>35</v>
      </c>
      <c r="E426" s="1" t="s">
        <v>139</v>
      </c>
      <c r="F426" s="1" t="s">
        <v>28</v>
      </c>
      <c r="G426" s="1" t="s">
        <v>330</v>
      </c>
      <c r="H426" s="1">
        <v>50557.84</v>
      </c>
      <c r="I426" s="1" t="s">
        <v>296</v>
      </c>
      <c r="J426" s="1">
        <v>-104159148</v>
      </c>
      <c r="K426" s="1" t="s">
        <v>18</v>
      </c>
      <c r="L426" s="1" t="b">
        <v>1</v>
      </c>
    </row>
    <row r="427" spans="1:12" x14ac:dyDescent="0.3">
      <c r="A427" s="1" t="s">
        <v>784</v>
      </c>
      <c r="B427" s="1" t="s">
        <v>32</v>
      </c>
      <c r="C427" s="1" t="s">
        <v>26</v>
      </c>
      <c r="D427" s="1"/>
      <c r="E427" s="1" t="s">
        <v>205</v>
      </c>
      <c r="F427" s="1" t="s">
        <v>33</v>
      </c>
      <c r="G427" s="1" t="s">
        <v>785</v>
      </c>
      <c r="H427" s="1">
        <v>118030.04</v>
      </c>
      <c r="I427" s="1" t="s">
        <v>277</v>
      </c>
      <c r="J427" s="1">
        <v>-7501980381</v>
      </c>
      <c r="K427" s="1" t="s">
        <v>23</v>
      </c>
      <c r="L427" s="1" t="b">
        <v>1</v>
      </c>
    </row>
    <row r="428" spans="1:12" x14ac:dyDescent="0.3">
      <c r="A428" s="1" t="s">
        <v>786</v>
      </c>
      <c r="B428" s="1" t="s">
        <v>59</v>
      </c>
      <c r="C428" s="1" t="s">
        <v>122</v>
      </c>
      <c r="D428" s="1"/>
      <c r="E428" s="1" t="s">
        <v>196</v>
      </c>
      <c r="F428" s="1" t="s">
        <v>16</v>
      </c>
      <c r="G428" s="1" t="s">
        <v>787</v>
      </c>
      <c r="H428" s="1">
        <v>51673.72</v>
      </c>
      <c r="I428" s="1" t="s">
        <v>340</v>
      </c>
      <c r="J428" s="1">
        <v>-8723244078</v>
      </c>
      <c r="K428" s="1" t="s">
        <v>41</v>
      </c>
      <c r="L428" s="1" t="b">
        <v>0</v>
      </c>
    </row>
    <row r="429" spans="1:12" x14ac:dyDescent="0.3">
      <c r="A429" s="1" t="s">
        <v>788</v>
      </c>
      <c r="B429" s="1" t="s">
        <v>25</v>
      </c>
      <c r="C429" s="1" t="s">
        <v>20</v>
      </c>
      <c r="D429" s="1">
        <v>35</v>
      </c>
      <c r="E429" s="1" t="s">
        <v>85</v>
      </c>
      <c r="F429" s="1" t="s">
        <v>33</v>
      </c>
      <c r="G429" s="2">
        <v>45392</v>
      </c>
      <c r="H429" s="1">
        <v>101665.79</v>
      </c>
      <c r="I429" s="1" t="s">
        <v>80</v>
      </c>
      <c r="J429" s="1">
        <v>-3110291812</v>
      </c>
      <c r="K429" s="1" t="s">
        <v>41</v>
      </c>
      <c r="L429" s="1" t="b">
        <v>1</v>
      </c>
    </row>
    <row r="430" spans="1:12" x14ac:dyDescent="0.3">
      <c r="A430" s="1" t="s">
        <v>789</v>
      </c>
      <c r="B430" s="1" t="s">
        <v>59</v>
      </c>
      <c r="C430" s="1" t="s">
        <v>122</v>
      </c>
      <c r="D430" s="1"/>
      <c r="E430" s="1" t="s">
        <v>205</v>
      </c>
      <c r="F430" s="1" t="s">
        <v>33</v>
      </c>
      <c r="G430" s="2">
        <v>43866</v>
      </c>
      <c r="H430" s="1">
        <v>118079.15</v>
      </c>
      <c r="I430" s="1" t="s">
        <v>340</v>
      </c>
      <c r="J430" s="1">
        <v>-3170876013</v>
      </c>
      <c r="K430" s="1" t="s">
        <v>30</v>
      </c>
      <c r="L430" s="1" t="b">
        <v>1</v>
      </c>
    </row>
    <row r="431" spans="1:12" x14ac:dyDescent="0.3">
      <c r="A431" s="1" t="s">
        <v>790</v>
      </c>
      <c r="B431" s="1" t="s">
        <v>32</v>
      </c>
      <c r="C431" s="1" t="s">
        <v>20</v>
      </c>
      <c r="D431" s="1">
        <v>25</v>
      </c>
      <c r="E431" s="1" t="s">
        <v>60</v>
      </c>
      <c r="F431" s="1" t="s">
        <v>28</v>
      </c>
      <c r="G431" s="1" t="s">
        <v>556</v>
      </c>
      <c r="H431" s="1">
        <v>99059.28</v>
      </c>
      <c r="I431" s="1" t="s">
        <v>155</v>
      </c>
      <c r="J431" s="1">
        <v>-6723849790</v>
      </c>
      <c r="K431" s="1" t="s">
        <v>41</v>
      </c>
      <c r="L431" s="1" t="b">
        <v>0</v>
      </c>
    </row>
    <row r="432" spans="1:12" x14ac:dyDescent="0.3">
      <c r="A432" s="1" t="s">
        <v>791</v>
      </c>
      <c r="B432" s="1" t="s">
        <v>13</v>
      </c>
      <c r="C432" s="1" t="s">
        <v>122</v>
      </c>
      <c r="D432" s="1"/>
      <c r="E432" s="1" t="s">
        <v>95</v>
      </c>
      <c r="F432" s="1" t="s">
        <v>16</v>
      </c>
      <c r="G432" s="1" t="s">
        <v>792</v>
      </c>
      <c r="H432" s="1">
        <v>107397.4</v>
      </c>
      <c r="I432" s="1" t="s">
        <v>123</v>
      </c>
      <c r="J432" s="1">
        <v>-6202232882</v>
      </c>
      <c r="K432" s="1" t="s">
        <v>41</v>
      </c>
      <c r="L432" s="1" t="b">
        <v>0</v>
      </c>
    </row>
    <row r="433" spans="1:12" x14ac:dyDescent="0.3">
      <c r="A433" s="1" t="s">
        <v>793</v>
      </c>
      <c r="B433" s="1" t="s">
        <v>25</v>
      </c>
      <c r="C433" s="1" t="s">
        <v>92</v>
      </c>
      <c r="D433" s="1">
        <v>40</v>
      </c>
      <c r="E433" s="1" t="s">
        <v>56</v>
      </c>
      <c r="F433" s="1" t="s">
        <v>16</v>
      </c>
      <c r="G433" s="1" t="s">
        <v>794</v>
      </c>
      <c r="H433" s="1">
        <v>68269.37</v>
      </c>
      <c r="I433" s="1" t="s">
        <v>166</v>
      </c>
      <c r="J433" s="1">
        <v>-7744197545</v>
      </c>
      <c r="K433" s="1" t="s">
        <v>23</v>
      </c>
      <c r="L433" s="1" t="b">
        <v>0</v>
      </c>
    </row>
    <row r="434" spans="1:12" x14ac:dyDescent="0.3">
      <c r="A434" s="1" t="s">
        <v>795</v>
      </c>
      <c r="B434" s="1" t="s">
        <v>69</v>
      </c>
      <c r="C434" s="1" t="s">
        <v>26</v>
      </c>
      <c r="D434" s="1">
        <v>35</v>
      </c>
      <c r="E434" s="1" t="s">
        <v>212</v>
      </c>
      <c r="F434" s="1" t="s">
        <v>33</v>
      </c>
      <c r="G434" s="1" t="s">
        <v>796</v>
      </c>
      <c r="H434" s="1">
        <v>55228.12</v>
      </c>
      <c r="I434" s="1" t="s">
        <v>76</v>
      </c>
      <c r="J434" s="1">
        <v>-6176620470</v>
      </c>
      <c r="K434" s="1" t="s">
        <v>41</v>
      </c>
      <c r="L434" s="1" t="b">
        <v>1</v>
      </c>
    </row>
    <row r="435" spans="1:12" x14ac:dyDescent="0.3">
      <c r="A435" s="1" t="s">
        <v>797</v>
      </c>
      <c r="B435" s="1" t="s">
        <v>13</v>
      </c>
      <c r="C435" s="1" t="s">
        <v>43</v>
      </c>
      <c r="D435" s="1">
        <v>30</v>
      </c>
      <c r="E435" s="1" t="s">
        <v>60</v>
      </c>
      <c r="F435" s="1" t="s">
        <v>33</v>
      </c>
      <c r="G435" s="2">
        <v>44903</v>
      </c>
      <c r="H435" s="1">
        <v>71982.33</v>
      </c>
      <c r="I435" s="1" t="s">
        <v>153</v>
      </c>
      <c r="J435" s="1">
        <v>-9609409704</v>
      </c>
      <c r="K435" s="1" t="s">
        <v>18</v>
      </c>
      <c r="L435" s="1" t="b">
        <v>0</v>
      </c>
    </row>
    <row r="436" spans="1:12" x14ac:dyDescent="0.3">
      <c r="A436" s="1" t="s">
        <v>798</v>
      </c>
      <c r="B436" s="1" t="s">
        <v>37</v>
      </c>
      <c r="C436" s="1" t="s">
        <v>20</v>
      </c>
      <c r="D436" s="1">
        <v>30</v>
      </c>
      <c r="E436" s="1" t="s">
        <v>70</v>
      </c>
      <c r="F436" s="1" t="s">
        <v>33</v>
      </c>
      <c r="G436" s="1" t="s">
        <v>799</v>
      </c>
      <c r="H436" s="1">
        <v>109673.75</v>
      </c>
      <c r="I436" s="1" t="s">
        <v>239</v>
      </c>
      <c r="J436" s="1">
        <v>-2774025882</v>
      </c>
      <c r="K436" s="1" t="s">
        <v>23</v>
      </c>
      <c r="L436" s="1" t="b">
        <v>0</v>
      </c>
    </row>
    <row r="437" spans="1:12" x14ac:dyDescent="0.3">
      <c r="A437" s="1" t="s">
        <v>800</v>
      </c>
      <c r="B437" s="1" t="s">
        <v>32</v>
      </c>
      <c r="C437" s="1" t="s">
        <v>43</v>
      </c>
      <c r="D437" s="1"/>
      <c r="E437" s="1" t="s">
        <v>60</v>
      </c>
      <c r="F437" s="1" t="s">
        <v>33</v>
      </c>
      <c r="G437" s="1" t="s">
        <v>801</v>
      </c>
      <c r="H437" s="1">
        <v>56384.9</v>
      </c>
      <c r="I437" s="1" t="s">
        <v>296</v>
      </c>
      <c r="J437" s="1">
        <v>-5868122594</v>
      </c>
      <c r="K437" s="1" t="s">
        <v>23</v>
      </c>
      <c r="L437" s="1" t="b">
        <v>1</v>
      </c>
    </row>
    <row r="438" spans="1:12" x14ac:dyDescent="0.3">
      <c r="A438" s="1" t="s">
        <v>802</v>
      </c>
      <c r="B438" s="1" t="s">
        <v>37</v>
      </c>
      <c r="C438" s="1" t="s">
        <v>43</v>
      </c>
      <c r="D438" s="1">
        <v>40</v>
      </c>
      <c r="E438" s="1" t="s">
        <v>44</v>
      </c>
      <c r="F438" s="1" t="s">
        <v>28</v>
      </c>
      <c r="G438" s="2">
        <v>44295</v>
      </c>
      <c r="H438" s="1">
        <v>68211.679999999993</v>
      </c>
      <c r="I438" s="1" t="s">
        <v>180</v>
      </c>
      <c r="J438" s="1">
        <v>-7244617678</v>
      </c>
      <c r="K438" s="1" t="s">
        <v>30</v>
      </c>
      <c r="L438" s="1" t="b">
        <v>0</v>
      </c>
    </row>
    <row r="439" spans="1:12" x14ac:dyDescent="0.3">
      <c r="A439" s="1" t="s">
        <v>803</v>
      </c>
      <c r="B439" s="1" t="s">
        <v>25</v>
      </c>
      <c r="C439" s="1" t="s">
        <v>43</v>
      </c>
      <c r="D439" s="1">
        <v>40</v>
      </c>
      <c r="E439" s="1" t="s">
        <v>265</v>
      </c>
      <c r="F439" s="1" t="s">
        <v>28</v>
      </c>
      <c r="G439" s="1" t="s">
        <v>804</v>
      </c>
      <c r="H439" s="1">
        <v>67489.679999999993</v>
      </c>
      <c r="I439" s="1" t="s">
        <v>45</v>
      </c>
      <c r="J439" s="1">
        <v>-2988425994</v>
      </c>
      <c r="K439" s="1" t="s">
        <v>41</v>
      </c>
      <c r="L439" s="1" t="b">
        <v>0</v>
      </c>
    </row>
    <row r="440" spans="1:12" x14ac:dyDescent="0.3">
      <c r="A440" s="1" t="s">
        <v>805</v>
      </c>
      <c r="B440" s="1" t="s">
        <v>54</v>
      </c>
      <c r="C440" s="1" t="s">
        <v>14</v>
      </c>
      <c r="D440" s="1">
        <v>25</v>
      </c>
      <c r="E440" s="1" t="s">
        <v>159</v>
      </c>
      <c r="F440" s="1" t="s">
        <v>16</v>
      </c>
      <c r="G440" s="1" t="s">
        <v>806</v>
      </c>
      <c r="H440" s="1">
        <v>63869.31</v>
      </c>
      <c r="I440" s="1" t="s">
        <v>170</v>
      </c>
      <c r="J440" s="1">
        <v>-9961002310</v>
      </c>
      <c r="K440" s="1" t="s">
        <v>30</v>
      </c>
      <c r="L440" s="1" t="b">
        <v>0</v>
      </c>
    </row>
    <row r="441" spans="1:12" x14ac:dyDescent="0.3">
      <c r="A441" s="1" t="s">
        <v>807</v>
      </c>
      <c r="B441" s="1" t="s">
        <v>13</v>
      </c>
      <c r="C441" s="1" t="s">
        <v>38</v>
      </c>
      <c r="D441" s="1"/>
      <c r="E441" s="1" t="s">
        <v>177</v>
      </c>
      <c r="F441" s="1" t="s">
        <v>16</v>
      </c>
      <c r="G441" s="1" t="s">
        <v>346</v>
      </c>
      <c r="H441" s="1">
        <v>119801.3</v>
      </c>
      <c r="I441" s="1" t="s">
        <v>144</v>
      </c>
      <c r="J441" s="1">
        <v>-7753312660</v>
      </c>
      <c r="K441" s="1" t="s">
        <v>18</v>
      </c>
      <c r="L441" s="1" t="b">
        <v>1</v>
      </c>
    </row>
    <row r="442" spans="1:12" x14ac:dyDescent="0.3">
      <c r="A442" s="1" t="s">
        <v>808</v>
      </c>
      <c r="B442" s="1" t="s">
        <v>65</v>
      </c>
      <c r="C442" s="1" t="s">
        <v>122</v>
      </c>
      <c r="D442" s="1">
        <v>30</v>
      </c>
      <c r="E442" s="1" t="s">
        <v>268</v>
      </c>
      <c r="F442" s="1" t="s">
        <v>16</v>
      </c>
      <c r="G442" s="1" t="s">
        <v>809</v>
      </c>
      <c r="H442" s="1">
        <v>115959.65</v>
      </c>
      <c r="I442" s="1" t="s">
        <v>366</v>
      </c>
      <c r="J442" s="1">
        <v>-941017589</v>
      </c>
      <c r="K442" s="1" t="s">
        <v>23</v>
      </c>
      <c r="L442" s="1" t="b">
        <v>1</v>
      </c>
    </row>
    <row r="443" spans="1:12" x14ac:dyDescent="0.3">
      <c r="A443" s="1" t="s">
        <v>810</v>
      </c>
      <c r="B443" s="1" t="s">
        <v>69</v>
      </c>
      <c r="C443" s="1" t="s">
        <v>43</v>
      </c>
      <c r="D443" s="1">
        <v>40</v>
      </c>
      <c r="E443" s="1" t="s">
        <v>21</v>
      </c>
      <c r="F443" s="1" t="s">
        <v>33</v>
      </c>
      <c r="G443" s="1" t="s">
        <v>811</v>
      </c>
      <c r="H443" s="1">
        <v>79866.48</v>
      </c>
      <c r="I443" s="1" t="s">
        <v>83</v>
      </c>
      <c r="J443" s="1">
        <v>-2517629832</v>
      </c>
      <c r="K443" s="1" t="s">
        <v>23</v>
      </c>
      <c r="L443" s="1" t="b">
        <v>1</v>
      </c>
    </row>
    <row r="444" spans="1:12" x14ac:dyDescent="0.3">
      <c r="A444" s="1" t="s">
        <v>812</v>
      </c>
      <c r="B444" s="1" t="s">
        <v>54</v>
      </c>
      <c r="C444" s="1" t="s">
        <v>122</v>
      </c>
      <c r="D444" s="1">
        <v>35</v>
      </c>
      <c r="E444" s="1" t="s">
        <v>212</v>
      </c>
      <c r="F444" s="1" t="s">
        <v>16</v>
      </c>
      <c r="G444" s="2">
        <v>44138</v>
      </c>
      <c r="H444" s="1">
        <v>92987.46</v>
      </c>
      <c r="I444" s="1" t="s">
        <v>194</v>
      </c>
      <c r="J444" s="1">
        <v>-4774332682</v>
      </c>
      <c r="K444" s="1" t="s">
        <v>23</v>
      </c>
      <c r="L444" s="1" t="b">
        <v>1</v>
      </c>
    </row>
    <row r="445" spans="1:12" x14ac:dyDescent="0.3">
      <c r="A445" s="1" t="s">
        <v>813</v>
      </c>
      <c r="B445" s="1" t="s">
        <v>32</v>
      </c>
      <c r="C445" s="1" t="s">
        <v>43</v>
      </c>
      <c r="D445" s="1">
        <v>40</v>
      </c>
      <c r="E445" s="1" t="s">
        <v>265</v>
      </c>
      <c r="F445" s="1" t="s">
        <v>33</v>
      </c>
      <c r="G445" s="2">
        <v>43926</v>
      </c>
      <c r="H445" s="1">
        <v>56140.51</v>
      </c>
      <c r="I445" s="1" t="s">
        <v>296</v>
      </c>
      <c r="J445" s="1">
        <v>-1901302055</v>
      </c>
      <c r="K445" s="1" t="s">
        <v>18</v>
      </c>
      <c r="L445" s="1" t="b">
        <v>0</v>
      </c>
    </row>
    <row r="446" spans="1:12" x14ac:dyDescent="0.3">
      <c r="A446" s="1" t="s">
        <v>814</v>
      </c>
      <c r="B446" s="1" t="s">
        <v>69</v>
      </c>
      <c r="C446" s="1" t="s">
        <v>20</v>
      </c>
      <c r="D446" s="1">
        <v>30</v>
      </c>
      <c r="E446" s="1" t="s">
        <v>78</v>
      </c>
      <c r="F446" s="1" t="s">
        <v>16</v>
      </c>
      <c r="G446" s="1" t="s">
        <v>815</v>
      </c>
      <c r="H446" s="1">
        <v>119586.11</v>
      </c>
      <c r="I446" s="1" t="s">
        <v>201</v>
      </c>
      <c r="J446" s="1">
        <v>-9815287338</v>
      </c>
      <c r="K446" s="1" t="s">
        <v>18</v>
      </c>
      <c r="L446" s="1" t="b">
        <v>1</v>
      </c>
    </row>
    <row r="447" spans="1:12" x14ac:dyDescent="0.3">
      <c r="A447" s="1" t="s">
        <v>816</v>
      </c>
      <c r="B447" s="1" t="s">
        <v>25</v>
      </c>
      <c r="C447" s="1" t="s">
        <v>38</v>
      </c>
      <c r="D447" s="1">
        <v>40</v>
      </c>
      <c r="E447" s="1" t="s">
        <v>15</v>
      </c>
      <c r="F447" s="1" t="s">
        <v>33</v>
      </c>
      <c r="G447" s="1" t="s">
        <v>372</v>
      </c>
      <c r="H447" s="1">
        <v>104700.46</v>
      </c>
      <c r="I447" s="1" t="s">
        <v>362</v>
      </c>
      <c r="J447" s="1">
        <v>-7855982175</v>
      </c>
      <c r="K447" s="1" t="s">
        <v>30</v>
      </c>
      <c r="L447" s="1" t="b">
        <v>1</v>
      </c>
    </row>
    <row r="448" spans="1:12" x14ac:dyDescent="0.3">
      <c r="A448" s="1" t="s">
        <v>817</v>
      </c>
      <c r="B448" s="1" t="s">
        <v>37</v>
      </c>
      <c r="C448" s="1" t="s">
        <v>38</v>
      </c>
      <c r="D448" s="1">
        <v>40</v>
      </c>
      <c r="E448" s="1" t="s">
        <v>66</v>
      </c>
      <c r="F448" s="1" t="s">
        <v>16</v>
      </c>
      <c r="G448" s="1" t="s">
        <v>683</v>
      </c>
      <c r="H448" s="1">
        <v>91798.14</v>
      </c>
      <c r="I448" s="1" t="s">
        <v>40</v>
      </c>
      <c r="J448" s="1">
        <v>-6191284116</v>
      </c>
      <c r="K448" s="1" t="s">
        <v>30</v>
      </c>
      <c r="L448" s="1" t="b">
        <v>0</v>
      </c>
    </row>
    <row r="449" spans="1:12" x14ac:dyDescent="0.3">
      <c r="A449" s="1" t="s">
        <v>818</v>
      </c>
      <c r="B449" s="1" t="s">
        <v>32</v>
      </c>
      <c r="C449" s="1" t="s">
        <v>92</v>
      </c>
      <c r="D449" s="1">
        <v>25</v>
      </c>
      <c r="E449" s="1" t="s">
        <v>265</v>
      </c>
      <c r="F449" s="1" t="s">
        <v>33</v>
      </c>
      <c r="G449" s="1" t="s">
        <v>819</v>
      </c>
      <c r="H449" s="1">
        <v>90879.22</v>
      </c>
      <c r="I449" s="1" t="s">
        <v>263</v>
      </c>
      <c r="J449" s="1">
        <v>-3098503445</v>
      </c>
      <c r="K449" s="1" t="s">
        <v>30</v>
      </c>
      <c r="L449" s="1" t="b">
        <v>0</v>
      </c>
    </row>
    <row r="450" spans="1:12" x14ac:dyDescent="0.3">
      <c r="A450" s="1" t="s">
        <v>820</v>
      </c>
      <c r="B450" s="1" t="s">
        <v>54</v>
      </c>
      <c r="C450" s="1" t="s">
        <v>14</v>
      </c>
      <c r="D450" s="1">
        <v>25</v>
      </c>
      <c r="E450" s="1" t="s">
        <v>27</v>
      </c>
      <c r="F450" s="1" t="s">
        <v>16</v>
      </c>
      <c r="G450" s="1" t="s">
        <v>821</v>
      </c>
      <c r="H450" s="1">
        <v>87358.27</v>
      </c>
      <c r="I450" s="1" t="s">
        <v>170</v>
      </c>
      <c r="J450" s="1">
        <v>-5124189388</v>
      </c>
      <c r="K450" s="1" t="s">
        <v>41</v>
      </c>
      <c r="L450" s="1" t="b">
        <v>0</v>
      </c>
    </row>
    <row r="451" spans="1:12" x14ac:dyDescent="0.3">
      <c r="A451" s="1" t="s">
        <v>822</v>
      </c>
      <c r="B451" s="1" t="s">
        <v>25</v>
      </c>
      <c r="C451" s="1" t="s">
        <v>92</v>
      </c>
      <c r="D451" s="1">
        <v>30</v>
      </c>
      <c r="E451" s="1" t="s">
        <v>74</v>
      </c>
      <c r="F451" s="1" t="s">
        <v>33</v>
      </c>
      <c r="G451" s="1" t="s">
        <v>823</v>
      </c>
      <c r="H451" s="1">
        <v>119407.93</v>
      </c>
      <c r="I451" s="1" t="s">
        <v>166</v>
      </c>
      <c r="J451" s="1">
        <v>-8469081973</v>
      </c>
      <c r="K451" s="1" t="s">
        <v>23</v>
      </c>
      <c r="L451" s="1" t="b">
        <v>1</v>
      </c>
    </row>
    <row r="452" spans="1:12" x14ac:dyDescent="0.3">
      <c r="A452" s="1" t="s">
        <v>824</v>
      </c>
      <c r="B452" s="1" t="s">
        <v>59</v>
      </c>
      <c r="C452" s="1" t="s">
        <v>92</v>
      </c>
      <c r="D452" s="1"/>
      <c r="E452" s="1" t="s">
        <v>149</v>
      </c>
      <c r="F452" s="1" t="s">
        <v>28</v>
      </c>
      <c r="G452" s="2">
        <v>44652</v>
      </c>
      <c r="H452" s="1">
        <v>113978.6</v>
      </c>
      <c r="I452" s="1" t="s">
        <v>107</v>
      </c>
      <c r="J452" s="1">
        <v>-56435022</v>
      </c>
      <c r="K452" s="1" t="s">
        <v>23</v>
      </c>
      <c r="L452" s="1" t="b">
        <v>1</v>
      </c>
    </row>
    <row r="453" spans="1:12" x14ac:dyDescent="0.3">
      <c r="A453" s="1" t="s">
        <v>825</v>
      </c>
      <c r="B453" s="1" t="s">
        <v>37</v>
      </c>
      <c r="C453" s="1" t="s">
        <v>92</v>
      </c>
      <c r="D453" s="1"/>
      <c r="E453" s="1" t="s">
        <v>109</v>
      </c>
      <c r="F453" s="1" t="s">
        <v>28</v>
      </c>
      <c r="G453" s="1" t="s">
        <v>826</v>
      </c>
      <c r="H453" s="1">
        <v>108568.78</v>
      </c>
      <c r="I453" s="1" t="s">
        <v>110</v>
      </c>
      <c r="J453" s="1">
        <v>-8503719904</v>
      </c>
      <c r="K453" s="1" t="s">
        <v>30</v>
      </c>
      <c r="L453" s="1" t="b">
        <v>1</v>
      </c>
    </row>
    <row r="454" spans="1:12" x14ac:dyDescent="0.3">
      <c r="A454" s="1" t="s">
        <v>827</v>
      </c>
      <c r="B454" s="1" t="s">
        <v>65</v>
      </c>
      <c r="C454" s="1" t="s">
        <v>92</v>
      </c>
      <c r="D454" s="1"/>
      <c r="E454" s="1" t="s">
        <v>66</v>
      </c>
      <c r="F454" s="1" t="s">
        <v>33</v>
      </c>
      <c r="G454" s="1" t="s">
        <v>828</v>
      </c>
      <c r="H454" s="1">
        <v>56318.02</v>
      </c>
      <c r="I454" s="1" t="s">
        <v>130</v>
      </c>
      <c r="J454" s="1">
        <v>-1699187239</v>
      </c>
      <c r="K454" s="1" t="s">
        <v>23</v>
      </c>
      <c r="L454" s="1" t="b">
        <v>0</v>
      </c>
    </row>
    <row r="455" spans="1:12" x14ac:dyDescent="0.3">
      <c r="A455" s="1" t="s">
        <v>829</v>
      </c>
      <c r="B455" s="1" t="s">
        <v>59</v>
      </c>
      <c r="C455" s="1" t="s">
        <v>92</v>
      </c>
      <c r="D455" s="1">
        <v>25</v>
      </c>
      <c r="E455" s="1" t="s">
        <v>74</v>
      </c>
      <c r="F455" s="1" t="s">
        <v>16</v>
      </c>
      <c r="G455" s="2">
        <v>44480</v>
      </c>
      <c r="H455" s="1">
        <v>114252.73</v>
      </c>
      <c r="I455" s="1" t="s">
        <v>107</v>
      </c>
      <c r="J455" s="1">
        <v>-1078356742</v>
      </c>
      <c r="K455" s="1" t="s">
        <v>30</v>
      </c>
      <c r="L455" s="1" t="b">
        <v>0</v>
      </c>
    </row>
    <row r="456" spans="1:12" x14ac:dyDescent="0.3">
      <c r="A456" s="1" t="s">
        <v>830</v>
      </c>
      <c r="B456" s="1" t="s">
        <v>54</v>
      </c>
      <c r="C456" s="1" t="s">
        <v>26</v>
      </c>
      <c r="D456" s="1">
        <v>35</v>
      </c>
      <c r="E456" s="1" t="s">
        <v>56</v>
      </c>
      <c r="F456" s="1" t="s">
        <v>33</v>
      </c>
      <c r="G456" s="2">
        <v>43835</v>
      </c>
      <c r="H456" s="1">
        <v>51533.9</v>
      </c>
      <c r="I456" s="1" t="s">
        <v>120</v>
      </c>
      <c r="J456" s="1">
        <v>-3896086</v>
      </c>
      <c r="K456" s="1" t="s">
        <v>41</v>
      </c>
      <c r="L456" s="1" t="b">
        <v>1</v>
      </c>
    </row>
    <row r="457" spans="1:12" x14ac:dyDescent="0.3">
      <c r="A457" s="1" t="s">
        <v>831</v>
      </c>
      <c r="B457" s="1" t="s">
        <v>54</v>
      </c>
      <c r="C457" s="1" t="s">
        <v>38</v>
      </c>
      <c r="D457" s="1">
        <v>25</v>
      </c>
      <c r="E457" s="1" t="s">
        <v>177</v>
      </c>
      <c r="F457" s="1" t="s">
        <v>16</v>
      </c>
      <c r="G457" s="2">
        <v>44653</v>
      </c>
      <c r="H457" s="1">
        <v>99317.66</v>
      </c>
      <c r="I457" s="1" t="s">
        <v>90</v>
      </c>
      <c r="J457" s="1">
        <v>-662668216</v>
      </c>
      <c r="K457" s="1" t="s">
        <v>41</v>
      </c>
      <c r="L457" s="1" t="b">
        <v>0</v>
      </c>
    </row>
    <row r="458" spans="1:12" x14ac:dyDescent="0.3">
      <c r="A458" s="1" t="s">
        <v>832</v>
      </c>
      <c r="B458" s="1" t="s">
        <v>13</v>
      </c>
      <c r="C458" s="1" t="s">
        <v>92</v>
      </c>
      <c r="D458" s="1">
        <v>35</v>
      </c>
      <c r="E458" s="1" t="s">
        <v>146</v>
      </c>
      <c r="F458" s="1" t="s">
        <v>16</v>
      </c>
      <c r="G458" s="1" t="s">
        <v>833</v>
      </c>
      <c r="H458" s="1">
        <v>101264.64</v>
      </c>
      <c r="I458" s="1" t="s">
        <v>93</v>
      </c>
      <c r="J458" s="1">
        <v>-1955356032</v>
      </c>
      <c r="K458" s="1" t="s">
        <v>18</v>
      </c>
      <c r="L458" s="1" t="b">
        <v>0</v>
      </c>
    </row>
    <row r="459" spans="1:12" x14ac:dyDescent="0.3">
      <c r="A459" s="1" t="s">
        <v>834</v>
      </c>
      <c r="B459" s="1" t="s">
        <v>65</v>
      </c>
      <c r="C459" s="1" t="s">
        <v>43</v>
      </c>
      <c r="D459" s="1">
        <v>35</v>
      </c>
      <c r="E459" s="1" t="s">
        <v>27</v>
      </c>
      <c r="F459" s="1" t="s">
        <v>28</v>
      </c>
      <c r="G459" s="1" t="s">
        <v>835</v>
      </c>
      <c r="H459" s="1">
        <v>112272.02</v>
      </c>
      <c r="I459" s="1" t="s">
        <v>257</v>
      </c>
      <c r="J459" s="1">
        <v>-1903689002</v>
      </c>
      <c r="K459" s="1" t="s">
        <v>41</v>
      </c>
      <c r="L459" s="1" t="b">
        <v>0</v>
      </c>
    </row>
    <row r="460" spans="1:12" x14ac:dyDescent="0.3">
      <c r="A460" s="1" t="s">
        <v>836</v>
      </c>
      <c r="B460" s="1" t="s">
        <v>37</v>
      </c>
      <c r="C460" s="1" t="s">
        <v>38</v>
      </c>
      <c r="D460" s="1">
        <v>30</v>
      </c>
      <c r="E460" s="1" t="s">
        <v>78</v>
      </c>
      <c r="F460" s="1" t="s">
        <v>16</v>
      </c>
      <c r="G460" s="1" t="s">
        <v>837</v>
      </c>
      <c r="H460" s="1">
        <v>71477.63</v>
      </c>
      <c r="I460" s="1" t="s">
        <v>40</v>
      </c>
      <c r="J460" s="1">
        <v>-102724054</v>
      </c>
      <c r="K460" s="1" t="s">
        <v>30</v>
      </c>
      <c r="L460" s="1" t="b">
        <v>1</v>
      </c>
    </row>
    <row r="461" spans="1:12" x14ac:dyDescent="0.3">
      <c r="A461" s="1" t="s">
        <v>838</v>
      </c>
      <c r="B461" s="1" t="s">
        <v>54</v>
      </c>
      <c r="C461" s="1" t="s">
        <v>38</v>
      </c>
      <c r="D461" s="1">
        <v>30</v>
      </c>
      <c r="E461" s="1" t="s">
        <v>237</v>
      </c>
      <c r="F461" s="1" t="s">
        <v>28</v>
      </c>
      <c r="G461" s="1" t="s">
        <v>839</v>
      </c>
      <c r="H461" s="1">
        <v>77412.100000000006</v>
      </c>
      <c r="I461" s="1" t="s">
        <v>90</v>
      </c>
      <c r="J461" s="1">
        <v>-9342967110</v>
      </c>
      <c r="K461" s="1" t="s">
        <v>41</v>
      </c>
      <c r="L461" s="1" t="b">
        <v>0</v>
      </c>
    </row>
    <row r="462" spans="1:12" x14ac:dyDescent="0.3">
      <c r="A462" s="1" t="s">
        <v>840</v>
      </c>
      <c r="B462" s="1" t="s">
        <v>25</v>
      </c>
      <c r="C462" s="1" t="s">
        <v>55</v>
      </c>
      <c r="D462" s="1">
        <v>30</v>
      </c>
      <c r="E462" s="1" t="s">
        <v>177</v>
      </c>
      <c r="F462" s="1" t="s">
        <v>28</v>
      </c>
      <c r="G462" s="1" t="s">
        <v>841</v>
      </c>
      <c r="H462" s="1">
        <v>94775.27</v>
      </c>
      <c r="I462" s="1" t="s">
        <v>150</v>
      </c>
      <c r="J462" s="1">
        <v>-4837537457</v>
      </c>
      <c r="K462" s="1" t="s">
        <v>18</v>
      </c>
      <c r="L462" s="1" t="b">
        <v>0</v>
      </c>
    </row>
    <row r="463" spans="1:12" x14ac:dyDescent="0.3">
      <c r="A463" s="1" t="s">
        <v>842</v>
      </c>
      <c r="B463" s="1" t="s">
        <v>65</v>
      </c>
      <c r="C463" s="1" t="s">
        <v>26</v>
      </c>
      <c r="D463" s="1">
        <v>30</v>
      </c>
      <c r="E463" s="1" t="s">
        <v>149</v>
      </c>
      <c r="F463" s="1" t="s">
        <v>16</v>
      </c>
      <c r="G463" s="2">
        <v>44232</v>
      </c>
      <c r="H463" s="1">
        <v>74276.710000000006</v>
      </c>
      <c r="I463" s="1" t="s">
        <v>319</v>
      </c>
      <c r="J463" s="1">
        <v>-4384588104</v>
      </c>
      <c r="K463" s="1" t="s">
        <v>23</v>
      </c>
      <c r="L463" s="1" t="b">
        <v>1</v>
      </c>
    </row>
    <row r="464" spans="1:12" x14ac:dyDescent="0.3">
      <c r="A464" s="1" t="s">
        <v>843</v>
      </c>
      <c r="B464" s="1" t="s">
        <v>13</v>
      </c>
      <c r="C464" s="1" t="s">
        <v>92</v>
      </c>
      <c r="D464" s="1">
        <v>35</v>
      </c>
      <c r="E464" s="1" t="s">
        <v>21</v>
      </c>
      <c r="F464" s="1" t="s">
        <v>33</v>
      </c>
      <c r="G464" s="2">
        <v>44319</v>
      </c>
      <c r="H464" s="1">
        <v>67467.86</v>
      </c>
      <c r="I464" s="1" t="s">
        <v>93</v>
      </c>
      <c r="J464" s="1">
        <v>-6974132833</v>
      </c>
      <c r="K464" s="1" t="s">
        <v>30</v>
      </c>
      <c r="L464" s="1" t="b">
        <v>1</v>
      </c>
    </row>
    <row r="465" spans="1:12" x14ac:dyDescent="0.3">
      <c r="A465" s="1" t="s">
        <v>844</v>
      </c>
      <c r="B465" s="1" t="s">
        <v>32</v>
      </c>
      <c r="C465" s="1" t="s">
        <v>122</v>
      </c>
      <c r="D465" s="1">
        <v>25</v>
      </c>
      <c r="E465" s="1" t="s">
        <v>237</v>
      </c>
      <c r="F465" s="1" t="s">
        <v>16</v>
      </c>
      <c r="G465" s="2">
        <v>44564</v>
      </c>
      <c r="H465" s="1">
        <v>80675.41</v>
      </c>
      <c r="I465" s="1" t="s">
        <v>521</v>
      </c>
      <c r="J465" s="1">
        <v>-8315203770</v>
      </c>
      <c r="K465" s="1" t="s">
        <v>23</v>
      </c>
      <c r="L465" s="1" t="b">
        <v>0</v>
      </c>
    </row>
    <row r="466" spans="1:12" x14ac:dyDescent="0.3">
      <c r="A466" s="1" t="s">
        <v>845</v>
      </c>
      <c r="B466" s="1" t="s">
        <v>54</v>
      </c>
      <c r="C466" s="1" t="s">
        <v>20</v>
      </c>
      <c r="D466" s="1">
        <v>40</v>
      </c>
      <c r="E466" s="1" t="s">
        <v>112</v>
      </c>
      <c r="F466" s="1" t="s">
        <v>33</v>
      </c>
      <c r="G466" s="1" t="s">
        <v>846</v>
      </c>
      <c r="H466" s="1">
        <v>76274.33</v>
      </c>
      <c r="I466" s="1" t="s">
        <v>125</v>
      </c>
      <c r="J466" s="1">
        <v>-704496409</v>
      </c>
      <c r="K466" s="1" t="s">
        <v>18</v>
      </c>
      <c r="L466" s="1" t="b">
        <v>0</v>
      </c>
    </row>
    <row r="467" spans="1:12" x14ac:dyDescent="0.3">
      <c r="A467" s="1" t="s">
        <v>847</v>
      </c>
      <c r="B467" s="1" t="s">
        <v>59</v>
      </c>
      <c r="C467" s="1" t="s">
        <v>14</v>
      </c>
      <c r="D467" s="1">
        <v>30</v>
      </c>
      <c r="E467" s="1" t="s">
        <v>21</v>
      </c>
      <c r="F467" s="1" t="s">
        <v>16</v>
      </c>
      <c r="G467" s="1" t="s">
        <v>848</v>
      </c>
      <c r="H467" s="1">
        <v>51405.46</v>
      </c>
      <c r="I467" s="1" t="s">
        <v>63</v>
      </c>
      <c r="J467" s="1">
        <v>-4967066702</v>
      </c>
      <c r="K467" s="1" t="s">
        <v>18</v>
      </c>
      <c r="L467" s="1" t="b">
        <v>1</v>
      </c>
    </row>
    <row r="468" spans="1:12" x14ac:dyDescent="0.3">
      <c r="A468" s="1" t="s">
        <v>849</v>
      </c>
      <c r="B468" s="1" t="s">
        <v>13</v>
      </c>
      <c r="C468" s="1" t="s">
        <v>43</v>
      </c>
      <c r="D468" s="1">
        <v>25</v>
      </c>
      <c r="E468" s="1" t="s">
        <v>66</v>
      </c>
      <c r="F468" s="1" t="s">
        <v>33</v>
      </c>
      <c r="G468" s="1" t="s">
        <v>850</v>
      </c>
      <c r="H468" s="1">
        <v>101238.96</v>
      </c>
      <c r="I468" s="1" t="s">
        <v>153</v>
      </c>
      <c r="J468" s="1">
        <v>-3626804084</v>
      </c>
      <c r="K468" s="1" t="s">
        <v>18</v>
      </c>
      <c r="L468" s="1" t="b">
        <v>1</v>
      </c>
    </row>
    <row r="469" spans="1:12" x14ac:dyDescent="0.3">
      <c r="A469" s="1" t="s">
        <v>851</v>
      </c>
      <c r="B469" s="1" t="s">
        <v>13</v>
      </c>
      <c r="C469" s="1" t="s">
        <v>122</v>
      </c>
      <c r="D469" s="1">
        <v>35</v>
      </c>
      <c r="E469" s="1" t="s">
        <v>98</v>
      </c>
      <c r="F469" s="1" t="s">
        <v>33</v>
      </c>
      <c r="G469" s="1" t="s">
        <v>852</v>
      </c>
      <c r="H469" s="1">
        <v>52169.52</v>
      </c>
      <c r="I469" s="1" t="s">
        <v>123</v>
      </c>
      <c r="J469" s="1">
        <v>-954930595</v>
      </c>
      <c r="K469" s="1" t="s">
        <v>23</v>
      </c>
      <c r="L469" s="1" t="b">
        <v>0</v>
      </c>
    </row>
    <row r="470" spans="1:12" x14ac:dyDescent="0.3">
      <c r="A470" s="1" t="s">
        <v>853</v>
      </c>
      <c r="B470" s="1" t="s">
        <v>54</v>
      </c>
      <c r="C470" s="1" t="s">
        <v>26</v>
      </c>
      <c r="D470" s="1"/>
      <c r="E470" s="1" t="s">
        <v>227</v>
      </c>
      <c r="F470" s="1" t="s">
        <v>16</v>
      </c>
      <c r="G470" s="1" t="s">
        <v>854</v>
      </c>
      <c r="H470" s="1">
        <v>73176.62</v>
      </c>
      <c r="I470" s="1" t="s">
        <v>120</v>
      </c>
      <c r="J470" s="1">
        <v>-6018648768</v>
      </c>
      <c r="K470" s="1" t="s">
        <v>23</v>
      </c>
      <c r="L470" s="1" t="b">
        <v>0</v>
      </c>
    </row>
    <row r="471" spans="1:12" x14ac:dyDescent="0.3">
      <c r="A471" s="1" t="s">
        <v>855</v>
      </c>
      <c r="B471" s="1" t="s">
        <v>69</v>
      </c>
      <c r="C471" s="1" t="s">
        <v>20</v>
      </c>
      <c r="D471" s="1"/>
      <c r="E471" s="1" t="s">
        <v>328</v>
      </c>
      <c r="F471" s="1" t="s">
        <v>28</v>
      </c>
      <c r="G471" s="1" t="s">
        <v>143</v>
      </c>
      <c r="H471" s="1">
        <v>96241.85</v>
      </c>
      <c r="I471" s="1" t="s">
        <v>201</v>
      </c>
      <c r="J471" s="1">
        <v>-9842673203</v>
      </c>
      <c r="K471" s="1" t="s">
        <v>23</v>
      </c>
      <c r="L471" s="1" t="b">
        <v>0</v>
      </c>
    </row>
    <row r="472" spans="1:12" x14ac:dyDescent="0.3">
      <c r="A472" s="1" t="s">
        <v>856</v>
      </c>
      <c r="B472" s="1" t="s">
        <v>13</v>
      </c>
      <c r="C472" s="1" t="s">
        <v>26</v>
      </c>
      <c r="D472" s="1">
        <v>25</v>
      </c>
      <c r="E472" s="1" t="s">
        <v>265</v>
      </c>
      <c r="F472" s="1" t="s">
        <v>28</v>
      </c>
      <c r="G472" s="1" t="s">
        <v>210</v>
      </c>
      <c r="H472" s="1">
        <v>84366.38</v>
      </c>
      <c r="I472" s="1" t="s">
        <v>50</v>
      </c>
      <c r="J472" s="1">
        <v>-4138459608</v>
      </c>
      <c r="K472" s="1" t="s">
        <v>23</v>
      </c>
      <c r="L472" s="1" t="b">
        <v>0</v>
      </c>
    </row>
    <row r="473" spans="1:12" x14ac:dyDescent="0.3">
      <c r="A473" s="1" t="s">
        <v>857</v>
      </c>
      <c r="B473" s="1" t="s">
        <v>25</v>
      </c>
      <c r="C473" s="1" t="s">
        <v>43</v>
      </c>
      <c r="D473" s="1">
        <v>40</v>
      </c>
      <c r="E473" s="1" t="s">
        <v>268</v>
      </c>
      <c r="F473" s="1" t="s">
        <v>28</v>
      </c>
      <c r="G473" s="2">
        <v>45023</v>
      </c>
      <c r="H473" s="1">
        <v>92015.09</v>
      </c>
      <c r="I473" s="1" t="s">
        <v>45</v>
      </c>
      <c r="J473" s="1">
        <v>-4544901494</v>
      </c>
      <c r="K473" s="1" t="s">
        <v>18</v>
      </c>
      <c r="L473" s="1" t="b">
        <v>1</v>
      </c>
    </row>
    <row r="474" spans="1:12" x14ac:dyDescent="0.3">
      <c r="A474" s="1" t="s">
        <v>858</v>
      </c>
      <c r="B474" s="1" t="s">
        <v>25</v>
      </c>
      <c r="C474" s="1" t="s">
        <v>38</v>
      </c>
      <c r="D474" s="1">
        <v>30</v>
      </c>
      <c r="E474" s="1" t="s">
        <v>27</v>
      </c>
      <c r="F474" s="1" t="s">
        <v>33</v>
      </c>
      <c r="G474" s="1" t="s">
        <v>859</v>
      </c>
      <c r="H474" s="1">
        <v>83149.95</v>
      </c>
      <c r="I474" s="1" t="s">
        <v>362</v>
      </c>
      <c r="J474" s="1">
        <v>-4277070704</v>
      </c>
      <c r="K474" s="1" t="s">
        <v>18</v>
      </c>
      <c r="L474" s="1" t="b">
        <v>0</v>
      </c>
    </row>
    <row r="475" spans="1:12" x14ac:dyDescent="0.3">
      <c r="A475" s="1" t="s">
        <v>860</v>
      </c>
      <c r="B475" s="1" t="s">
        <v>69</v>
      </c>
      <c r="C475" s="1" t="s">
        <v>20</v>
      </c>
      <c r="D475" s="1">
        <v>40</v>
      </c>
      <c r="E475" s="1" t="s">
        <v>100</v>
      </c>
      <c r="F475" s="1" t="s">
        <v>33</v>
      </c>
      <c r="G475" s="2">
        <v>43958</v>
      </c>
      <c r="H475" s="1">
        <v>94930.65</v>
      </c>
      <c r="I475" s="1" t="s">
        <v>201</v>
      </c>
      <c r="J475" s="1">
        <v>-7836091497</v>
      </c>
      <c r="K475" s="1" t="s">
        <v>30</v>
      </c>
      <c r="L475" s="1" t="b">
        <v>0</v>
      </c>
    </row>
    <row r="476" spans="1:12" x14ac:dyDescent="0.3">
      <c r="A476" s="1" t="s">
        <v>861</v>
      </c>
      <c r="B476" s="1" t="s">
        <v>37</v>
      </c>
      <c r="C476" s="1" t="s">
        <v>38</v>
      </c>
      <c r="D476" s="1">
        <v>40</v>
      </c>
      <c r="E476" s="1" t="s">
        <v>66</v>
      </c>
      <c r="F476" s="1" t="s">
        <v>33</v>
      </c>
      <c r="G476" s="2">
        <v>43834</v>
      </c>
      <c r="H476" s="1">
        <v>68430.720000000001</v>
      </c>
      <c r="I476" s="1" t="s">
        <v>40</v>
      </c>
      <c r="J476" s="1">
        <v>-5172444722</v>
      </c>
      <c r="K476" s="1" t="s">
        <v>30</v>
      </c>
      <c r="L476" s="1" t="b">
        <v>1</v>
      </c>
    </row>
    <row r="477" spans="1:12" x14ac:dyDescent="0.3">
      <c r="A477" s="1" t="s">
        <v>862</v>
      </c>
      <c r="B477" s="1" t="s">
        <v>59</v>
      </c>
      <c r="C477" s="1" t="s">
        <v>43</v>
      </c>
      <c r="D477" s="1">
        <v>35</v>
      </c>
      <c r="E477" s="1" t="s">
        <v>44</v>
      </c>
      <c r="F477" s="1" t="s">
        <v>16</v>
      </c>
      <c r="G477" s="1" t="s">
        <v>863</v>
      </c>
      <c r="H477" s="1">
        <v>98752.97</v>
      </c>
      <c r="I477" s="1" t="s">
        <v>101</v>
      </c>
      <c r="J477" s="1">
        <v>-2290310286</v>
      </c>
      <c r="K477" s="1" t="s">
        <v>23</v>
      </c>
      <c r="L477" s="1" t="b">
        <v>0</v>
      </c>
    </row>
    <row r="478" spans="1:12" x14ac:dyDescent="0.3">
      <c r="A478" s="1" t="s">
        <v>864</v>
      </c>
      <c r="B478" s="1" t="s">
        <v>37</v>
      </c>
      <c r="C478" s="1" t="s">
        <v>122</v>
      </c>
      <c r="D478" s="1"/>
      <c r="E478" s="1" t="s">
        <v>265</v>
      </c>
      <c r="F478" s="1" t="s">
        <v>16</v>
      </c>
      <c r="G478" s="2">
        <v>45109</v>
      </c>
      <c r="H478" s="1">
        <v>54268.86</v>
      </c>
      <c r="I478" s="1" t="s">
        <v>137</v>
      </c>
      <c r="J478" s="1">
        <v>-9508304404</v>
      </c>
      <c r="K478" s="1" t="s">
        <v>41</v>
      </c>
      <c r="L478" s="1" t="b">
        <v>1</v>
      </c>
    </row>
    <row r="479" spans="1:12" x14ac:dyDescent="0.3">
      <c r="A479" s="1" t="s">
        <v>865</v>
      </c>
      <c r="B479" s="1" t="s">
        <v>69</v>
      </c>
      <c r="C479" s="1" t="s">
        <v>43</v>
      </c>
      <c r="D479" s="1"/>
      <c r="E479" s="1" t="s">
        <v>230</v>
      </c>
      <c r="F479" s="1" t="s">
        <v>28</v>
      </c>
      <c r="G479" s="2">
        <v>45577</v>
      </c>
      <c r="H479" s="1">
        <v>66494.94</v>
      </c>
      <c r="I479" s="1" t="s">
        <v>83</v>
      </c>
      <c r="J479" s="1">
        <v>-8093511870</v>
      </c>
      <c r="K479" s="1" t="s">
        <v>41</v>
      </c>
      <c r="L479" s="1" t="b">
        <v>0</v>
      </c>
    </row>
    <row r="480" spans="1:12" x14ac:dyDescent="0.3">
      <c r="A480" s="1" t="s">
        <v>866</v>
      </c>
      <c r="B480" s="1" t="s">
        <v>69</v>
      </c>
      <c r="C480" s="1" t="s">
        <v>122</v>
      </c>
      <c r="D480" s="1">
        <v>25</v>
      </c>
      <c r="E480" s="1" t="s">
        <v>98</v>
      </c>
      <c r="F480" s="1" t="s">
        <v>28</v>
      </c>
      <c r="G480" s="1" t="s">
        <v>867</v>
      </c>
      <c r="H480" s="1">
        <v>90003.98</v>
      </c>
      <c r="I480" s="1" t="s">
        <v>135</v>
      </c>
      <c r="J480" s="1">
        <v>-8133595615</v>
      </c>
      <c r="K480" s="1" t="s">
        <v>18</v>
      </c>
      <c r="L480" s="1" t="b">
        <v>0</v>
      </c>
    </row>
    <row r="481" spans="1:12" x14ac:dyDescent="0.3">
      <c r="A481" s="1" t="s">
        <v>868</v>
      </c>
      <c r="B481" s="1" t="s">
        <v>54</v>
      </c>
      <c r="C481" s="1" t="s">
        <v>20</v>
      </c>
      <c r="D481" s="1">
        <v>25</v>
      </c>
      <c r="E481" s="1" t="s">
        <v>227</v>
      </c>
      <c r="F481" s="1" t="s">
        <v>16</v>
      </c>
      <c r="G481" s="2">
        <v>44442</v>
      </c>
      <c r="H481" s="1">
        <v>106592.25</v>
      </c>
      <c r="I481" s="1" t="s">
        <v>125</v>
      </c>
      <c r="J481" s="1">
        <v>-4205955656</v>
      </c>
      <c r="K481" s="1" t="s">
        <v>18</v>
      </c>
      <c r="L481" s="1" t="b">
        <v>1</v>
      </c>
    </row>
    <row r="482" spans="1:12" x14ac:dyDescent="0.3">
      <c r="A482" s="1" t="s">
        <v>869</v>
      </c>
      <c r="B482" s="1" t="s">
        <v>69</v>
      </c>
      <c r="C482" s="1" t="s">
        <v>20</v>
      </c>
      <c r="D482" s="1">
        <v>25</v>
      </c>
      <c r="E482" s="1" t="s">
        <v>230</v>
      </c>
      <c r="F482" s="1" t="s">
        <v>16</v>
      </c>
      <c r="G482" s="2">
        <v>45604</v>
      </c>
      <c r="H482" s="1">
        <v>93905.83</v>
      </c>
      <c r="I482" s="1" t="s">
        <v>201</v>
      </c>
      <c r="J482" s="1">
        <v>-4902504289</v>
      </c>
      <c r="K482" s="1" t="s">
        <v>18</v>
      </c>
      <c r="L482" s="1" t="b">
        <v>1</v>
      </c>
    </row>
    <row r="483" spans="1:12" x14ac:dyDescent="0.3">
      <c r="A483" s="1" t="s">
        <v>870</v>
      </c>
      <c r="B483" s="1" t="s">
        <v>32</v>
      </c>
      <c r="C483" s="1" t="s">
        <v>92</v>
      </c>
      <c r="D483" s="1">
        <v>35</v>
      </c>
      <c r="E483" s="1" t="s">
        <v>237</v>
      </c>
      <c r="F483" s="1" t="s">
        <v>16</v>
      </c>
      <c r="G483" s="2">
        <v>44684</v>
      </c>
      <c r="H483" s="1">
        <v>88945.49</v>
      </c>
      <c r="I483" s="1" t="s">
        <v>263</v>
      </c>
      <c r="J483" s="1">
        <v>-1935889535</v>
      </c>
      <c r="K483" s="1" t="s">
        <v>30</v>
      </c>
      <c r="L483" s="1" t="b">
        <v>0</v>
      </c>
    </row>
    <row r="484" spans="1:12" x14ac:dyDescent="0.3">
      <c r="A484" s="1" t="s">
        <v>871</v>
      </c>
      <c r="B484" s="1" t="s">
        <v>32</v>
      </c>
      <c r="C484" s="1" t="s">
        <v>26</v>
      </c>
      <c r="D484" s="1"/>
      <c r="E484" s="1" t="s">
        <v>21</v>
      </c>
      <c r="F484" s="1" t="s">
        <v>28</v>
      </c>
      <c r="G484" s="1" t="s">
        <v>332</v>
      </c>
      <c r="H484" s="1">
        <v>91130.33</v>
      </c>
      <c r="I484" s="1" t="s">
        <v>277</v>
      </c>
      <c r="J484" s="1">
        <v>-9026113988</v>
      </c>
      <c r="K484" s="1" t="s">
        <v>30</v>
      </c>
      <c r="L484" s="1" t="b">
        <v>0</v>
      </c>
    </row>
    <row r="485" spans="1:12" x14ac:dyDescent="0.3">
      <c r="A485" s="1" t="s">
        <v>872</v>
      </c>
      <c r="B485" s="1" t="s">
        <v>13</v>
      </c>
      <c r="C485" s="1" t="s">
        <v>92</v>
      </c>
      <c r="D485" s="1">
        <v>40</v>
      </c>
      <c r="E485" s="1" t="s">
        <v>196</v>
      </c>
      <c r="F485" s="1" t="s">
        <v>28</v>
      </c>
      <c r="G485" s="1" t="s">
        <v>873</v>
      </c>
      <c r="H485" s="1">
        <v>90787.4</v>
      </c>
      <c r="I485" s="1" t="s">
        <v>93</v>
      </c>
      <c r="J485" s="1">
        <v>-8681809787</v>
      </c>
      <c r="K485" s="1" t="s">
        <v>18</v>
      </c>
      <c r="L485" s="1" t="b">
        <v>0</v>
      </c>
    </row>
    <row r="486" spans="1:12" x14ac:dyDescent="0.3">
      <c r="A486" s="1" t="s">
        <v>874</v>
      </c>
      <c r="B486" s="1" t="s">
        <v>13</v>
      </c>
      <c r="C486" s="1" t="s">
        <v>26</v>
      </c>
      <c r="D486" s="1">
        <v>25</v>
      </c>
      <c r="E486" s="1" t="s">
        <v>44</v>
      </c>
      <c r="F486" s="1" t="s">
        <v>33</v>
      </c>
      <c r="G486" s="2">
        <v>45607</v>
      </c>
      <c r="H486" s="1">
        <v>87494.34</v>
      </c>
      <c r="I486" s="1" t="s">
        <v>50</v>
      </c>
      <c r="J486" s="1">
        <v>-7543943534</v>
      </c>
      <c r="K486" s="1" t="s">
        <v>18</v>
      </c>
      <c r="L486" s="1" t="b">
        <v>1</v>
      </c>
    </row>
    <row r="487" spans="1:12" x14ac:dyDescent="0.3">
      <c r="A487" s="1" t="s">
        <v>875</v>
      </c>
      <c r="B487" s="1" t="s">
        <v>69</v>
      </c>
      <c r="C487" s="1" t="s">
        <v>92</v>
      </c>
      <c r="D487" s="1">
        <v>35</v>
      </c>
      <c r="E487" s="1" t="s">
        <v>100</v>
      </c>
      <c r="F487" s="1" t="s">
        <v>33</v>
      </c>
      <c r="G487" s="1" t="s">
        <v>876</v>
      </c>
      <c r="H487" s="1">
        <v>92627.35</v>
      </c>
      <c r="I487" s="1" t="s">
        <v>168</v>
      </c>
      <c r="J487" s="1">
        <v>-3751376514</v>
      </c>
      <c r="K487" s="1" t="s">
        <v>18</v>
      </c>
      <c r="L487" s="1" t="b">
        <v>0</v>
      </c>
    </row>
    <row r="488" spans="1:12" x14ac:dyDescent="0.3">
      <c r="A488" s="1" t="s">
        <v>877</v>
      </c>
      <c r="B488" s="1" t="s">
        <v>32</v>
      </c>
      <c r="C488" s="1" t="s">
        <v>38</v>
      </c>
      <c r="D488" s="1">
        <v>40</v>
      </c>
      <c r="E488" s="1" t="s">
        <v>89</v>
      </c>
      <c r="F488" s="1" t="s">
        <v>28</v>
      </c>
      <c r="G488" s="1" t="s">
        <v>430</v>
      </c>
      <c r="H488" s="1">
        <v>98556.29</v>
      </c>
      <c r="I488" s="1" t="s">
        <v>141</v>
      </c>
      <c r="J488" s="1">
        <v>-8815793762</v>
      </c>
      <c r="K488" s="1" t="s">
        <v>41</v>
      </c>
      <c r="L488" s="1" t="b">
        <v>1</v>
      </c>
    </row>
    <row r="489" spans="1:12" x14ac:dyDescent="0.3">
      <c r="A489" s="1" t="s">
        <v>878</v>
      </c>
      <c r="B489" s="1" t="s">
        <v>37</v>
      </c>
      <c r="C489" s="1" t="s">
        <v>20</v>
      </c>
      <c r="D489" s="1">
        <v>30</v>
      </c>
      <c r="E489" s="1" t="s">
        <v>85</v>
      </c>
      <c r="F489" s="1" t="s">
        <v>33</v>
      </c>
      <c r="G489" s="2">
        <v>44293</v>
      </c>
      <c r="H489" s="1">
        <v>112792.2</v>
      </c>
      <c r="I489" s="1" t="s">
        <v>239</v>
      </c>
      <c r="J489" s="1">
        <v>-9283692943</v>
      </c>
      <c r="K489" s="1" t="s">
        <v>30</v>
      </c>
      <c r="L489" s="1" t="b">
        <v>1</v>
      </c>
    </row>
    <row r="490" spans="1:12" x14ac:dyDescent="0.3">
      <c r="A490" s="1" t="s">
        <v>879</v>
      </c>
      <c r="B490" s="1" t="s">
        <v>32</v>
      </c>
      <c r="C490" s="1" t="s">
        <v>122</v>
      </c>
      <c r="D490" s="1">
        <v>35</v>
      </c>
      <c r="E490" s="1" t="s">
        <v>212</v>
      </c>
      <c r="F490" s="1" t="s">
        <v>28</v>
      </c>
      <c r="G490" s="2">
        <v>44996</v>
      </c>
      <c r="H490" s="1">
        <v>56875.22</v>
      </c>
      <c r="I490" s="1" t="s">
        <v>521</v>
      </c>
      <c r="J490" s="1">
        <v>-5511668296</v>
      </c>
      <c r="K490" s="1" t="s">
        <v>41</v>
      </c>
      <c r="L490" s="1" t="b">
        <v>0</v>
      </c>
    </row>
    <row r="491" spans="1:12" x14ac:dyDescent="0.3">
      <c r="A491" s="1" t="s">
        <v>880</v>
      </c>
      <c r="B491" s="1" t="s">
        <v>54</v>
      </c>
      <c r="C491" s="1" t="s">
        <v>26</v>
      </c>
      <c r="D491" s="1">
        <v>35</v>
      </c>
      <c r="E491" s="1" t="s">
        <v>230</v>
      </c>
      <c r="F491" s="1" t="s">
        <v>33</v>
      </c>
      <c r="G491" s="2">
        <v>44323</v>
      </c>
      <c r="H491" s="1">
        <v>101015.96</v>
      </c>
      <c r="I491" s="1" t="s">
        <v>120</v>
      </c>
      <c r="J491" s="1">
        <v>-3270216486</v>
      </c>
      <c r="K491" s="1" t="s">
        <v>41</v>
      </c>
      <c r="L491" s="1" t="b">
        <v>1</v>
      </c>
    </row>
    <row r="492" spans="1:12" x14ac:dyDescent="0.3">
      <c r="A492" s="1" t="s">
        <v>881</v>
      </c>
      <c r="B492" s="1" t="s">
        <v>13</v>
      </c>
      <c r="C492" s="1" t="s">
        <v>43</v>
      </c>
      <c r="D492" s="1">
        <v>30</v>
      </c>
      <c r="E492" s="1" t="s">
        <v>227</v>
      </c>
      <c r="F492" s="1" t="s">
        <v>33</v>
      </c>
      <c r="G492" s="1" t="s">
        <v>882</v>
      </c>
      <c r="H492" s="1">
        <v>83912.22</v>
      </c>
      <c r="I492" s="1" t="s">
        <v>153</v>
      </c>
      <c r="J492" s="1">
        <v>-1206021287</v>
      </c>
      <c r="K492" s="1" t="s">
        <v>18</v>
      </c>
      <c r="L492" s="1" t="b">
        <v>0</v>
      </c>
    </row>
    <row r="493" spans="1:12" x14ac:dyDescent="0.3">
      <c r="A493" s="1" t="s">
        <v>883</v>
      </c>
      <c r="B493" s="1" t="s">
        <v>37</v>
      </c>
      <c r="C493" s="1" t="s">
        <v>26</v>
      </c>
      <c r="D493" s="1">
        <v>25</v>
      </c>
      <c r="E493" s="1" t="s">
        <v>109</v>
      </c>
      <c r="F493" s="1" t="s">
        <v>16</v>
      </c>
      <c r="G493" s="1" t="s">
        <v>884</v>
      </c>
      <c r="H493" s="1">
        <v>99669.86</v>
      </c>
      <c r="I493" s="1" t="s">
        <v>47</v>
      </c>
      <c r="J493" s="1">
        <v>-6652683414</v>
      </c>
      <c r="K493" s="1" t="s">
        <v>18</v>
      </c>
      <c r="L493" s="1" t="b">
        <v>0</v>
      </c>
    </row>
    <row r="494" spans="1:12" x14ac:dyDescent="0.3">
      <c r="A494" s="1" t="s">
        <v>885</v>
      </c>
      <c r="B494" s="1" t="s">
        <v>25</v>
      </c>
      <c r="C494" s="1" t="s">
        <v>122</v>
      </c>
      <c r="D494" s="1">
        <v>30</v>
      </c>
      <c r="E494" s="1" t="s">
        <v>196</v>
      </c>
      <c r="F494" s="1" t="s">
        <v>16</v>
      </c>
      <c r="G494" s="1" t="s">
        <v>886</v>
      </c>
      <c r="H494" s="1">
        <v>52314.97</v>
      </c>
      <c r="I494" s="1" t="s">
        <v>182</v>
      </c>
      <c r="J494" s="1">
        <v>-5999101575</v>
      </c>
      <c r="K494" s="1" t="s">
        <v>23</v>
      </c>
      <c r="L494" s="1" t="b">
        <v>0</v>
      </c>
    </row>
    <row r="495" spans="1:12" x14ac:dyDescent="0.3">
      <c r="A495" s="1" t="s">
        <v>887</v>
      </c>
      <c r="B495" s="1" t="s">
        <v>37</v>
      </c>
      <c r="C495" s="1" t="s">
        <v>92</v>
      </c>
      <c r="D495" s="1">
        <v>30</v>
      </c>
      <c r="E495" s="1" t="s">
        <v>146</v>
      </c>
      <c r="F495" s="1" t="s">
        <v>33</v>
      </c>
      <c r="G495" s="1" t="s">
        <v>888</v>
      </c>
      <c r="H495" s="1">
        <v>77785.960000000006</v>
      </c>
      <c r="I495" s="1" t="s">
        <v>110</v>
      </c>
      <c r="J495" s="1">
        <v>-7647229811</v>
      </c>
      <c r="K495" s="1" t="s">
        <v>23</v>
      </c>
      <c r="L495" s="1" t="b">
        <v>0</v>
      </c>
    </row>
    <row r="496" spans="1:12" x14ac:dyDescent="0.3">
      <c r="A496" s="1" t="s">
        <v>889</v>
      </c>
      <c r="B496" s="1" t="s">
        <v>25</v>
      </c>
      <c r="C496" s="1" t="s">
        <v>26</v>
      </c>
      <c r="D496" s="1">
        <v>30</v>
      </c>
      <c r="E496" s="1" t="s">
        <v>212</v>
      </c>
      <c r="F496" s="1" t="s">
        <v>28</v>
      </c>
      <c r="G496" s="2">
        <v>44599</v>
      </c>
      <c r="H496" s="1">
        <v>62430.86</v>
      </c>
      <c r="I496" s="1" t="s">
        <v>29</v>
      </c>
      <c r="J496" s="1">
        <v>-995765727</v>
      </c>
      <c r="K496" s="1" t="s">
        <v>41</v>
      </c>
      <c r="L496" s="1" t="b">
        <v>0</v>
      </c>
    </row>
    <row r="497" spans="1:12" x14ac:dyDescent="0.3">
      <c r="A497" s="1" t="s">
        <v>890</v>
      </c>
      <c r="B497" s="1" t="s">
        <v>37</v>
      </c>
      <c r="C497" s="1" t="s">
        <v>14</v>
      </c>
      <c r="D497" s="1">
        <v>35</v>
      </c>
      <c r="E497" s="1" t="s">
        <v>118</v>
      </c>
      <c r="F497" s="1" t="s">
        <v>28</v>
      </c>
      <c r="G497" s="1" t="s">
        <v>208</v>
      </c>
      <c r="H497" s="1">
        <v>98219.54</v>
      </c>
      <c r="I497" s="1" t="s">
        <v>52</v>
      </c>
      <c r="J497" s="1">
        <v>-9413475097</v>
      </c>
      <c r="K497" s="1" t="s">
        <v>30</v>
      </c>
      <c r="L497" s="1" t="b">
        <v>1</v>
      </c>
    </row>
    <row r="498" spans="1:12" x14ac:dyDescent="0.3">
      <c r="A498" s="1" t="s">
        <v>891</v>
      </c>
      <c r="B498" s="1" t="s">
        <v>69</v>
      </c>
      <c r="C498" s="1" t="s">
        <v>38</v>
      </c>
      <c r="D498" s="1">
        <v>25</v>
      </c>
      <c r="E498" s="1" t="s">
        <v>89</v>
      </c>
      <c r="F498" s="1" t="s">
        <v>16</v>
      </c>
      <c r="G498" s="1" t="s">
        <v>892</v>
      </c>
      <c r="H498" s="1">
        <v>65494.58</v>
      </c>
      <c r="I498" s="1" t="s">
        <v>71</v>
      </c>
      <c r="J498" s="1">
        <v>-8986456521</v>
      </c>
      <c r="K498" s="1" t="s">
        <v>18</v>
      </c>
      <c r="L498" s="1" t="b">
        <v>1</v>
      </c>
    </row>
    <row r="499" spans="1:12" x14ac:dyDescent="0.3">
      <c r="A499" s="1" t="s">
        <v>893</v>
      </c>
      <c r="B499" s="1" t="s">
        <v>59</v>
      </c>
      <c r="C499" s="1" t="s">
        <v>20</v>
      </c>
      <c r="D499" s="1">
        <v>35</v>
      </c>
      <c r="E499" s="1" t="s">
        <v>230</v>
      </c>
      <c r="F499" s="1" t="s">
        <v>28</v>
      </c>
      <c r="G499" s="2">
        <v>44137</v>
      </c>
      <c r="H499" s="1">
        <v>110524.1</v>
      </c>
      <c r="I499" s="1" t="s">
        <v>225</v>
      </c>
      <c r="J499" s="1">
        <v>-368499514</v>
      </c>
      <c r="K499" s="1" t="s">
        <v>18</v>
      </c>
      <c r="L499" s="1" t="b">
        <v>0</v>
      </c>
    </row>
    <row r="500" spans="1:12" x14ac:dyDescent="0.3">
      <c r="A500" s="1" t="s">
        <v>894</v>
      </c>
      <c r="B500" s="1" t="s">
        <v>25</v>
      </c>
      <c r="C500" s="1" t="s">
        <v>122</v>
      </c>
      <c r="D500" s="1">
        <v>40</v>
      </c>
      <c r="E500" s="1" t="s">
        <v>27</v>
      </c>
      <c r="F500" s="1" t="s">
        <v>16</v>
      </c>
      <c r="G500" s="1" t="s">
        <v>895</v>
      </c>
      <c r="H500" s="1">
        <v>106060.54</v>
      </c>
      <c r="I500" s="1" t="s">
        <v>182</v>
      </c>
      <c r="J500" s="1">
        <v>-4214477323</v>
      </c>
      <c r="K500" s="1" t="s">
        <v>41</v>
      </c>
      <c r="L500" s="1" t="b">
        <v>0</v>
      </c>
    </row>
    <row r="501" spans="1:12" x14ac:dyDescent="0.3">
      <c r="A501" s="1" t="s">
        <v>896</v>
      </c>
      <c r="B501" s="1" t="s">
        <v>32</v>
      </c>
      <c r="C501" s="1" t="s">
        <v>20</v>
      </c>
      <c r="D501" s="1">
        <v>35</v>
      </c>
      <c r="E501" s="1" t="s">
        <v>112</v>
      </c>
      <c r="F501" s="1" t="s">
        <v>33</v>
      </c>
      <c r="G501" s="1" t="s">
        <v>897</v>
      </c>
      <c r="H501" s="1">
        <v>67639.91</v>
      </c>
      <c r="I501" s="1" t="s">
        <v>155</v>
      </c>
      <c r="J501" s="1">
        <v>-4913421387</v>
      </c>
      <c r="K501" s="1" t="s">
        <v>23</v>
      </c>
      <c r="L501" s="1" t="b">
        <v>1</v>
      </c>
    </row>
    <row r="502" spans="1:12" x14ac:dyDescent="0.3">
      <c r="A502" s="1" t="s">
        <v>898</v>
      </c>
      <c r="B502" s="1" t="s">
        <v>69</v>
      </c>
      <c r="C502" s="1" t="s">
        <v>14</v>
      </c>
      <c r="D502" s="1"/>
      <c r="E502" s="1" t="s">
        <v>159</v>
      </c>
      <c r="F502" s="1" t="s">
        <v>28</v>
      </c>
      <c r="G502" s="1" t="s">
        <v>899</v>
      </c>
      <c r="H502" s="1">
        <v>117653.98</v>
      </c>
      <c r="I502" s="1" t="s">
        <v>235</v>
      </c>
      <c r="J502" s="1">
        <v>-2090883069</v>
      </c>
      <c r="K502" s="1" t="s">
        <v>30</v>
      </c>
      <c r="L502" s="1" t="b">
        <v>1</v>
      </c>
    </row>
    <row r="503" spans="1:12" x14ac:dyDescent="0.3">
      <c r="A503" s="1" t="s">
        <v>900</v>
      </c>
      <c r="B503" s="1" t="s">
        <v>32</v>
      </c>
      <c r="C503" s="1" t="s">
        <v>26</v>
      </c>
      <c r="D503" s="1">
        <v>35</v>
      </c>
      <c r="E503" s="1" t="s">
        <v>237</v>
      </c>
      <c r="F503" s="1" t="s">
        <v>33</v>
      </c>
      <c r="G503" s="2">
        <v>44109</v>
      </c>
      <c r="H503" s="1">
        <v>73539.86</v>
      </c>
      <c r="I503" s="1" t="s">
        <v>277</v>
      </c>
      <c r="J503" s="1">
        <v>-5349678273</v>
      </c>
      <c r="K503" s="1" t="s">
        <v>23</v>
      </c>
      <c r="L503" s="1" t="b">
        <v>1</v>
      </c>
    </row>
    <row r="504" spans="1:12" x14ac:dyDescent="0.3">
      <c r="A504" s="1" t="s">
        <v>901</v>
      </c>
      <c r="B504" s="1" t="s">
        <v>37</v>
      </c>
      <c r="C504" s="1" t="s">
        <v>26</v>
      </c>
      <c r="D504" s="1">
        <v>35</v>
      </c>
      <c r="E504" s="1" t="s">
        <v>149</v>
      </c>
      <c r="F504" s="1" t="s">
        <v>28</v>
      </c>
      <c r="G504" s="1" t="s">
        <v>902</v>
      </c>
      <c r="H504" s="1">
        <v>70915.38</v>
      </c>
      <c r="I504" s="1" t="s">
        <v>47</v>
      </c>
      <c r="J504" s="1">
        <v>-1176741240</v>
      </c>
      <c r="K504" s="1" t="s">
        <v>23</v>
      </c>
      <c r="L504" s="1" t="b">
        <v>1</v>
      </c>
    </row>
    <row r="505" spans="1:12" x14ac:dyDescent="0.3">
      <c r="A505" s="1" t="s">
        <v>903</v>
      </c>
      <c r="B505" s="1" t="s">
        <v>59</v>
      </c>
      <c r="C505" s="1" t="s">
        <v>43</v>
      </c>
      <c r="D505" s="1">
        <v>25</v>
      </c>
      <c r="E505" s="1" t="s">
        <v>74</v>
      </c>
      <c r="F505" s="1" t="s">
        <v>28</v>
      </c>
      <c r="G505" s="1" t="s">
        <v>904</v>
      </c>
      <c r="H505" s="1">
        <v>97652.9</v>
      </c>
      <c r="I505" s="1" t="s">
        <v>101</v>
      </c>
      <c r="J505" s="1">
        <v>-5131528546</v>
      </c>
      <c r="K505" s="1" t="s">
        <v>23</v>
      </c>
      <c r="L505" s="1" t="b">
        <v>0</v>
      </c>
    </row>
    <row r="506" spans="1:12" x14ac:dyDescent="0.3">
      <c r="A506" s="1" t="s">
        <v>905</v>
      </c>
      <c r="B506" s="1" t="s">
        <v>65</v>
      </c>
      <c r="C506" s="1" t="s">
        <v>14</v>
      </c>
      <c r="D506" s="1">
        <v>35</v>
      </c>
      <c r="E506" s="1" t="s">
        <v>212</v>
      </c>
      <c r="F506" s="1" t="s">
        <v>33</v>
      </c>
      <c r="G506" s="2">
        <v>44715</v>
      </c>
      <c r="H506" s="1">
        <v>101571.25</v>
      </c>
      <c r="I506" s="1" t="s">
        <v>394</v>
      </c>
      <c r="J506" s="1">
        <v>-8150618537</v>
      </c>
      <c r="K506" s="1" t="s">
        <v>23</v>
      </c>
      <c r="L506" s="1" t="b">
        <v>0</v>
      </c>
    </row>
    <row r="507" spans="1:12" x14ac:dyDescent="0.3">
      <c r="A507" s="1" t="s">
        <v>906</v>
      </c>
      <c r="B507" s="1" t="s">
        <v>59</v>
      </c>
      <c r="C507" s="1" t="s">
        <v>122</v>
      </c>
      <c r="D507" s="1">
        <v>35</v>
      </c>
      <c r="E507" s="1" t="s">
        <v>328</v>
      </c>
      <c r="F507" s="1" t="s">
        <v>16</v>
      </c>
      <c r="G507" s="2">
        <v>45088</v>
      </c>
      <c r="H507" s="1">
        <v>87424.46</v>
      </c>
      <c r="I507" s="1" t="s">
        <v>340</v>
      </c>
      <c r="J507" s="1">
        <v>-32963346</v>
      </c>
      <c r="K507" s="1" t="s">
        <v>18</v>
      </c>
      <c r="L507" s="1" t="b">
        <v>1</v>
      </c>
    </row>
    <row r="508" spans="1:12" x14ac:dyDescent="0.3">
      <c r="A508" s="1" t="s">
        <v>907</v>
      </c>
      <c r="B508" s="1" t="s">
        <v>37</v>
      </c>
      <c r="C508" s="1" t="s">
        <v>43</v>
      </c>
      <c r="D508" s="1"/>
      <c r="E508" s="1" t="s">
        <v>66</v>
      </c>
      <c r="F508" s="1" t="s">
        <v>28</v>
      </c>
      <c r="G508" s="1" t="s">
        <v>908</v>
      </c>
      <c r="H508" s="1">
        <v>89077.36</v>
      </c>
      <c r="I508" s="1" t="s">
        <v>180</v>
      </c>
      <c r="J508" s="1">
        <v>-2727423182</v>
      </c>
      <c r="K508" s="1" t="s">
        <v>18</v>
      </c>
      <c r="L508" s="1" t="b">
        <v>0</v>
      </c>
    </row>
    <row r="509" spans="1:12" x14ac:dyDescent="0.3">
      <c r="A509" s="1" t="s">
        <v>909</v>
      </c>
      <c r="B509" s="1" t="s">
        <v>65</v>
      </c>
      <c r="C509" s="1" t="s">
        <v>38</v>
      </c>
      <c r="D509" s="1">
        <v>30</v>
      </c>
      <c r="E509" s="1" t="s">
        <v>15</v>
      </c>
      <c r="F509" s="1" t="s">
        <v>28</v>
      </c>
      <c r="G509" s="1" t="s">
        <v>910</v>
      </c>
      <c r="H509" s="1">
        <v>89132.22</v>
      </c>
      <c r="I509" s="1" t="s">
        <v>67</v>
      </c>
      <c r="J509" s="1">
        <v>-617893205</v>
      </c>
      <c r="K509" s="1" t="s">
        <v>23</v>
      </c>
      <c r="L509" s="1" t="b">
        <v>1</v>
      </c>
    </row>
    <row r="510" spans="1:12" x14ac:dyDescent="0.3">
      <c r="A510" s="1" t="s">
        <v>911</v>
      </c>
      <c r="B510" s="1" t="s">
        <v>37</v>
      </c>
      <c r="C510" s="1" t="s">
        <v>43</v>
      </c>
      <c r="D510" s="1">
        <v>25</v>
      </c>
      <c r="E510" s="1" t="s">
        <v>118</v>
      </c>
      <c r="F510" s="1" t="s">
        <v>16</v>
      </c>
      <c r="G510" s="2">
        <v>45385</v>
      </c>
      <c r="H510" s="1">
        <v>111000.26</v>
      </c>
      <c r="I510" s="1" t="s">
        <v>180</v>
      </c>
      <c r="J510" s="1">
        <v>-4969357823</v>
      </c>
      <c r="K510" s="1" t="s">
        <v>30</v>
      </c>
      <c r="L510" s="1" t="b">
        <v>0</v>
      </c>
    </row>
    <row r="511" spans="1:12" x14ac:dyDescent="0.3">
      <c r="A511" s="1" t="s">
        <v>912</v>
      </c>
      <c r="B511" s="1" t="s">
        <v>37</v>
      </c>
      <c r="C511" s="1" t="s">
        <v>55</v>
      </c>
      <c r="D511" s="1">
        <v>35</v>
      </c>
      <c r="E511" s="1" t="s">
        <v>192</v>
      </c>
      <c r="F511" s="1" t="s">
        <v>33</v>
      </c>
      <c r="G511" s="2">
        <v>44750</v>
      </c>
      <c r="H511" s="1">
        <v>109584.97</v>
      </c>
      <c r="I511" s="1" t="s">
        <v>271</v>
      </c>
      <c r="J511" s="1">
        <v>-3477695873</v>
      </c>
      <c r="K511" s="1" t="s">
        <v>41</v>
      </c>
      <c r="L511" s="1" t="b">
        <v>1</v>
      </c>
    </row>
    <row r="512" spans="1:12" x14ac:dyDescent="0.3">
      <c r="A512" s="1" t="s">
        <v>913</v>
      </c>
      <c r="B512" s="1" t="s">
        <v>13</v>
      </c>
      <c r="C512" s="1" t="s">
        <v>122</v>
      </c>
      <c r="D512" s="1">
        <v>40</v>
      </c>
      <c r="E512" s="1" t="s">
        <v>89</v>
      </c>
      <c r="F512" s="1" t="s">
        <v>16</v>
      </c>
      <c r="G512" s="2">
        <v>45607</v>
      </c>
      <c r="H512" s="1">
        <v>97648.84</v>
      </c>
      <c r="I512" s="1" t="s">
        <v>123</v>
      </c>
      <c r="J512" s="1">
        <v>-1314675360</v>
      </c>
      <c r="K512" s="1" t="s">
        <v>30</v>
      </c>
      <c r="L512" s="1" t="b">
        <v>0</v>
      </c>
    </row>
    <row r="513" spans="1:12" x14ac:dyDescent="0.3">
      <c r="A513" s="1" t="s">
        <v>914</v>
      </c>
      <c r="B513" s="1" t="s">
        <v>69</v>
      </c>
      <c r="C513" s="1" t="s">
        <v>55</v>
      </c>
      <c r="D513" s="1">
        <v>25</v>
      </c>
      <c r="E513" s="1" t="s">
        <v>196</v>
      </c>
      <c r="F513" s="1" t="s">
        <v>16</v>
      </c>
      <c r="G513" s="2">
        <v>44239</v>
      </c>
      <c r="H513" s="1">
        <v>78643.429999999993</v>
      </c>
      <c r="I513" s="1" t="s">
        <v>127</v>
      </c>
      <c r="J513" s="1">
        <v>-2751562778</v>
      </c>
      <c r="K513" s="1" t="s">
        <v>30</v>
      </c>
      <c r="L513" s="1" t="b">
        <v>1</v>
      </c>
    </row>
    <row r="514" spans="1:12" x14ac:dyDescent="0.3">
      <c r="A514" s="1" t="s">
        <v>915</v>
      </c>
      <c r="B514" s="1" t="s">
        <v>65</v>
      </c>
      <c r="C514" s="1" t="s">
        <v>14</v>
      </c>
      <c r="D514" s="1">
        <v>30</v>
      </c>
      <c r="E514" s="1" t="s">
        <v>149</v>
      </c>
      <c r="F514" s="1" t="s">
        <v>16</v>
      </c>
      <c r="G514" s="1" t="s">
        <v>916</v>
      </c>
      <c r="H514" s="1">
        <v>55656.800000000003</v>
      </c>
      <c r="I514" s="1" t="s">
        <v>394</v>
      </c>
      <c r="J514" s="1">
        <v>-6304483607</v>
      </c>
      <c r="K514" s="1" t="s">
        <v>30</v>
      </c>
      <c r="L514" s="1" t="b">
        <v>1</v>
      </c>
    </row>
    <row r="515" spans="1:12" x14ac:dyDescent="0.3">
      <c r="A515" s="1" t="s">
        <v>917</v>
      </c>
      <c r="B515" s="1" t="s">
        <v>54</v>
      </c>
      <c r="C515" s="1" t="s">
        <v>92</v>
      </c>
      <c r="D515" s="1">
        <v>35</v>
      </c>
      <c r="E515" s="1" t="s">
        <v>237</v>
      </c>
      <c r="F515" s="1" t="s">
        <v>16</v>
      </c>
      <c r="G515" s="1" t="s">
        <v>918</v>
      </c>
      <c r="H515" s="1">
        <v>69146.95</v>
      </c>
      <c r="I515" s="1" t="s">
        <v>501</v>
      </c>
      <c r="J515" s="1">
        <v>-5456676639</v>
      </c>
      <c r="K515" s="1" t="s">
        <v>23</v>
      </c>
      <c r="L515" s="1" t="b">
        <v>0</v>
      </c>
    </row>
    <row r="516" spans="1:12" x14ac:dyDescent="0.3">
      <c r="A516" s="1" t="s">
        <v>919</v>
      </c>
      <c r="B516" s="1" t="s">
        <v>54</v>
      </c>
      <c r="C516" s="1" t="s">
        <v>55</v>
      </c>
      <c r="D516" s="1"/>
      <c r="E516" s="1" t="s">
        <v>205</v>
      </c>
      <c r="F516" s="1" t="s">
        <v>16</v>
      </c>
      <c r="G516" s="1" t="s">
        <v>920</v>
      </c>
      <c r="H516" s="1">
        <v>93013.58</v>
      </c>
      <c r="I516" s="1" t="s">
        <v>57</v>
      </c>
      <c r="J516" s="1">
        <v>-4735047638</v>
      </c>
      <c r="K516" s="1" t="s">
        <v>18</v>
      </c>
      <c r="L516" s="1" t="b">
        <v>1</v>
      </c>
    </row>
    <row r="517" spans="1:12" x14ac:dyDescent="0.3">
      <c r="A517" s="1" t="s">
        <v>921</v>
      </c>
      <c r="B517" s="1" t="s">
        <v>69</v>
      </c>
      <c r="C517" s="1" t="s">
        <v>38</v>
      </c>
      <c r="D517" s="1">
        <v>40</v>
      </c>
      <c r="E517" s="1" t="s">
        <v>112</v>
      </c>
      <c r="F517" s="1" t="s">
        <v>16</v>
      </c>
      <c r="G517" s="1" t="s">
        <v>828</v>
      </c>
      <c r="H517" s="1">
        <v>87364.78</v>
      </c>
      <c r="I517" s="1" t="s">
        <v>71</v>
      </c>
      <c r="J517" s="1">
        <v>-2831995297</v>
      </c>
      <c r="K517" s="1" t="s">
        <v>30</v>
      </c>
      <c r="L517" s="1" t="b">
        <v>0</v>
      </c>
    </row>
    <row r="518" spans="1:12" x14ac:dyDescent="0.3">
      <c r="A518" s="1" t="s">
        <v>922</v>
      </c>
      <c r="B518" s="1" t="s">
        <v>25</v>
      </c>
      <c r="C518" s="1" t="s">
        <v>43</v>
      </c>
      <c r="D518" s="1">
        <v>35</v>
      </c>
      <c r="E518" s="1" t="s">
        <v>109</v>
      </c>
      <c r="F518" s="1" t="s">
        <v>16</v>
      </c>
      <c r="G518" s="1" t="s">
        <v>454</v>
      </c>
      <c r="H518" s="1">
        <v>50288.67</v>
      </c>
      <c r="I518" s="1" t="s">
        <v>45</v>
      </c>
      <c r="J518" s="1">
        <v>-61558107</v>
      </c>
      <c r="K518" s="1" t="s">
        <v>23</v>
      </c>
      <c r="L518" s="1" t="b">
        <v>0</v>
      </c>
    </row>
    <row r="519" spans="1:12" x14ac:dyDescent="0.3">
      <c r="A519" s="1" t="s">
        <v>923</v>
      </c>
      <c r="B519" s="1" t="s">
        <v>59</v>
      </c>
      <c r="C519" s="1" t="s">
        <v>92</v>
      </c>
      <c r="D519" s="1">
        <v>35</v>
      </c>
      <c r="E519" s="1" t="s">
        <v>66</v>
      </c>
      <c r="F519" s="1" t="s">
        <v>16</v>
      </c>
      <c r="G519" s="1" t="s">
        <v>924</v>
      </c>
      <c r="H519" s="1">
        <v>85233.55</v>
      </c>
      <c r="I519" s="1" t="s">
        <v>107</v>
      </c>
      <c r="J519" s="1">
        <v>-3583286341</v>
      </c>
      <c r="K519" s="1" t="s">
        <v>30</v>
      </c>
      <c r="L519" s="1" t="b">
        <v>1</v>
      </c>
    </row>
    <row r="520" spans="1:12" x14ac:dyDescent="0.3">
      <c r="A520" s="1" t="s">
        <v>925</v>
      </c>
      <c r="B520" s="1" t="s">
        <v>13</v>
      </c>
      <c r="C520" s="1" t="s">
        <v>43</v>
      </c>
      <c r="D520" s="1">
        <v>25</v>
      </c>
      <c r="E520" s="1" t="s">
        <v>146</v>
      </c>
      <c r="F520" s="1" t="s">
        <v>33</v>
      </c>
      <c r="G520" s="1" t="s">
        <v>926</v>
      </c>
      <c r="H520" s="1">
        <v>86420.19</v>
      </c>
      <c r="I520" s="1" t="s">
        <v>153</v>
      </c>
      <c r="J520" s="1">
        <v>-5563830007</v>
      </c>
      <c r="K520" s="1" t="s">
        <v>30</v>
      </c>
      <c r="L520" s="1" t="b">
        <v>0</v>
      </c>
    </row>
    <row r="521" spans="1:12" x14ac:dyDescent="0.3">
      <c r="A521" s="1" t="s">
        <v>927</v>
      </c>
      <c r="B521" s="1" t="s">
        <v>69</v>
      </c>
      <c r="C521" s="1" t="s">
        <v>55</v>
      </c>
      <c r="D521" s="1">
        <v>30</v>
      </c>
      <c r="E521" s="1" t="s">
        <v>212</v>
      </c>
      <c r="F521" s="1" t="s">
        <v>33</v>
      </c>
      <c r="G521" s="1" t="s">
        <v>928</v>
      </c>
      <c r="H521" s="1">
        <v>63189.82</v>
      </c>
      <c r="I521" s="1" t="s">
        <v>127</v>
      </c>
      <c r="J521" s="1">
        <v>-1867024402</v>
      </c>
      <c r="K521" s="1" t="s">
        <v>23</v>
      </c>
      <c r="L521" s="1" t="b">
        <v>0</v>
      </c>
    </row>
    <row r="522" spans="1:12" x14ac:dyDescent="0.3">
      <c r="A522" s="1" t="s">
        <v>929</v>
      </c>
      <c r="B522" s="1" t="s">
        <v>69</v>
      </c>
      <c r="C522" s="1" t="s">
        <v>43</v>
      </c>
      <c r="D522" s="1">
        <v>25</v>
      </c>
      <c r="E522" s="1" t="s">
        <v>196</v>
      </c>
      <c r="F522" s="1" t="s">
        <v>28</v>
      </c>
      <c r="G522" s="1" t="s">
        <v>930</v>
      </c>
      <c r="H522" s="1">
        <v>64783.32</v>
      </c>
      <c r="I522" s="1" t="s">
        <v>83</v>
      </c>
      <c r="J522" s="1">
        <v>-3041662410</v>
      </c>
      <c r="K522" s="1" t="s">
        <v>18</v>
      </c>
      <c r="L522" s="1" t="b">
        <v>0</v>
      </c>
    </row>
    <row r="523" spans="1:12" x14ac:dyDescent="0.3">
      <c r="A523" s="1" t="s">
        <v>931</v>
      </c>
      <c r="B523" s="1" t="s">
        <v>54</v>
      </c>
      <c r="C523" s="1" t="s">
        <v>14</v>
      </c>
      <c r="D523" s="1">
        <v>25</v>
      </c>
      <c r="E523" s="1" t="s">
        <v>149</v>
      </c>
      <c r="F523" s="1" t="s">
        <v>28</v>
      </c>
      <c r="G523" s="2">
        <v>45571</v>
      </c>
      <c r="H523" s="1">
        <v>52615.44</v>
      </c>
      <c r="I523" s="1" t="s">
        <v>170</v>
      </c>
      <c r="J523" s="1">
        <v>-1860089218</v>
      </c>
      <c r="K523" s="1" t="s">
        <v>18</v>
      </c>
      <c r="L523" s="1" t="b">
        <v>0</v>
      </c>
    </row>
    <row r="524" spans="1:12" x14ac:dyDescent="0.3">
      <c r="A524" s="1" t="s">
        <v>932</v>
      </c>
      <c r="B524" s="1" t="s">
        <v>32</v>
      </c>
      <c r="C524" s="1" t="s">
        <v>92</v>
      </c>
      <c r="D524" s="1"/>
      <c r="E524" s="1" t="s">
        <v>44</v>
      </c>
      <c r="F524" s="1" t="s">
        <v>28</v>
      </c>
      <c r="G524" s="2">
        <v>44047</v>
      </c>
      <c r="H524" s="1">
        <v>96337.89</v>
      </c>
      <c r="I524" s="1" t="s">
        <v>263</v>
      </c>
      <c r="J524" s="1">
        <v>-6394568043</v>
      </c>
      <c r="K524" s="1" t="s">
        <v>41</v>
      </c>
      <c r="L524" s="1" t="b">
        <v>0</v>
      </c>
    </row>
    <row r="525" spans="1:12" x14ac:dyDescent="0.3">
      <c r="A525" s="1" t="s">
        <v>933</v>
      </c>
      <c r="B525" s="1" t="s">
        <v>25</v>
      </c>
      <c r="C525" s="1" t="s">
        <v>14</v>
      </c>
      <c r="D525" s="1">
        <v>25</v>
      </c>
      <c r="E525" s="1" t="s">
        <v>237</v>
      </c>
      <c r="F525" s="1" t="s">
        <v>33</v>
      </c>
      <c r="G525" s="1" t="s">
        <v>934</v>
      </c>
      <c r="H525" s="1">
        <v>76617.759999999995</v>
      </c>
      <c r="I525" s="1" t="s">
        <v>163</v>
      </c>
      <c r="J525" s="1">
        <v>-7314976460</v>
      </c>
      <c r="K525" s="1" t="s">
        <v>23</v>
      </c>
      <c r="L525" s="1" t="b">
        <v>1</v>
      </c>
    </row>
    <row r="526" spans="1:12" x14ac:dyDescent="0.3">
      <c r="A526" s="1" t="s">
        <v>935</v>
      </c>
      <c r="B526" s="1" t="s">
        <v>65</v>
      </c>
      <c r="C526" s="1" t="s">
        <v>55</v>
      </c>
      <c r="D526" s="1">
        <v>30</v>
      </c>
      <c r="E526" s="1" t="s">
        <v>27</v>
      </c>
      <c r="F526" s="1" t="s">
        <v>28</v>
      </c>
      <c r="G526" s="1" t="s">
        <v>936</v>
      </c>
      <c r="H526" s="1">
        <v>50651.32</v>
      </c>
      <c r="I526" s="1" t="s">
        <v>113</v>
      </c>
      <c r="J526" s="1">
        <v>-3684748835</v>
      </c>
      <c r="K526" s="1" t="s">
        <v>41</v>
      </c>
      <c r="L526" s="1" t="b">
        <v>0</v>
      </c>
    </row>
    <row r="527" spans="1:12" x14ac:dyDescent="0.3">
      <c r="A527" s="1" t="s">
        <v>937</v>
      </c>
      <c r="B527" s="1" t="s">
        <v>13</v>
      </c>
      <c r="C527" s="1" t="s">
        <v>14</v>
      </c>
      <c r="D527" s="1"/>
      <c r="E527" s="1" t="s">
        <v>192</v>
      </c>
      <c r="F527" s="1" t="s">
        <v>28</v>
      </c>
      <c r="G527" s="2">
        <v>45089</v>
      </c>
      <c r="H527" s="1">
        <v>59601.45</v>
      </c>
      <c r="I527" s="1" t="s">
        <v>17</v>
      </c>
      <c r="J527" s="1">
        <v>-765817389</v>
      </c>
      <c r="K527" s="1" t="s">
        <v>41</v>
      </c>
      <c r="L527" s="1" t="b">
        <v>0</v>
      </c>
    </row>
    <row r="528" spans="1:12" x14ac:dyDescent="0.3">
      <c r="A528" s="1" t="s">
        <v>938</v>
      </c>
      <c r="B528" s="1" t="s">
        <v>13</v>
      </c>
      <c r="C528" s="1" t="s">
        <v>38</v>
      </c>
      <c r="D528" s="1"/>
      <c r="E528" s="1" t="s">
        <v>78</v>
      </c>
      <c r="F528" s="1" t="s">
        <v>16</v>
      </c>
      <c r="G528" s="2">
        <v>44204</v>
      </c>
      <c r="H528" s="1">
        <v>57980.88</v>
      </c>
      <c r="I528" s="1" t="s">
        <v>144</v>
      </c>
      <c r="J528" s="1">
        <v>-6375791451</v>
      </c>
      <c r="K528" s="1" t="s">
        <v>41</v>
      </c>
      <c r="L528" s="1" t="b">
        <v>0</v>
      </c>
    </row>
    <row r="529" spans="1:12" x14ac:dyDescent="0.3">
      <c r="A529" s="1" t="s">
        <v>939</v>
      </c>
      <c r="B529" s="1" t="s">
        <v>59</v>
      </c>
      <c r="C529" s="1" t="s">
        <v>55</v>
      </c>
      <c r="D529" s="1"/>
      <c r="E529" s="1" t="s">
        <v>118</v>
      </c>
      <c r="F529" s="1" t="s">
        <v>28</v>
      </c>
      <c r="G529" s="1" t="s">
        <v>940</v>
      </c>
      <c r="H529" s="1">
        <v>75054.53</v>
      </c>
      <c r="I529" s="1" t="s">
        <v>217</v>
      </c>
      <c r="J529" s="1">
        <v>-1182379311</v>
      </c>
      <c r="K529" s="1" t="s">
        <v>18</v>
      </c>
      <c r="L529" s="1" t="b">
        <v>0</v>
      </c>
    </row>
    <row r="530" spans="1:12" x14ac:dyDescent="0.3">
      <c r="A530" s="1" t="s">
        <v>941</v>
      </c>
      <c r="B530" s="1" t="s">
        <v>54</v>
      </c>
      <c r="C530" s="1" t="s">
        <v>55</v>
      </c>
      <c r="D530" s="1">
        <v>25</v>
      </c>
      <c r="E530" s="1" t="s">
        <v>74</v>
      </c>
      <c r="F530" s="1" t="s">
        <v>16</v>
      </c>
      <c r="G530" s="2">
        <v>45210</v>
      </c>
      <c r="H530" s="1">
        <v>115318.7</v>
      </c>
      <c r="I530" s="1" t="s">
        <v>57</v>
      </c>
      <c r="J530" s="1">
        <v>-6978930745</v>
      </c>
      <c r="K530" s="1" t="s">
        <v>23</v>
      </c>
      <c r="L530" s="1" t="b">
        <v>0</v>
      </c>
    </row>
    <row r="531" spans="1:12" x14ac:dyDescent="0.3">
      <c r="A531" s="1" t="s">
        <v>942</v>
      </c>
      <c r="B531" s="1" t="s">
        <v>25</v>
      </c>
      <c r="C531" s="1" t="s">
        <v>55</v>
      </c>
      <c r="D531" s="1">
        <v>25</v>
      </c>
      <c r="E531" s="1" t="s">
        <v>237</v>
      </c>
      <c r="F531" s="1" t="s">
        <v>16</v>
      </c>
      <c r="G531" s="2">
        <v>45452</v>
      </c>
      <c r="H531" s="1">
        <v>90190.69</v>
      </c>
      <c r="I531" s="1" t="s">
        <v>150</v>
      </c>
      <c r="J531" s="1">
        <v>-4520599603</v>
      </c>
      <c r="K531" s="1" t="s">
        <v>41</v>
      </c>
      <c r="L531" s="1" t="b">
        <v>1</v>
      </c>
    </row>
    <row r="532" spans="1:12" x14ac:dyDescent="0.3">
      <c r="A532" s="1" t="s">
        <v>943</v>
      </c>
      <c r="B532" s="1" t="s">
        <v>13</v>
      </c>
      <c r="C532" s="1" t="s">
        <v>122</v>
      </c>
      <c r="D532" s="1"/>
      <c r="E532" s="1" t="s">
        <v>85</v>
      </c>
      <c r="F532" s="1" t="s">
        <v>28</v>
      </c>
      <c r="G532" s="1" t="s">
        <v>854</v>
      </c>
      <c r="H532" s="1">
        <v>113334.56</v>
      </c>
      <c r="I532" s="1" t="s">
        <v>123</v>
      </c>
      <c r="J532" s="1">
        <v>-3878753576</v>
      </c>
      <c r="K532" s="1" t="s">
        <v>23</v>
      </c>
      <c r="L532" s="1" t="b">
        <v>0</v>
      </c>
    </row>
    <row r="533" spans="1:12" x14ac:dyDescent="0.3">
      <c r="A533" s="1" t="s">
        <v>944</v>
      </c>
      <c r="B533" s="1" t="s">
        <v>65</v>
      </c>
      <c r="C533" s="1" t="s">
        <v>43</v>
      </c>
      <c r="D533" s="1">
        <v>35</v>
      </c>
      <c r="E533" s="1" t="s">
        <v>212</v>
      </c>
      <c r="F533" s="1" t="s">
        <v>16</v>
      </c>
      <c r="G533" s="1" t="s">
        <v>945</v>
      </c>
      <c r="H533" s="1">
        <v>106922.49</v>
      </c>
      <c r="I533" s="1" t="s">
        <v>257</v>
      </c>
      <c r="J533" s="1">
        <v>-8811616201</v>
      </c>
      <c r="K533" s="1" t="s">
        <v>23</v>
      </c>
      <c r="L533" s="1" t="b">
        <v>1</v>
      </c>
    </row>
    <row r="534" spans="1:12" x14ac:dyDescent="0.3">
      <c r="A534" s="1" t="s">
        <v>946</v>
      </c>
      <c r="B534" s="1" t="s">
        <v>32</v>
      </c>
      <c r="C534" s="1" t="s">
        <v>122</v>
      </c>
      <c r="D534" s="1">
        <v>35</v>
      </c>
      <c r="E534" s="1" t="s">
        <v>15</v>
      </c>
      <c r="F534" s="1" t="s">
        <v>33</v>
      </c>
      <c r="G534" s="1" t="s">
        <v>947</v>
      </c>
      <c r="H534" s="1">
        <v>58113.07</v>
      </c>
      <c r="I534" s="1" t="s">
        <v>521</v>
      </c>
      <c r="J534" s="1">
        <v>-8123710671</v>
      </c>
      <c r="K534" s="1" t="s">
        <v>18</v>
      </c>
      <c r="L534" s="1" t="b">
        <v>1</v>
      </c>
    </row>
    <row r="535" spans="1:12" x14ac:dyDescent="0.3">
      <c r="A535" s="1" t="s">
        <v>948</v>
      </c>
      <c r="B535" s="1" t="s">
        <v>25</v>
      </c>
      <c r="C535" s="1" t="s">
        <v>122</v>
      </c>
      <c r="D535" s="1">
        <v>25</v>
      </c>
      <c r="E535" s="1" t="s">
        <v>27</v>
      </c>
      <c r="F535" s="1" t="s">
        <v>28</v>
      </c>
      <c r="G535" s="1" t="s">
        <v>949</v>
      </c>
      <c r="H535" s="1">
        <v>73006.259999999995</v>
      </c>
      <c r="I535" s="1" t="s">
        <v>182</v>
      </c>
      <c r="J535" s="1">
        <v>-8728660415</v>
      </c>
      <c r="K535" s="1" t="s">
        <v>41</v>
      </c>
      <c r="L535" s="1" t="b">
        <v>1</v>
      </c>
    </row>
    <row r="536" spans="1:12" x14ac:dyDescent="0.3">
      <c r="A536" s="1" t="s">
        <v>950</v>
      </c>
      <c r="B536" s="1" t="s">
        <v>32</v>
      </c>
      <c r="C536" s="1" t="s">
        <v>38</v>
      </c>
      <c r="D536" s="1">
        <v>25</v>
      </c>
      <c r="E536" s="1" t="s">
        <v>146</v>
      </c>
      <c r="F536" s="1" t="s">
        <v>16</v>
      </c>
      <c r="G536" s="1" t="s">
        <v>412</v>
      </c>
      <c r="H536" s="1">
        <v>78054.429999999993</v>
      </c>
      <c r="I536" s="1" t="s">
        <v>141</v>
      </c>
      <c r="J536" s="1">
        <v>-4485959223</v>
      </c>
      <c r="K536" s="1" t="s">
        <v>41</v>
      </c>
      <c r="L536" s="1" t="b">
        <v>1</v>
      </c>
    </row>
    <row r="537" spans="1:12" x14ac:dyDescent="0.3">
      <c r="A537" s="1" t="s">
        <v>951</v>
      </c>
      <c r="B537" s="1" t="s">
        <v>32</v>
      </c>
      <c r="C537" s="1" t="s">
        <v>92</v>
      </c>
      <c r="D537" s="1">
        <v>40</v>
      </c>
      <c r="E537" s="1" t="s">
        <v>230</v>
      </c>
      <c r="F537" s="1" t="s">
        <v>33</v>
      </c>
      <c r="G537" s="1" t="s">
        <v>638</v>
      </c>
      <c r="H537" s="1">
        <v>112028.67</v>
      </c>
      <c r="I537" s="1" t="s">
        <v>263</v>
      </c>
      <c r="J537" s="1">
        <v>-8395894772</v>
      </c>
      <c r="K537" s="1" t="s">
        <v>23</v>
      </c>
      <c r="L537" s="1" t="b">
        <v>0</v>
      </c>
    </row>
    <row r="538" spans="1:12" x14ac:dyDescent="0.3">
      <c r="A538" s="1" t="s">
        <v>952</v>
      </c>
      <c r="B538" s="1" t="s">
        <v>54</v>
      </c>
      <c r="C538" s="1" t="s">
        <v>43</v>
      </c>
      <c r="D538" s="1">
        <v>25</v>
      </c>
      <c r="E538" s="1" t="s">
        <v>103</v>
      </c>
      <c r="F538" s="1" t="s">
        <v>33</v>
      </c>
      <c r="G538" s="1" t="s">
        <v>953</v>
      </c>
      <c r="H538" s="1">
        <v>83787.240000000005</v>
      </c>
      <c r="I538" s="1" t="s">
        <v>87</v>
      </c>
      <c r="J538" s="1">
        <v>-5228705621</v>
      </c>
      <c r="K538" s="1" t="s">
        <v>30</v>
      </c>
      <c r="L538" s="1" t="b">
        <v>1</v>
      </c>
    </row>
    <row r="539" spans="1:12" x14ac:dyDescent="0.3">
      <c r="A539" s="1" t="s">
        <v>954</v>
      </c>
      <c r="B539" s="1" t="s">
        <v>65</v>
      </c>
      <c r="C539" s="1" t="s">
        <v>14</v>
      </c>
      <c r="D539" s="1">
        <v>30</v>
      </c>
      <c r="E539" s="1" t="s">
        <v>74</v>
      </c>
      <c r="F539" s="1" t="s">
        <v>33</v>
      </c>
      <c r="G539" s="2">
        <v>45083</v>
      </c>
      <c r="H539" s="1">
        <v>52017.14</v>
      </c>
      <c r="I539" s="1" t="s">
        <v>394</v>
      </c>
      <c r="J539" s="1">
        <v>-7104331874</v>
      </c>
      <c r="K539" s="1" t="s">
        <v>18</v>
      </c>
      <c r="L539" s="1" t="b">
        <v>1</v>
      </c>
    </row>
    <row r="540" spans="1:12" x14ac:dyDescent="0.3">
      <c r="A540" s="1" t="s">
        <v>955</v>
      </c>
      <c r="B540" s="1" t="s">
        <v>54</v>
      </c>
      <c r="C540" s="1" t="s">
        <v>26</v>
      </c>
      <c r="D540" s="1">
        <v>40</v>
      </c>
      <c r="E540" s="1" t="s">
        <v>21</v>
      </c>
      <c r="F540" s="1" t="s">
        <v>33</v>
      </c>
      <c r="G540" s="1" t="s">
        <v>956</v>
      </c>
      <c r="H540" s="1">
        <v>53218.06</v>
      </c>
      <c r="I540" s="1" t="s">
        <v>120</v>
      </c>
      <c r="J540" s="1">
        <v>-1097921582</v>
      </c>
      <c r="K540" s="1" t="s">
        <v>18</v>
      </c>
      <c r="L540" s="1" t="b">
        <v>0</v>
      </c>
    </row>
    <row r="541" spans="1:12" x14ac:dyDescent="0.3">
      <c r="A541" s="1" t="s">
        <v>957</v>
      </c>
      <c r="B541" s="1" t="s">
        <v>37</v>
      </c>
      <c r="C541" s="1" t="s">
        <v>55</v>
      </c>
      <c r="D541" s="1">
        <v>25</v>
      </c>
      <c r="E541" s="1" t="s">
        <v>328</v>
      </c>
      <c r="F541" s="1" t="s">
        <v>28</v>
      </c>
      <c r="G541" s="1" t="s">
        <v>958</v>
      </c>
      <c r="H541" s="1">
        <v>102053.67</v>
      </c>
      <c r="I541" s="1" t="s">
        <v>271</v>
      </c>
      <c r="J541" s="1">
        <v>-5034469458</v>
      </c>
      <c r="K541" s="1" t="s">
        <v>18</v>
      </c>
      <c r="L541" s="1" t="b">
        <v>0</v>
      </c>
    </row>
    <row r="542" spans="1:12" x14ac:dyDescent="0.3">
      <c r="A542" s="1" t="s">
        <v>959</v>
      </c>
      <c r="B542" s="1" t="s">
        <v>59</v>
      </c>
      <c r="C542" s="1" t="s">
        <v>14</v>
      </c>
      <c r="D542" s="1">
        <v>35</v>
      </c>
      <c r="E542" s="1" t="s">
        <v>98</v>
      </c>
      <c r="F542" s="1" t="s">
        <v>28</v>
      </c>
      <c r="G542" s="2">
        <v>45058</v>
      </c>
      <c r="H542" s="1">
        <v>93276.73</v>
      </c>
      <c r="I542" s="1" t="s">
        <v>63</v>
      </c>
      <c r="J542" s="1">
        <v>-6488319212</v>
      </c>
      <c r="K542" s="1" t="s">
        <v>18</v>
      </c>
      <c r="L542" s="1" t="b">
        <v>0</v>
      </c>
    </row>
    <row r="543" spans="1:12" x14ac:dyDescent="0.3">
      <c r="A543" s="1" t="s">
        <v>960</v>
      </c>
      <c r="B543" s="1" t="s">
        <v>59</v>
      </c>
      <c r="C543" s="1" t="s">
        <v>55</v>
      </c>
      <c r="D543" s="1">
        <v>40</v>
      </c>
      <c r="E543" s="1" t="s">
        <v>149</v>
      </c>
      <c r="F543" s="1" t="s">
        <v>28</v>
      </c>
      <c r="G543" s="2">
        <v>45085</v>
      </c>
      <c r="H543" s="1">
        <v>76941.36</v>
      </c>
      <c r="I543" s="1" t="s">
        <v>217</v>
      </c>
      <c r="J543" s="1">
        <v>-4249128964</v>
      </c>
      <c r="K543" s="1" t="s">
        <v>41</v>
      </c>
      <c r="L543" s="1" t="b">
        <v>1</v>
      </c>
    </row>
    <row r="544" spans="1:12" x14ac:dyDescent="0.3">
      <c r="A544" s="1" t="s">
        <v>961</v>
      </c>
      <c r="B544" s="1" t="s">
        <v>25</v>
      </c>
      <c r="C544" s="1" t="s">
        <v>38</v>
      </c>
      <c r="D544" s="1">
        <v>25</v>
      </c>
      <c r="E544" s="1" t="s">
        <v>56</v>
      </c>
      <c r="F544" s="1" t="s">
        <v>28</v>
      </c>
      <c r="G544" s="2">
        <v>45392</v>
      </c>
      <c r="H544" s="1">
        <v>82850.23</v>
      </c>
      <c r="I544" s="1" t="s">
        <v>362</v>
      </c>
      <c r="J544" s="1">
        <v>-9994973202</v>
      </c>
      <c r="K544" s="1" t="s">
        <v>41</v>
      </c>
      <c r="L544" s="1" t="b">
        <v>0</v>
      </c>
    </row>
    <row r="545" spans="1:12" x14ac:dyDescent="0.3">
      <c r="A545" s="1" t="s">
        <v>962</v>
      </c>
      <c r="B545" s="1" t="s">
        <v>54</v>
      </c>
      <c r="C545" s="1" t="s">
        <v>55</v>
      </c>
      <c r="D545" s="1">
        <v>25</v>
      </c>
      <c r="E545" s="1" t="s">
        <v>70</v>
      </c>
      <c r="F545" s="1" t="s">
        <v>16</v>
      </c>
      <c r="G545" s="2">
        <v>44419</v>
      </c>
      <c r="H545" s="1">
        <v>117910.15</v>
      </c>
      <c r="I545" s="1" t="s">
        <v>57</v>
      </c>
      <c r="J545" s="1">
        <v>-3192227050</v>
      </c>
      <c r="K545" s="1" t="s">
        <v>30</v>
      </c>
      <c r="L545" s="1" t="b">
        <v>0</v>
      </c>
    </row>
    <row r="546" spans="1:12" x14ac:dyDescent="0.3">
      <c r="A546" s="1" t="s">
        <v>963</v>
      </c>
      <c r="B546" s="1" t="s">
        <v>59</v>
      </c>
      <c r="C546" s="1" t="s">
        <v>122</v>
      </c>
      <c r="D546" s="1"/>
      <c r="E546" s="1" t="s">
        <v>230</v>
      </c>
      <c r="F546" s="1" t="s">
        <v>33</v>
      </c>
      <c r="G546" s="1" t="s">
        <v>964</v>
      </c>
      <c r="H546" s="1">
        <v>66450</v>
      </c>
      <c r="I546" s="1" t="s">
        <v>340</v>
      </c>
      <c r="J546" s="1">
        <v>-287675480</v>
      </c>
      <c r="K546" s="1" t="s">
        <v>18</v>
      </c>
      <c r="L546" s="1" t="b">
        <v>1</v>
      </c>
    </row>
    <row r="547" spans="1:12" x14ac:dyDescent="0.3">
      <c r="A547" s="1" t="s">
        <v>965</v>
      </c>
      <c r="B547" s="1" t="s">
        <v>65</v>
      </c>
      <c r="C547" s="1" t="s">
        <v>43</v>
      </c>
      <c r="D547" s="1">
        <v>25</v>
      </c>
      <c r="E547" s="1" t="s">
        <v>112</v>
      </c>
      <c r="F547" s="1" t="s">
        <v>33</v>
      </c>
      <c r="G547" s="1" t="s">
        <v>966</v>
      </c>
      <c r="H547" s="1">
        <v>118646.95</v>
      </c>
      <c r="I547" s="1" t="s">
        <v>257</v>
      </c>
      <c r="J547" s="1">
        <v>-3866675484</v>
      </c>
      <c r="K547" s="1" t="s">
        <v>18</v>
      </c>
      <c r="L547" s="1" t="b">
        <v>0</v>
      </c>
    </row>
    <row r="548" spans="1:12" x14ac:dyDescent="0.3">
      <c r="A548" s="1" t="s">
        <v>967</v>
      </c>
      <c r="B548" s="1" t="s">
        <v>25</v>
      </c>
      <c r="C548" s="1" t="s">
        <v>26</v>
      </c>
      <c r="D548" s="1">
        <v>25</v>
      </c>
      <c r="E548" s="1" t="s">
        <v>112</v>
      </c>
      <c r="F548" s="1" t="s">
        <v>16</v>
      </c>
      <c r="G548" s="1" t="s">
        <v>968</v>
      </c>
      <c r="H548" s="1">
        <v>88436.92</v>
      </c>
      <c r="I548" s="1" t="s">
        <v>29</v>
      </c>
      <c r="J548" s="1">
        <v>-8193242686</v>
      </c>
      <c r="K548" s="1" t="s">
        <v>23</v>
      </c>
      <c r="L548" s="1" t="b">
        <v>0</v>
      </c>
    </row>
    <row r="549" spans="1:12" x14ac:dyDescent="0.3">
      <c r="A549" s="1" t="s">
        <v>969</v>
      </c>
      <c r="B549" s="1" t="s">
        <v>32</v>
      </c>
      <c r="C549" s="1" t="s">
        <v>20</v>
      </c>
      <c r="D549" s="1"/>
      <c r="E549" s="1" t="s">
        <v>109</v>
      </c>
      <c r="F549" s="1" t="s">
        <v>28</v>
      </c>
      <c r="G549" s="2">
        <v>45117</v>
      </c>
      <c r="H549" s="1">
        <v>81934.55</v>
      </c>
      <c r="I549" s="1" t="s">
        <v>155</v>
      </c>
      <c r="J549" s="1">
        <v>-7418652056</v>
      </c>
      <c r="K549" s="1" t="s">
        <v>41</v>
      </c>
      <c r="L549" s="1" t="b">
        <v>0</v>
      </c>
    </row>
    <row r="550" spans="1:12" x14ac:dyDescent="0.3">
      <c r="A550" s="1" t="s">
        <v>970</v>
      </c>
      <c r="B550" s="1" t="s">
        <v>25</v>
      </c>
      <c r="C550" s="1" t="s">
        <v>55</v>
      </c>
      <c r="D550" s="1">
        <v>30</v>
      </c>
      <c r="E550" s="1" t="s">
        <v>70</v>
      </c>
      <c r="F550" s="1" t="s">
        <v>28</v>
      </c>
      <c r="G550" s="1" t="s">
        <v>958</v>
      </c>
      <c r="H550" s="1">
        <v>93383.06</v>
      </c>
      <c r="I550" s="1" t="s">
        <v>150</v>
      </c>
      <c r="J550" s="1">
        <v>-5639836519</v>
      </c>
      <c r="K550" s="1" t="s">
        <v>18</v>
      </c>
      <c r="L550" s="1" t="b">
        <v>0</v>
      </c>
    </row>
    <row r="551" spans="1:12" x14ac:dyDescent="0.3">
      <c r="A551" s="1" t="s">
        <v>971</v>
      </c>
      <c r="B551" s="1" t="s">
        <v>37</v>
      </c>
      <c r="C551" s="1" t="s">
        <v>14</v>
      </c>
      <c r="D551" s="1">
        <v>40</v>
      </c>
      <c r="E551" s="1" t="s">
        <v>159</v>
      </c>
      <c r="F551" s="1" t="s">
        <v>28</v>
      </c>
      <c r="G551" s="1" t="s">
        <v>972</v>
      </c>
      <c r="H551" s="1">
        <v>50153.79</v>
      </c>
      <c r="I551" s="1" t="s">
        <v>52</v>
      </c>
      <c r="J551" s="1">
        <v>-3758309450</v>
      </c>
      <c r="K551" s="1" t="s">
        <v>30</v>
      </c>
      <c r="L551" s="1" t="b">
        <v>1</v>
      </c>
    </row>
    <row r="552" spans="1:12" x14ac:dyDescent="0.3">
      <c r="A552" s="1" t="s">
        <v>973</v>
      </c>
      <c r="B552" s="1" t="s">
        <v>32</v>
      </c>
      <c r="C552" s="1" t="s">
        <v>122</v>
      </c>
      <c r="D552" s="1"/>
      <c r="E552" s="1" t="s">
        <v>177</v>
      </c>
      <c r="F552" s="1" t="s">
        <v>28</v>
      </c>
      <c r="G552" s="2">
        <v>43959</v>
      </c>
      <c r="H552" s="1">
        <v>53204.47</v>
      </c>
      <c r="I552" s="1" t="s">
        <v>521</v>
      </c>
      <c r="J552" s="1">
        <v>-5480940475</v>
      </c>
      <c r="K552" s="1" t="s">
        <v>30</v>
      </c>
      <c r="L552" s="1" t="b">
        <v>0</v>
      </c>
    </row>
    <row r="553" spans="1:12" x14ac:dyDescent="0.3">
      <c r="A553" s="1" t="s">
        <v>974</v>
      </c>
      <c r="B553" s="1" t="s">
        <v>54</v>
      </c>
      <c r="C553" s="1" t="s">
        <v>20</v>
      </c>
      <c r="D553" s="1">
        <v>40</v>
      </c>
      <c r="E553" s="1" t="s">
        <v>268</v>
      </c>
      <c r="F553" s="1" t="s">
        <v>28</v>
      </c>
      <c r="G553" s="2">
        <v>44318</v>
      </c>
      <c r="H553" s="1">
        <v>63128.04</v>
      </c>
      <c r="I553" s="1" t="s">
        <v>125</v>
      </c>
      <c r="J553" s="1">
        <v>-440907976</v>
      </c>
      <c r="K553" s="1" t="s">
        <v>41</v>
      </c>
      <c r="L553" s="1" t="b">
        <v>0</v>
      </c>
    </row>
    <row r="554" spans="1:12" x14ac:dyDescent="0.3">
      <c r="A554" s="1" t="s">
        <v>975</v>
      </c>
      <c r="B554" s="1" t="s">
        <v>69</v>
      </c>
      <c r="C554" s="1" t="s">
        <v>26</v>
      </c>
      <c r="D554" s="1">
        <v>30</v>
      </c>
      <c r="E554" s="1" t="s">
        <v>227</v>
      </c>
      <c r="F554" s="1" t="s">
        <v>28</v>
      </c>
      <c r="G554" s="1" t="s">
        <v>976</v>
      </c>
      <c r="H554" s="1">
        <v>57543.6</v>
      </c>
      <c r="I554" s="1" t="s">
        <v>76</v>
      </c>
      <c r="J554" s="1">
        <v>-2781050921</v>
      </c>
      <c r="K554" s="1" t="s">
        <v>30</v>
      </c>
      <c r="L554" s="1" t="b">
        <v>1</v>
      </c>
    </row>
    <row r="555" spans="1:12" x14ac:dyDescent="0.3">
      <c r="A555" s="1" t="s">
        <v>977</v>
      </c>
      <c r="B555" s="1" t="s">
        <v>13</v>
      </c>
      <c r="C555" s="1" t="s">
        <v>20</v>
      </c>
      <c r="D555" s="1">
        <v>40</v>
      </c>
      <c r="E555" s="1" t="s">
        <v>100</v>
      </c>
      <c r="F555" s="1" t="s">
        <v>28</v>
      </c>
      <c r="G555" s="1" t="s">
        <v>978</v>
      </c>
      <c r="H555" s="1">
        <v>59424.52</v>
      </c>
      <c r="I555" s="1" t="s">
        <v>22</v>
      </c>
      <c r="J555" s="1">
        <v>-2161070517</v>
      </c>
      <c r="K555" s="1" t="s">
        <v>30</v>
      </c>
      <c r="L555" s="1" t="b">
        <v>0</v>
      </c>
    </row>
    <row r="556" spans="1:12" x14ac:dyDescent="0.3">
      <c r="A556" s="1" t="s">
        <v>979</v>
      </c>
      <c r="B556" s="1" t="s">
        <v>25</v>
      </c>
      <c r="C556" s="1" t="s">
        <v>122</v>
      </c>
      <c r="D556" s="1"/>
      <c r="E556" s="1" t="s">
        <v>265</v>
      </c>
      <c r="F556" s="1" t="s">
        <v>33</v>
      </c>
      <c r="G556" s="2">
        <v>44753</v>
      </c>
      <c r="H556" s="1">
        <v>104675.7</v>
      </c>
      <c r="I556" s="1" t="s">
        <v>182</v>
      </c>
      <c r="J556" s="1">
        <v>-4390552957</v>
      </c>
      <c r="K556" s="1" t="s">
        <v>41</v>
      </c>
      <c r="L556" s="1" t="b">
        <v>1</v>
      </c>
    </row>
    <row r="557" spans="1:12" x14ac:dyDescent="0.3">
      <c r="A557" s="1" t="s">
        <v>980</v>
      </c>
      <c r="B557" s="1" t="s">
        <v>54</v>
      </c>
      <c r="C557" s="1" t="s">
        <v>43</v>
      </c>
      <c r="D557" s="1">
        <v>30</v>
      </c>
      <c r="E557" s="1" t="s">
        <v>39</v>
      </c>
      <c r="F557" s="1" t="s">
        <v>28</v>
      </c>
      <c r="G557" s="1" t="s">
        <v>981</v>
      </c>
      <c r="H557" s="1">
        <v>92431.25</v>
      </c>
      <c r="I557" s="1" t="s">
        <v>87</v>
      </c>
      <c r="J557" s="1">
        <v>-660138240</v>
      </c>
      <c r="K557" s="1" t="s">
        <v>18</v>
      </c>
      <c r="L557" s="1" t="b">
        <v>0</v>
      </c>
    </row>
    <row r="558" spans="1:12" x14ac:dyDescent="0.3">
      <c r="A558" s="1" t="s">
        <v>982</v>
      </c>
      <c r="B558" s="1" t="s">
        <v>69</v>
      </c>
      <c r="C558" s="1" t="s">
        <v>43</v>
      </c>
      <c r="D558" s="1">
        <v>40</v>
      </c>
      <c r="E558" s="1" t="s">
        <v>219</v>
      </c>
      <c r="F558" s="1" t="s">
        <v>16</v>
      </c>
      <c r="G558" s="1" t="s">
        <v>983</v>
      </c>
      <c r="H558" s="1">
        <v>77850.899999999994</v>
      </c>
      <c r="I558" s="1" t="s">
        <v>83</v>
      </c>
      <c r="J558" s="1">
        <v>-2704938619</v>
      </c>
      <c r="K558" s="1" t="s">
        <v>18</v>
      </c>
      <c r="L558" s="1" t="b">
        <v>1</v>
      </c>
    </row>
    <row r="559" spans="1:12" x14ac:dyDescent="0.3">
      <c r="A559" s="1" t="s">
        <v>984</v>
      </c>
      <c r="B559" s="1" t="s">
        <v>32</v>
      </c>
      <c r="C559" s="1" t="s">
        <v>92</v>
      </c>
      <c r="D559" s="1">
        <v>40</v>
      </c>
      <c r="E559" s="1" t="s">
        <v>196</v>
      </c>
      <c r="F559" s="1" t="s">
        <v>33</v>
      </c>
      <c r="G559" s="1" t="s">
        <v>985</v>
      </c>
      <c r="H559" s="1">
        <v>99001</v>
      </c>
      <c r="I559" s="1" t="s">
        <v>263</v>
      </c>
      <c r="J559" s="1">
        <v>-4485157918</v>
      </c>
      <c r="K559" s="1" t="s">
        <v>30</v>
      </c>
      <c r="L559" s="1" t="b">
        <v>1</v>
      </c>
    </row>
    <row r="560" spans="1:12" x14ac:dyDescent="0.3">
      <c r="A560" s="1" t="s">
        <v>986</v>
      </c>
      <c r="B560" s="1" t="s">
        <v>32</v>
      </c>
      <c r="C560" s="1" t="s">
        <v>43</v>
      </c>
      <c r="D560" s="1"/>
      <c r="E560" s="1" t="s">
        <v>149</v>
      </c>
      <c r="F560" s="1" t="s">
        <v>28</v>
      </c>
      <c r="G560" s="2">
        <v>45109</v>
      </c>
      <c r="H560" s="1">
        <v>94280.83</v>
      </c>
      <c r="I560" s="1" t="s">
        <v>296</v>
      </c>
      <c r="J560" s="1">
        <v>-7111212589</v>
      </c>
      <c r="K560" s="1" t="s">
        <v>30</v>
      </c>
      <c r="L560" s="1" t="b">
        <v>1</v>
      </c>
    </row>
    <row r="561" spans="1:12" x14ac:dyDescent="0.3">
      <c r="A561" s="1" t="s">
        <v>987</v>
      </c>
      <c r="B561" s="1" t="s">
        <v>32</v>
      </c>
      <c r="C561" s="1" t="s">
        <v>92</v>
      </c>
      <c r="D561" s="1">
        <v>35</v>
      </c>
      <c r="E561" s="1" t="s">
        <v>56</v>
      </c>
      <c r="F561" s="1" t="s">
        <v>28</v>
      </c>
      <c r="G561" s="1" t="s">
        <v>988</v>
      </c>
      <c r="H561" s="1">
        <v>118262.56</v>
      </c>
      <c r="I561" s="1" t="s">
        <v>263</v>
      </c>
      <c r="J561" s="1">
        <v>-2035713431</v>
      </c>
      <c r="K561" s="1" t="s">
        <v>18</v>
      </c>
      <c r="L561" s="1" t="b">
        <v>1</v>
      </c>
    </row>
    <row r="562" spans="1:12" x14ac:dyDescent="0.3">
      <c r="A562" s="1" t="s">
        <v>989</v>
      </c>
      <c r="B562" s="1" t="s">
        <v>37</v>
      </c>
      <c r="C562" s="1" t="s">
        <v>20</v>
      </c>
      <c r="D562" s="1">
        <v>25</v>
      </c>
      <c r="E562" s="1" t="s">
        <v>192</v>
      </c>
      <c r="F562" s="1" t="s">
        <v>33</v>
      </c>
      <c r="G562" s="2">
        <v>45142</v>
      </c>
      <c r="H562" s="1">
        <v>89944.67</v>
      </c>
      <c r="I562" s="1" t="s">
        <v>239</v>
      </c>
      <c r="J562" s="1">
        <v>-4064242955</v>
      </c>
      <c r="K562" s="1" t="s">
        <v>41</v>
      </c>
      <c r="L562" s="1" t="b">
        <v>0</v>
      </c>
    </row>
    <row r="563" spans="1:12" x14ac:dyDescent="0.3">
      <c r="A563" s="1" t="s">
        <v>990</v>
      </c>
      <c r="B563" s="1" t="s">
        <v>69</v>
      </c>
      <c r="C563" s="1" t="s">
        <v>38</v>
      </c>
      <c r="D563" s="1"/>
      <c r="E563" s="1" t="s">
        <v>212</v>
      </c>
      <c r="F563" s="1" t="s">
        <v>16</v>
      </c>
      <c r="G563" s="2">
        <v>44724</v>
      </c>
      <c r="H563" s="1">
        <v>57452.93</v>
      </c>
      <c r="I563" s="1" t="s">
        <v>71</v>
      </c>
      <c r="J563" s="1">
        <v>-3343244740</v>
      </c>
      <c r="K563" s="1" t="s">
        <v>30</v>
      </c>
      <c r="L563" s="1" t="b">
        <v>1</v>
      </c>
    </row>
    <row r="564" spans="1:12" x14ac:dyDescent="0.3">
      <c r="A564" s="1" t="s">
        <v>991</v>
      </c>
      <c r="B564" s="1" t="s">
        <v>25</v>
      </c>
      <c r="C564" s="1" t="s">
        <v>14</v>
      </c>
      <c r="D564" s="1">
        <v>25</v>
      </c>
      <c r="E564" s="1" t="s">
        <v>118</v>
      </c>
      <c r="F564" s="1" t="s">
        <v>16</v>
      </c>
      <c r="G564" s="2">
        <v>44447</v>
      </c>
      <c r="H564" s="1">
        <v>97837.32</v>
      </c>
      <c r="I564" s="1" t="s">
        <v>163</v>
      </c>
      <c r="J564" s="1">
        <v>-7595587208</v>
      </c>
      <c r="K564" s="1" t="s">
        <v>23</v>
      </c>
      <c r="L564" s="1" t="b">
        <v>0</v>
      </c>
    </row>
    <row r="565" spans="1:12" x14ac:dyDescent="0.3">
      <c r="A565" s="1" t="s">
        <v>992</v>
      </c>
      <c r="B565" s="1" t="s">
        <v>25</v>
      </c>
      <c r="C565" s="1" t="s">
        <v>14</v>
      </c>
      <c r="D565" s="1">
        <v>35</v>
      </c>
      <c r="E565" s="1" t="s">
        <v>89</v>
      </c>
      <c r="F565" s="1" t="s">
        <v>16</v>
      </c>
      <c r="G565" s="2">
        <v>44652</v>
      </c>
      <c r="H565" s="1">
        <v>106981.84</v>
      </c>
      <c r="I565" s="1" t="s">
        <v>163</v>
      </c>
      <c r="J565" s="1">
        <v>-6289365434</v>
      </c>
      <c r="K565" s="1" t="s">
        <v>41</v>
      </c>
      <c r="L565" s="1" t="b">
        <v>1</v>
      </c>
    </row>
    <row r="566" spans="1:12" x14ac:dyDescent="0.3">
      <c r="A566" s="1" t="s">
        <v>993</v>
      </c>
      <c r="B566" s="1" t="s">
        <v>59</v>
      </c>
      <c r="C566" s="1" t="s">
        <v>20</v>
      </c>
      <c r="D566" s="1"/>
      <c r="E566" s="1" t="s">
        <v>227</v>
      </c>
      <c r="F566" s="1" t="s">
        <v>28</v>
      </c>
      <c r="G566" s="1" t="s">
        <v>994</v>
      </c>
      <c r="H566" s="1">
        <v>105778.36</v>
      </c>
      <c r="I566" s="1" t="s">
        <v>225</v>
      </c>
      <c r="J566" s="1">
        <v>-8841834373</v>
      </c>
      <c r="K566" s="1" t="s">
        <v>30</v>
      </c>
      <c r="L566" s="1" t="b">
        <v>1</v>
      </c>
    </row>
    <row r="567" spans="1:12" x14ac:dyDescent="0.3">
      <c r="A567" s="1" t="s">
        <v>995</v>
      </c>
      <c r="B567" s="1" t="s">
        <v>25</v>
      </c>
      <c r="C567" s="1" t="s">
        <v>55</v>
      </c>
      <c r="D567" s="1">
        <v>40</v>
      </c>
      <c r="E567" s="1" t="s">
        <v>112</v>
      </c>
      <c r="F567" s="1" t="s">
        <v>28</v>
      </c>
      <c r="G567" s="2">
        <v>44237</v>
      </c>
      <c r="H567" s="1">
        <v>117608.32000000001</v>
      </c>
      <c r="I567" s="1" t="s">
        <v>150</v>
      </c>
      <c r="J567" s="1">
        <v>-182727954</v>
      </c>
      <c r="K567" s="1" t="s">
        <v>30</v>
      </c>
      <c r="L567" s="1" t="b">
        <v>1</v>
      </c>
    </row>
    <row r="568" spans="1:12" x14ac:dyDescent="0.3">
      <c r="A568" s="1" t="s">
        <v>996</v>
      </c>
      <c r="B568" s="1" t="s">
        <v>32</v>
      </c>
      <c r="C568" s="1" t="s">
        <v>55</v>
      </c>
      <c r="D568" s="1">
        <v>30</v>
      </c>
      <c r="E568" s="1" t="s">
        <v>74</v>
      </c>
      <c r="F568" s="1" t="s">
        <v>16</v>
      </c>
      <c r="G568" s="1" t="s">
        <v>997</v>
      </c>
      <c r="H568" s="1">
        <v>99324.03</v>
      </c>
      <c r="I568" s="1" t="s">
        <v>322</v>
      </c>
      <c r="J568" s="1">
        <v>-9690515025</v>
      </c>
      <c r="K568" s="1" t="s">
        <v>23</v>
      </c>
      <c r="L568" s="1" t="b">
        <v>0</v>
      </c>
    </row>
    <row r="569" spans="1:12" x14ac:dyDescent="0.3">
      <c r="A569" s="1" t="s">
        <v>998</v>
      </c>
      <c r="B569" s="1" t="s">
        <v>59</v>
      </c>
      <c r="C569" s="1" t="s">
        <v>43</v>
      </c>
      <c r="D569" s="1">
        <v>30</v>
      </c>
      <c r="E569" s="1" t="s">
        <v>212</v>
      </c>
      <c r="F569" s="1" t="s">
        <v>16</v>
      </c>
      <c r="G569" s="1" t="s">
        <v>999</v>
      </c>
      <c r="H569" s="1">
        <v>55212.83</v>
      </c>
      <c r="I569" s="1" t="s">
        <v>101</v>
      </c>
      <c r="J569" s="1">
        <v>-7551254277</v>
      </c>
      <c r="K569" s="1" t="s">
        <v>23</v>
      </c>
      <c r="L569" s="1" t="b">
        <v>1</v>
      </c>
    </row>
    <row r="570" spans="1:12" x14ac:dyDescent="0.3">
      <c r="A570" s="1" t="s">
        <v>1000</v>
      </c>
      <c r="B570" s="1" t="s">
        <v>13</v>
      </c>
      <c r="C570" s="1" t="s">
        <v>14</v>
      </c>
      <c r="D570" s="1">
        <v>40</v>
      </c>
      <c r="E570" s="1" t="s">
        <v>39</v>
      </c>
      <c r="F570" s="1" t="s">
        <v>33</v>
      </c>
      <c r="G570" s="1" t="s">
        <v>1001</v>
      </c>
      <c r="H570" s="1">
        <v>68496.77</v>
      </c>
      <c r="I570" s="1" t="s">
        <v>17</v>
      </c>
      <c r="J570" s="1">
        <v>-2079799666</v>
      </c>
      <c r="K570" s="1" t="s">
        <v>18</v>
      </c>
      <c r="L570" s="1" t="b">
        <v>0</v>
      </c>
    </row>
    <row r="571" spans="1:12" x14ac:dyDescent="0.3">
      <c r="A571" s="1" t="s">
        <v>1002</v>
      </c>
      <c r="B571" s="1" t="s">
        <v>32</v>
      </c>
      <c r="C571" s="1" t="s">
        <v>14</v>
      </c>
      <c r="D571" s="1">
        <v>25</v>
      </c>
      <c r="E571" s="1" t="s">
        <v>212</v>
      </c>
      <c r="F571" s="1" t="s">
        <v>28</v>
      </c>
      <c r="G571" s="1" t="s">
        <v>613</v>
      </c>
      <c r="H571" s="1">
        <v>52795.839999999997</v>
      </c>
      <c r="I571" s="1" t="s">
        <v>35</v>
      </c>
      <c r="J571" s="1">
        <v>-3459576402</v>
      </c>
      <c r="K571" s="1" t="s">
        <v>41</v>
      </c>
      <c r="L571" s="1" t="b">
        <v>0</v>
      </c>
    </row>
    <row r="572" spans="1:12" x14ac:dyDescent="0.3">
      <c r="A572" s="1" t="s">
        <v>1003</v>
      </c>
      <c r="B572" s="1" t="s">
        <v>25</v>
      </c>
      <c r="C572" s="1" t="s">
        <v>92</v>
      </c>
      <c r="D572" s="1"/>
      <c r="E572" s="1" t="s">
        <v>15</v>
      </c>
      <c r="F572" s="1" t="s">
        <v>33</v>
      </c>
      <c r="G572" s="2">
        <v>45418</v>
      </c>
      <c r="H572" s="1">
        <v>90087.39</v>
      </c>
      <c r="I572" s="1" t="s">
        <v>166</v>
      </c>
      <c r="J572" s="1">
        <v>-8166496901</v>
      </c>
      <c r="K572" s="1" t="s">
        <v>41</v>
      </c>
      <c r="L572" s="1" t="b">
        <v>0</v>
      </c>
    </row>
    <row r="573" spans="1:12" x14ac:dyDescent="0.3">
      <c r="A573" s="1" t="s">
        <v>1004</v>
      </c>
      <c r="B573" s="1" t="s">
        <v>37</v>
      </c>
      <c r="C573" s="1" t="s">
        <v>38</v>
      </c>
      <c r="D573" s="1"/>
      <c r="E573" s="1" t="s">
        <v>196</v>
      </c>
      <c r="F573" s="1" t="s">
        <v>28</v>
      </c>
      <c r="G573" s="1" t="s">
        <v>1005</v>
      </c>
      <c r="H573" s="1">
        <v>105038.08</v>
      </c>
      <c r="I573" s="1" t="s">
        <v>40</v>
      </c>
      <c r="J573" s="1">
        <v>-8249839224</v>
      </c>
      <c r="K573" s="1" t="s">
        <v>18</v>
      </c>
      <c r="L573" s="1" t="b">
        <v>0</v>
      </c>
    </row>
    <row r="574" spans="1:12" x14ac:dyDescent="0.3">
      <c r="A574" s="1" t="s">
        <v>1006</v>
      </c>
      <c r="B574" s="1" t="s">
        <v>69</v>
      </c>
      <c r="C574" s="1" t="s">
        <v>122</v>
      </c>
      <c r="D574" s="1">
        <v>25</v>
      </c>
      <c r="E574" s="1" t="s">
        <v>66</v>
      </c>
      <c r="F574" s="1" t="s">
        <v>16</v>
      </c>
      <c r="G574" s="1" t="s">
        <v>1007</v>
      </c>
      <c r="H574" s="1">
        <v>73231.850000000006</v>
      </c>
      <c r="I574" s="1" t="s">
        <v>135</v>
      </c>
      <c r="J574" s="1">
        <v>-142576269</v>
      </c>
      <c r="K574" s="1" t="s">
        <v>41</v>
      </c>
      <c r="L574" s="1" t="b">
        <v>0</v>
      </c>
    </row>
    <row r="575" spans="1:12" x14ac:dyDescent="0.3">
      <c r="A575" s="1" t="s">
        <v>1008</v>
      </c>
      <c r="B575" s="1" t="s">
        <v>59</v>
      </c>
      <c r="C575" s="1" t="s">
        <v>55</v>
      </c>
      <c r="D575" s="1"/>
      <c r="E575" s="1" t="s">
        <v>74</v>
      </c>
      <c r="F575" s="1" t="s">
        <v>28</v>
      </c>
      <c r="G575" s="1" t="s">
        <v>1009</v>
      </c>
      <c r="H575" s="1">
        <v>102649.36</v>
      </c>
      <c r="I575" s="1" t="s">
        <v>217</v>
      </c>
      <c r="J575" s="1">
        <v>-2324412335</v>
      </c>
      <c r="K575" s="1" t="s">
        <v>41</v>
      </c>
      <c r="L575" s="1" t="b">
        <v>0</v>
      </c>
    </row>
    <row r="576" spans="1:12" x14ac:dyDescent="0.3">
      <c r="A576" s="1" t="s">
        <v>1010</v>
      </c>
      <c r="B576" s="1" t="s">
        <v>13</v>
      </c>
      <c r="C576" s="1" t="s">
        <v>14</v>
      </c>
      <c r="D576" s="1">
        <v>35</v>
      </c>
      <c r="E576" s="1" t="s">
        <v>227</v>
      </c>
      <c r="F576" s="1" t="s">
        <v>28</v>
      </c>
      <c r="G576" s="2">
        <v>45205</v>
      </c>
      <c r="H576" s="1">
        <v>114302.51</v>
      </c>
      <c r="I576" s="1" t="s">
        <v>17</v>
      </c>
      <c r="J576" s="1">
        <v>-1328507250</v>
      </c>
      <c r="K576" s="1" t="s">
        <v>41</v>
      </c>
      <c r="L576" s="1" t="b">
        <v>0</v>
      </c>
    </row>
    <row r="577" spans="1:12" x14ac:dyDescent="0.3">
      <c r="A577" s="1" t="s">
        <v>1011</v>
      </c>
      <c r="B577" s="1" t="s">
        <v>25</v>
      </c>
      <c r="C577" s="1" t="s">
        <v>92</v>
      </c>
      <c r="D577" s="1">
        <v>35</v>
      </c>
      <c r="E577" s="1" t="s">
        <v>21</v>
      </c>
      <c r="F577" s="1" t="s">
        <v>33</v>
      </c>
      <c r="G577" s="2">
        <v>44445</v>
      </c>
      <c r="H577" s="1">
        <v>87816.61</v>
      </c>
      <c r="I577" s="1" t="s">
        <v>166</v>
      </c>
      <c r="J577" s="1">
        <v>-7863767315</v>
      </c>
      <c r="K577" s="1" t="s">
        <v>41</v>
      </c>
      <c r="L577" s="1" t="b">
        <v>0</v>
      </c>
    </row>
    <row r="578" spans="1:12" x14ac:dyDescent="0.3">
      <c r="A578" s="1" t="s">
        <v>1012</v>
      </c>
      <c r="B578" s="1" t="s">
        <v>37</v>
      </c>
      <c r="C578" s="1" t="s">
        <v>26</v>
      </c>
      <c r="D578" s="1"/>
      <c r="E578" s="1" t="s">
        <v>74</v>
      </c>
      <c r="F578" s="1" t="s">
        <v>33</v>
      </c>
      <c r="G578" s="1" t="s">
        <v>326</v>
      </c>
      <c r="H578" s="1">
        <v>70750.38</v>
      </c>
      <c r="I578" s="1" t="s">
        <v>47</v>
      </c>
      <c r="J578" s="1">
        <v>-2526546967</v>
      </c>
      <c r="K578" s="1" t="s">
        <v>41</v>
      </c>
      <c r="L578" s="1" t="b">
        <v>0</v>
      </c>
    </row>
    <row r="579" spans="1:12" x14ac:dyDescent="0.3">
      <c r="A579" s="1" t="s">
        <v>1013</v>
      </c>
      <c r="B579" s="1" t="s">
        <v>37</v>
      </c>
      <c r="C579" s="1" t="s">
        <v>92</v>
      </c>
      <c r="D579" s="1"/>
      <c r="E579" s="1" t="s">
        <v>159</v>
      </c>
      <c r="F579" s="1" t="s">
        <v>16</v>
      </c>
      <c r="G579" s="2">
        <v>45327</v>
      </c>
      <c r="H579" s="1"/>
      <c r="I579" s="1" t="s">
        <v>110</v>
      </c>
      <c r="J579" s="1">
        <v>-1579039234</v>
      </c>
      <c r="K579" s="1" t="s">
        <v>23</v>
      </c>
      <c r="L579" s="1" t="b">
        <v>1</v>
      </c>
    </row>
    <row r="580" spans="1:12" x14ac:dyDescent="0.3">
      <c r="A580" s="1" t="s">
        <v>1014</v>
      </c>
      <c r="B580" s="1" t="s">
        <v>13</v>
      </c>
      <c r="C580" s="1" t="s">
        <v>55</v>
      </c>
      <c r="D580" s="1">
        <v>30</v>
      </c>
      <c r="E580" s="1" t="s">
        <v>328</v>
      </c>
      <c r="F580" s="1" t="s">
        <v>16</v>
      </c>
      <c r="G580" s="2">
        <v>45454</v>
      </c>
      <c r="H580" s="1">
        <v>97978.36</v>
      </c>
      <c r="I580" s="1" t="s">
        <v>199</v>
      </c>
      <c r="J580" s="1">
        <v>-5580996131</v>
      </c>
      <c r="K580" s="1" t="s">
        <v>41</v>
      </c>
      <c r="L580" s="1" t="b">
        <v>1</v>
      </c>
    </row>
    <row r="581" spans="1:12" x14ac:dyDescent="0.3">
      <c r="A581" s="1" t="s">
        <v>1015</v>
      </c>
      <c r="B581" s="1" t="s">
        <v>59</v>
      </c>
      <c r="C581" s="1" t="s">
        <v>55</v>
      </c>
      <c r="D581" s="1"/>
      <c r="E581" s="1" t="s">
        <v>328</v>
      </c>
      <c r="F581" s="1" t="s">
        <v>33</v>
      </c>
      <c r="G581" s="1" t="s">
        <v>1016</v>
      </c>
      <c r="H581" s="1">
        <v>107172.8</v>
      </c>
      <c r="I581" s="1" t="s">
        <v>217</v>
      </c>
      <c r="J581" s="1">
        <v>-7303461561</v>
      </c>
      <c r="K581" s="1" t="s">
        <v>23</v>
      </c>
      <c r="L581" s="1" t="b">
        <v>1</v>
      </c>
    </row>
    <row r="582" spans="1:12" x14ac:dyDescent="0.3">
      <c r="A582" s="1" t="s">
        <v>1017</v>
      </c>
      <c r="B582" s="1" t="s">
        <v>54</v>
      </c>
      <c r="C582" s="1" t="s">
        <v>92</v>
      </c>
      <c r="D582" s="1">
        <v>25</v>
      </c>
      <c r="E582" s="1" t="s">
        <v>100</v>
      </c>
      <c r="F582" s="1" t="s">
        <v>33</v>
      </c>
      <c r="G582" s="1" t="s">
        <v>828</v>
      </c>
      <c r="H582" s="1">
        <v>56126.46</v>
      </c>
      <c r="I582" s="1" t="s">
        <v>501</v>
      </c>
      <c r="J582" s="1">
        <v>-6244670461</v>
      </c>
      <c r="K582" s="1" t="s">
        <v>41</v>
      </c>
      <c r="L582" s="1" t="b">
        <v>1</v>
      </c>
    </row>
    <row r="583" spans="1:12" x14ac:dyDescent="0.3">
      <c r="A583" s="1" t="s">
        <v>1018</v>
      </c>
      <c r="B583" s="1" t="s">
        <v>32</v>
      </c>
      <c r="C583" s="1" t="s">
        <v>122</v>
      </c>
      <c r="D583" s="1"/>
      <c r="E583" s="1" t="s">
        <v>95</v>
      </c>
      <c r="F583" s="1" t="s">
        <v>16</v>
      </c>
      <c r="G583" s="1" t="s">
        <v>1019</v>
      </c>
      <c r="H583" s="1">
        <v>78534.289999999994</v>
      </c>
      <c r="I583" s="1" t="s">
        <v>521</v>
      </c>
      <c r="J583" s="1">
        <v>-2681715159</v>
      </c>
      <c r="K583" s="1" t="s">
        <v>18</v>
      </c>
      <c r="L583" s="1" t="b">
        <v>1</v>
      </c>
    </row>
    <row r="584" spans="1:12" x14ac:dyDescent="0.3">
      <c r="A584" s="1" t="s">
        <v>1020</v>
      </c>
      <c r="B584" s="1" t="s">
        <v>69</v>
      </c>
      <c r="C584" s="1" t="s">
        <v>20</v>
      </c>
      <c r="D584" s="1">
        <v>40</v>
      </c>
      <c r="E584" s="1" t="s">
        <v>139</v>
      </c>
      <c r="F584" s="1" t="s">
        <v>33</v>
      </c>
      <c r="G584" s="2">
        <v>45209</v>
      </c>
      <c r="H584" s="1"/>
      <c r="I584" s="1" t="s">
        <v>201</v>
      </c>
      <c r="J584" s="1">
        <v>-2529867075</v>
      </c>
      <c r="K584" s="1" t="s">
        <v>30</v>
      </c>
      <c r="L584" s="1" t="b">
        <v>0</v>
      </c>
    </row>
    <row r="585" spans="1:12" x14ac:dyDescent="0.3">
      <c r="A585" s="1" t="s">
        <v>1021</v>
      </c>
      <c r="B585" s="1" t="s">
        <v>13</v>
      </c>
      <c r="C585" s="1" t="s">
        <v>55</v>
      </c>
      <c r="D585" s="1"/>
      <c r="E585" s="1" t="s">
        <v>85</v>
      </c>
      <c r="F585" s="1" t="s">
        <v>16</v>
      </c>
      <c r="G585" s="2">
        <v>44593</v>
      </c>
      <c r="H585" s="1">
        <v>114963.34</v>
      </c>
      <c r="I585" s="1" t="s">
        <v>199</v>
      </c>
      <c r="J585" s="1">
        <v>-6046419784</v>
      </c>
      <c r="K585" s="1" t="s">
        <v>23</v>
      </c>
      <c r="L585" s="1" t="b">
        <v>0</v>
      </c>
    </row>
    <row r="586" spans="1:12" x14ac:dyDescent="0.3">
      <c r="A586" s="1" t="s">
        <v>1022</v>
      </c>
      <c r="B586" s="1" t="s">
        <v>32</v>
      </c>
      <c r="C586" s="1" t="s">
        <v>92</v>
      </c>
      <c r="D586" s="1"/>
      <c r="E586" s="1" t="s">
        <v>268</v>
      </c>
      <c r="F586" s="1" t="s">
        <v>33</v>
      </c>
      <c r="G586" s="1" t="s">
        <v>1023</v>
      </c>
      <c r="H586" s="1">
        <v>77657.929999999993</v>
      </c>
      <c r="I586" s="1" t="s">
        <v>263</v>
      </c>
      <c r="J586" s="1">
        <v>-7585126860</v>
      </c>
      <c r="K586" s="1" t="s">
        <v>41</v>
      </c>
      <c r="L586" s="1" t="b">
        <v>0</v>
      </c>
    </row>
    <row r="587" spans="1:12" x14ac:dyDescent="0.3">
      <c r="A587" s="1" t="s">
        <v>1024</v>
      </c>
      <c r="B587" s="1" t="s">
        <v>65</v>
      </c>
      <c r="C587" s="1" t="s">
        <v>14</v>
      </c>
      <c r="D587" s="1">
        <v>30</v>
      </c>
      <c r="E587" s="1" t="s">
        <v>109</v>
      </c>
      <c r="F587" s="1" t="s">
        <v>16</v>
      </c>
      <c r="G587" s="2">
        <v>45538</v>
      </c>
      <c r="H587" s="1">
        <v>77369.48</v>
      </c>
      <c r="I587" s="1" t="s">
        <v>394</v>
      </c>
      <c r="J587" s="1">
        <v>-2059438975</v>
      </c>
      <c r="K587" s="1" t="s">
        <v>18</v>
      </c>
      <c r="L587" s="1" t="b">
        <v>0</v>
      </c>
    </row>
    <row r="588" spans="1:12" x14ac:dyDescent="0.3">
      <c r="A588" s="1" t="s">
        <v>1025</v>
      </c>
      <c r="B588" s="1" t="s">
        <v>32</v>
      </c>
      <c r="C588" s="1" t="s">
        <v>92</v>
      </c>
      <c r="D588" s="1">
        <v>30</v>
      </c>
      <c r="E588" s="1" t="s">
        <v>149</v>
      </c>
      <c r="F588" s="1" t="s">
        <v>28</v>
      </c>
      <c r="G588" s="1" t="s">
        <v>1026</v>
      </c>
      <c r="H588" s="1">
        <v>76119.14</v>
      </c>
      <c r="I588" s="1" t="s">
        <v>263</v>
      </c>
      <c r="J588" s="1">
        <v>-740177508</v>
      </c>
      <c r="K588" s="1" t="s">
        <v>30</v>
      </c>
      <c r="L588" s="1" t="b">
        <v>0</v>
      </c>
    </row>
    <row r="589" spans="1:12" x14ac:dyDescent="0.3">
      <c r="A589" s="1" t="s">
        <v>1027</v>
      </c>
      <c r="B589" s="1" t="s">
        <v>54</v>
      </c>
      <c r="C589" s="1" t="s">
        <v>38</v>
      </c>
      <c r="D589" s="1">
        <v>25</v>
      </c>
      <c r="E589" s="1" t="s">
        <v>159</v>
      </c>
      <c r="F589" s="1" t="s">
        <v>28</v>
      </c>
      <c r="G589" s="2">
        <v>45082</v>
      </c>
      <c r="H589" s="1">
        <v>77585.72</v>
      </c>
      <c r="I589" s="1" t="s">
        <v>90</v>
      </c>
      <c r="J589" s="1">
        <v>-5465408423</v>
      </c>
      <c r="K589" s="1" t="s">
        <v>23</v>
      </c>
      <c r="L589" s="1" t="b">
        <v>0</v>
      </c>
    </row>
    <row r="590" spans="1:12" x14ac:dyDescent="0.3">
      <c r="A590" s="1" t="s">
        <v>1028</v>
      </c>
      <c r="B590" s="1" t="s">
        <v>13</v>
      </c>
      <c r="C590" s="1" t="s">
        <v>20</v>
      </c>
      <c r="D590" s="1">
        <v>35</v>
      </c>
      <c r="E590" s="1" t="s">
        <v>27</v>
      </c>
      <c r="F590" s="1" t="s">
        <v>28</v>
      </c>
      <c r="G590" s="1" t="s">
        <v>1029</v>
      </c>
      <c r="H590" s="1">
        <v>74069.62</v>
      </c>
      <c r="I590" s="1" t="s">
        <v>22</v>
      </c>
      <c r="J590" s="1">
        <v>-5607540914</v>
      </c>
      <c r="K590" s="1" t="s">
        <v>30</v>
      </c>
      <c r="L590" s="1" t="b">
        <v>0</v>
      </c>
    </row>
    <row r="591" spans="1:12" x14ac:dyDescent="0.3">
      <c r="A591" s="1" t="s">
        <v>1030</v>
      </c>
      <c r="B591" s="1" t="s">
        <v>54</v>
      </c>
      <c r="C591" s="1" t="s">
        <v>26</v>
      </c>
      <c r="D591" s="1">
        <v>30</v>
      </c>
      <c r="E591" s="1" t="s">
        <v>196</v>
      </c>
      <c r="F591" s="1" t="s">
        <v>28</v>
      </c>
      <c r="G591" s="2">
        <v>45421</v>
      </c>
      <c r="H591" s="1">
        <v>67691.92</v>
      </c>
      <c r="I591" s="1" t="s">
        <v>120</v>
      </c>
      <c r="J591" s="1">
        <v>-863218121</v>
      </c>
      <c r="K591" s="1" t="s">
        <v>18</v>
      </c>
      <c r="L591" s="1" t="b">
        <v>1</v>
      </c>
    </row>
    <row r="592" spans="1:12" x14ac:dyDescent="0.3">
      <c r="A592" s="1" t="s">
        <v>1031</v>
      </c>
      <c r="B592" s="1" t="s">
        <v>25</v>
      </c>
      <c r="C592" s="1" t="s">
        <v>122</v>
      </c>
      <c r="D592" s="1"/>
      <c r="E592" s="1" t="s">
        <v>100</v>
      </c>
      <c r="F592" s="1" t="s">
        <v>28</v>
      </c>
      <c r="G592" s="1" t="s">
        <v>1032</v>
      </c>
      <c r="H592" s="1">
        <v>70345.69</v>
      </c>
      <c r="I592" s="1" t="s">
        <v>182</v>
      </c>
      <c r="J592" s="1">
        <v>-7645793896</v>
      </c>
      <c r="K592" s="1" t="s">
        <v>23</v>
      </c>
      <c r="L592" s="1" t="b">
        <v>1</v>
      </c>
    </row>
    <row r="593" spans="1:12" x14ac:dyDescent="0.3">
      <c r="A593" s="1" t="s">
        <v>1033</v>
      </c>
      <c r="B593" s="1" t="s">
        <v>13</v>
      </c>
      <c r="C593" s="1" t="s">
        <v>43</v>
      </c>
      <c r="D593" s="1">
        <v>30</v>
      </c>
      <c r="E593" s="1" t="s">
        <v>78</v>
      </c>
      <c r="F593" s="1" t="s">
        <v>33</v>
      </c>
      <c r="G593" s="2">
        <v>44419</v>
      </c>
      <c r="H593" s="1">
        <v>74999.69</v>
      </c>
      <c r="I593" s="1" t="s">
        <v>153</v>
      </c>
      <c r="J593" s="1">
        <v>-155029167</v>
      </c>
      <c r="K593" s="1" t="s">
        <v>30</v>
      </c>
      <c r="L593" s="1" t="b">
        <v>1</v>
      </c>
    </row>
    <row r="594" spans="1:12" x14ac:dyDescent="0.3">
      <c r="A594" s="1" t="s">
        <v>1034</v>
      </c>
      <c r="B594" s="1" t="s">
        <v>59</v>
      </c>
      <c r="C594" s="1" t="s">
        <v>26</v>
      </c>
      <c r="D594" s="1">
        <v>25</v>
      </c>
      <c r="E594" s="1" t="s">
        <v>192</v>
      </c>
      <c r="F594" s="1" t="s">
        <v>16</v>
      </c>
      <c r="G594" s="1" t="s">
        <v>1035</v>
      </c>
      <c r="H594" s="1">
        <v>72245.02</v>
      </c>
      <c r="I594" s="1" t="s">
        <v>242</v>
      </c>
      <c r="J594" s="1">
        <v>-1546602415</v>
      </c>
      <c r="K594" s="1" t="s">
        <v>41</v>
      </c>
      <c r="L594" s="1" t="b">
        <v>1</v>
      </c>
    </row>
    <row r="595" spans="1:12" x14ac:dyDescent="0.3">
      <c r="A595" s="1" t="s">
        <v>1036</v>
      </c>
      <c r="B595" s="1" t="s">
        <v>32</v>
      </c>
      <c r="C595" s="1" t="s">
        <v>20</v>
      </c>
      <c r="D595" s="1"/>
      <c r="E595" s="1" t="s">
        <v>89</v>
      </c>
      <c r="F595" s="1" t="s">
        <v>28</v>
      </c>
      <c r="G595" s="1" t="s">
        <v>1037</v>
      </c>
      <c r="H595" s="1">
        <v>106538.98</v>
      </c>
      <c r="I595" s="1" t="s">
        <v>155</v>
      </c>
      <c r="J595" s="1">
        <v>-1394498829</v>
      </c>
      <c r="K595" s="1" t="s">
        <v>23</v>
      </c>
      <c r="L595" s="1" t="b">
        <v>0</v>
      </c>
    </row>
    <row r="596" spans="1:12" x14ac:dyDescent="0.3">
      <c r="A596" s="1" t="s">
        <v>1038</v>
      </c>
      <c r="B596" s="1" t="s">
        <v>54</v>
      </c>
      <c r="C596" s="1" t="s">
        <v>20</v>
      </c>
      <c r="D596" s="1">
        <v>25</v>
      </c>
      <c r="E596" s="1" t="s">
        <v>66</v>
      </c>
      <c r="F596" s="1" t="s">
        <v>16</v>
      </c>
      <c r="G596" s="1" t="s">
        <v>387</v>
      </c>
      <c r="H596" s="1">
        <v>101787.14</v>
      </c>
      <c r="I596" s="1" t="s">
        <v>125</v>
      </c>
      <c r="J596" s="1">
        <v>-5973642479</v>
      </c>
      <c r="K596" s="1" t="s">
        <v>30</v>
      </c>
      <c r="L596" s="1" t="b">
        <v>0</v>
      </c>
    </row>
    <row r="597" spans="1:12" x14ac:dyDescent="0.3">
      <c r="A597" s="1" t="s">
        <v>1039</v>
      </c>
      <c r="B597" s="1" t="s">
        <v>37</v>
      </c>
      <c r="C597" s="1" t="s">
        <v>20</v>
      </c>
      <c r="D597" s="1">
        <v>30</v>
      </c>
      <c r="E597" s="1" t="s">
        <v>328</v>
      </c>
      <c r="F597" s="1" t="s">
        <v>33</v>
      </c>
      <c r="G597" s="2">
        <v>45334</v>
      </c>
      <c r="H597" s="1">
        <v>83596.78</v>
      </c>
      <c r="I597" s="1" t="s">
        <v>239</v>
      </c>
      <c r="J597" s="1">
        <v>-9624406305</v>
      </c>
      <c r="K597" s="1" t="s">
        <v>18</v>
      </c>
      <c r="L597" s="1" t="b">
        <v>0</v>
      </c>
    </row>
    <row r="598" spans="1:12" x14ac:dyDescent="0.3">
      <c r="A598" s="1" t="s">
        <v>1040</v>
      </c>
      <c r="B598" s="1" t="s">
        <v>32</v>
      </c>
      <c r="C598" s="1" t="s">
        <v>26</v>
      </c>
      <c r="D598" s="1">
        <v>40</v>
      </c>
      <c r="E598" s="1" t="s">
        <v>44</v>
      </c>
      <c r="F598" s="1" t="s">
        <v>16</v>
      </c>
      <c r="G598" s="1" t="s">
        <v>574</v>
      </c>
      <c r="H598" s="1">
        <v>92463.94</v>
      </c>
      <c r="I598" s="1" t="s">
        <v>277</v>
      </c>
      <c r="J598" s="1">
        <v>-2447951329</v>
      </c>
      <c r="K598" s="1" t="s">
        <v>18</v>
      </c>
      <c r="L598" s="1" t="b">
        <v>1</v>
      </c>
    </row>
    <row r="599" spans="1:12" x14ac:dyDescent="0.3">
      <c r="A599" s="1" t="s">
        <v>1041</v>
      </c>
      <c r="B599" s="1" t="s">
        <v>54</v>
      </c>
      <c r="C599" s="1" t="s">
        <v>14</v>
      </c>
      <c r="D599" s="1"/>
      <c r="E599" s="1" t="s">
        <v>118</v>
      </c>
      <c r="F599" s="1" t="s">
        <v>28</v>
      </c>
      <c r="G599" s="1" t="s">
        <v>1042</v>
      </c>
      <c r="H599" s="1">
        <v>93863.32</v>
      </c>
      <c r="I599" s="1" t="s">
        <v>170</v>
      </c>
      <c r="J599" s="1">
        <v>-5319497968</v>
      </c>
      <c r="K599" s="1" t="s">
        <v>23</v>
      </c>
      <c r="L599" s="1" t="b">
        <v>0</v>
      </c>
    </row>
    <row r="600" spans="1:12" x14ac:dyDescent="0.3">
      <c r="A600" s="1" t="s">
        <v>1043</v>
      </c>
      <c r="B600" s="1" t="s">
        <v>25</v>
      </c>
      <c r="C600" s="1" t="s">
        <v>20</v>
      </c>
      <c r="D600" s="1"/>
      <c r="E600" s="1" t="s">
        <v>237</v>
      </c>
      <c r="F600" s="1" t="s">
        <v>28</v>
      </c>
      <c r="G600" s="1" t="s">
        <v>1044</v>
      </c>
      <c r="H600" s="1">
        <v>78359.41</v>
      </c>
      <c r="I600" s="1" t="s">
        <v>80</v>
      </c>
      <c r="J600" s="1">
        <v>-5867805554</v>
      </c>
      <c r="K600" s="1" t="s">
        <v>30</v>
      </c>
      <c r="L600" s="1" t="b">
        <v>0</v>
      </c>
    </row>
    <row r="601" spans="1:12" x14ac:dyDescent="0.3">
      <c r="A601" s="1" t="s">
        <v>1045</v>
      </c>
      <c r="B601" s="1" t="s">
        <v>25</v>
      </c>
      <c r="C601" s="1" t="s">
        <v>92</v>
      </c>
      <c r="D601" s="1"/>
      <c r="E601" s="1" t="s">
        <v>192</v>
      </c>
      <c r="F601" s="1" t="s">
        <v>28</v>
      </c>
      <c r="G601" s="1" t="s">
        <v>779</v>
      </c>
      <c r="H601" s="1">
        <v>95773.57</v>
      </c>
      <c r="I601" s="1" t="s">
        <v>166</v>
      </c>
      <c r="J601" s="1">
        <v>-7277382645</v>
      </c>
      <c r="K601" s="1" t="s">
        <v>23</v>
      </c>
      <c r="L601" s="1" t="b">
        <v>0</v>
      </c>
    </row>
    <row r="602" spans="1:12" x14ac:dyDescent="0.3">
      <c r="A602" s="1" t="s">
        <v>1046</v>
      </c>
      <c r="B602" s="1" t="s">
        <v>69</v>
      </c>
      <c r="C602" s="1" t="s">
        <v>26</v>
      </c>
      <c r="D602" s="1">
        <v>30</v>
      </c>
      <c r="E602" s="1" t="s">
        <v>219</v>
      </c>
      <c r="F602" s="1" t="s">
        <v>33</v>
      </c>
      <c r="G602" s="2">
        <v>43840</v>
      </c>
      <c r="H602" s="1">
        <v>82529.08</v>
      </c>
      <c r="I602" s="1" t="s">
        <v>76</v>
      </c>
      <c r="J602" s="1">
        <v>-917851384</v>
      </c>
      <c r="K602" s="1" t="s">
        <v>23</v>
      </c>
      <c r="L602" s="1" t="b">
        <v>1</v>
      </c>
    </row>
    <row r="603" spans="1:12" x14ac:dyDescent="0.3">
      <c r="A603" s="1" t="s">
        <v>1047</v>
      </c>
      <c r="B603" s="1" t="s">
        <v>69</v>
      </c>
      <c r="C603" s="1" t="s">
        <v>43</v>
      </c>
      <c r="D603" s="1">
        <v>35</v>
      </c>
      <c r="E603" s="1" t="s">
        <v>44</v>
      </c>
      <c r="F603" s="1" t="s">
        <v>28</v>
      </c>
      <c r="G603" s="2">
        <v>44291</v>
      </c>
      <c r="H603" s="1">
        <v>109358.73</v>
      </c>
      <c r="I603" s="1" t="s">
        <v>83</v>
      </c>
      <c r="J603" s="1">
        <v>-4457702991</v>
      </c>
      <c r="K603" s="1" t="s">
        <v>30</v>
      </c>
      <c r="L603" s="1" t="b">
        <v>0</v>
      </c>
    </row>
    <row r="604" spans="1:12" x14ac:dyDescent="0.3">
      <c r="A604" s="1" t="s">
        <v>1048</v>
      </c>
      <c r="B604" s="1" t="s">
        <v>54</v>
      </c>
      <c r="C604" s="1" t="s">
        <v>20</v>
      </c>
      <c r="D604" s="1"/>
      <c r="E604" s="1" t="s">
        <v>205</v>
      </c>
      <c r="F604" s="1" t="s">
        <v>16</v>
      </c>
      <c r="G604" s="2">
        <v>44197</v>
      </c>
      <c r="H604" s="1">
        <v>89645.01</v>
      </c>
      <c r="I604" s="1" t="s">
        <v>125</v>
      </c>
      <c r="J604" s="1">
        <v>-9596604872</v>
      </c>
      <c r="K604" s="1" t="s">
        <v>30</v>
      </c>
      <c r="L604" s="1" t="b">
        <v>1</v>
      </c>
    </row>
    <row r="605" spans="1:12" x14ac:dyDescent="0.3">
      <c r="A605" s="1" t="s">
        <v>1049</v>
      </c>
      <c r="B605" s="1" t="s">
        <v>54</v>
      </c>
      <c r="C605" s="1" t="s">
        <v>92</v>
      </c>
      <c r="D605" s="1">
        <v>40</v>
      </c>
      <c r="E605" s="1" t="s">
        <v>139</v>
      </c>
      <c r="F605" s="1" t="s">
        <v>16</v>
      </c>
      <c r="G605" s="2">
        <v>45508</v>
      </c>
      <c r="H605" s="1">
        <v>84134.95</v>
      </c>
      <c r="I605" s="1" t="s">
        <v>501</v>
      </c>
      <c r="J605" s="1">
        <v>-6826911632</v>
      </c>
      <c r="K605" s="1" t="s">
        <v>41</v>
      </c>
      <c r="L605" s="1" t="b">
        <v>1</v>
      </c>
    </row>
    <row r="606" spans="1:12" x14ac:dyDescent="0.3">
      <c r="A606" s="1" t="s">
        <v>1050</v>
      </c>
      <c r="B606" s="1" t="s">
        <v>37</v>
      </c>
      <c r="C606" s="1" t="s">
        <v>14</v>
      </c>
      <c r="D606" s="1">
        <v>30</v>
      </c>
      <c r="E606" s="1" t="s">
        <v>85</v>
      </c>
      <c r="F606" s="1" t="s">
        <v>16</v>
      </c>
      <c r="G606" s="1" t="s">
        <v>203</v>
      </c>
      <c r="H606" s="1">
        <v>113540.83</v>
      </c>
      <c r="I606" s="1" t="s">
        <v>52</v>
      </c>
      <c r="J606" s="1">
        <v>-1942268652</v>
      </c>
      <c r="K606" s="1" t="s">
        <v>30</v>
      </c>
      <c r="L606" s="1" t="b">
        <v>1</v>
      </c>
    </row>
    <row r="607" spans="1:12" x14ac:dyDescent="0.3">
      <c r="A607" s="1" t="s">
        <v>1051</v>
      </c>
      <c r="B607" s="1" t="s">
        <v>65</v>
      </c>
      <c r="C607" s="1" t="s">
        <v>38</v>
      </c>
      <c r="D607" s="1">
        <v>40</v>
      </c>
      <c r="E607" s="1" t="s">
        <v>159</v>
      </c>
      <c r="F607" s="1" t="s">
        <v>28</v>
      </c>
      <c r="G607" s="1" t="s">
        <v>1052</v>
      </c>
      <c r="H607" s="1">
        <v>57225.75</v>
      </c>
      <c r="I607" s="1" t="s">
        <v>67</v>
      </c>
      <c r="J607" s="1">
        <v>-6945515887</v>
      </c>
      <c r="K607" s="1" t="s">
        <v>18</v>
      </c>
      <c r="L607" s="1" t="b">
        <v>1</v>
      </c>
    </row>
    <row r="608" spans="1:12" x14ac:dyDescent="0.3">
      <c r="A608" s="1" t="s">
        <v>1053</v>
      </c>
      <c r="B608" s="1" t="s">
        <v>32</v>
      </c>
      <c r="C608" s="1" t="s">
        <v>14</v>
      </c>
      <c r="D608" s="1">
        <v>35</v>
      </c>
      <c r="E608" s="1" t="s">
        <v>98</v>
      </c>
      <c r="F608" s="1" t="s">
        <v>28</v>
      </c>
      <c r="G608" s="1" t="s">
        <v>1054</v>
      </c>
      <c r="H608" s="1">
        <v>76366.17</v>
      </c>
      <c r="I608" s="1" t="s">
        <v>35</v>
      </c>
      <c r="J608" s="1">
        <v>-6367747225</v>
      </c>
      <c r="K608" s="1" t="s">
        <v>23</v>
      </c>
      <c r="L608" s="1" t="b">
        <v>0</v>
      </c>
    </row>
    <row r="609" spans="1:12" x14ac:dyDescent="0.3">
      <c r="A609" s="1" t="s">
        <v>1055</v>
      </c>
      <c r="B609" s="1" t="s">
        <v>13</v>
      </c>
      <c r="C609" s="1" t="s">
        <v>43</v>
      </c>
      <c r="D609" s="1"/>
      <c r="E609" s="1" t="s">
        <v>212</v>
      </c>
      <c r="F609" s="1" t="s">
        <v>16</v>
      </c>
      <c r="G609" s="1" t="s">
        <v>1056</v>
      </c>
      <c r="H609" s="1">
        <v>78408.95</v>
      </c>
      <c r="I609" s="1" t="s">
        <v>153</v>
      </c>
      <c r="J609" s="1">
        <v>-4085721695</v>
      </c>
      <c r="K609" s="1" t="s">
        <v>23</v>
      </c>
      <c r="L609" s="1" t="b">
        <v>1</v>
      </c>
    </row>
    <row r="610" spans="1:12" x14ac:dyDescent="0.3">
      <c r="A610" s="1" t="s">
        <v>1057</v>
      </c>
      <c r="B610" s="1" t="s">
        <v>37</v>
      </c>
      <c r="C610" s="1" t="s">
        <v>20</v>
      </c>
      <c r="D610" s="1">
        <v>40</v>
      </c>
      <c r="E610" s="1" t="s">
        <v>265</v>
      </c>
      <c r="F610" s="1" t="s">
        <v>16</v>
      </c>
      <c r="G610" s="1" t="s">
        <v>1058</v>
      </c>
      <c r="H610" s="1">
        <v>111742.39999999999</v>
      </c>
      <c r="I610" s="1" t="s">
        <v>239</v>
      </c>
      <c r="J610" s="1">
        <v>-6630932997</v>
      </c>
      <c r="K610" s="1" t="s">
        <v>18</v>
      </c>
      <c r="L610" s="1" t="b">
        <v>1</v>
      </c>
    </row>
    <row r="611" spans="1:12" x14ac:dyDescent="0.3">
      <c r="A611" s="1" t="s">
        <v>1059</v>
      </c>
      <c r="B611" s="1" t="s">
        <v>59</v>
      </c>
      <c r="C611" s="1" t="s">
        <v>43</v>
      </c>
      <c r="D611" s="1">
        <v>25</v>
      </c>
      <c r="E611" s="1" t="s">
        <v>219</v>
      </c>
      <c r="F611" s="1" t="s">
        <v>33</v>
      </c>
      <c r="G611" s="2">
        <v>44442</v>
      </c>
      <c r="H611" s="1">
        <v>60516.83</v>
      </c>
      <c r="I611" s="1" t="s">
        <v>101</v>
      </c>
      <c r="J611" s="1">
        <v>-1996059328</v>
      </c>
      <c r="K611" s="1" t="s">
        <v>30</v>
      </c>
      <c r="L611" s="1" t="b">
        <v>0</v>
      </c>
    </row>
    <row r="612" spans="1:12" x14ac:dyDescent="0.3">
      <c r="A612" s="1" t="s">
        <v>1060</v>
      </c>
      <c r="B612" s="1" t="s">
        <v>13</v>
      </c>
      <c r="C612" s="1" t="s">
        <v>26</v>
      </c>
      <c r="D612" s="1">
        <v>30</v>
      </c>
      <c r="E612" s="1" t="s">
        <v>70</v>
      </c>
      <c r="F612" s="1" t="s">
        <v>28</v>
      </c>
      <c r="G612" s="1" t="s">
        <v>1061</v>
      </c>
      <c r="H612" s="1">
        <v>83706.17</v>
      </c>
      <c r="I612" s="1" t="s">
        <v>50</v>
      </c>
      <c r="J612" s="1">
        <v>-7150968831</v>
      </c>
      <c r="K612" s="1" t="s">
        <v>18</v>
      </c>
      <c r="L612" s="1" t="b">
        <v>0</v>
      </c>
    </row>
    <row r="613" spans="1:12" x14ac:dyDescent="0.3">
      <c r="A613" s="1" t="s">
        <v>1062</v>
      </c>
      <c r="B613" s="1" t="s">
        <v>59</v>
      </c>
      <c r="C613" s="1" t="s">
        <v>55</v>
      </c>
      <c r="D613" s="1"/>
      <c r="E613" s="1" t="s">
        <v>27</v>
      </c>
      <c r="F613" s="1" t="s">
        <v>33</v>
      </c>
      <c r="G613" s="1" t="s">
        <v>1063</v>
      </c>
      <c r="H613" s="1">
        <v>67056.92</v>
      </c>
      <c r="I613" s="1" t="s">
        <v>217</v>
      </c>
      <c r="J613" s="1">
        <v>-7532735240</v>
      </c>
      <c r="K613" s="1" t="s">
        <v>18</v>
      </c>
      <c r="L613" s="1" t="b">
        <v>1</v>
      </c>
    </row>
    <row r="614" spans="1:12" x14ac:dyDescent="0.3">
      <c r="A614" s="1" t="s">
        <v>1064</v>
      </c>
      <c r="B614" s="1" t="s">
        <v>54</v>
      </c>
      <c r="C614" s="1" t="s">
        <v>20</v>
      </c>
      <c r="D614" s="1">
        <v>30</v>
      </c>
      <c r="E614" s="1" t="s">
        <v>78</v>
      </c>
      <c r="F614" s="1" t="s">
        <v>16</v>
      </c>
      <c r="G614" s="1" t="s">
        <v>1065</v>
      </c>
      <c r="H614" s="1">
        <v>90058.85</v>
      </c>
      <c r="I614" s="1" t="s">
        <v>125</v>
      </c>
      <c r="J614" s="1">
        <v>-397739731</v>
      </c>
      <c r="K614" s="1" t="s">
        <v>41</v>
      </c>
      <c r="L614" s="1" t="b">
        <v>0</v>
      </c>
    </row>
    <row r="615" spans="1:12" x14ac:dyDescent="0.3">
      <c r="A615" s="1" t="s">
        <v>1066</v>
      </c>
      <c r="B615" s="1" t="s">
        <v>32</v>
      </c>
      <c r="C615" s="1" t="s">
        <v>55</v>
      </c>
      <c r="D615" s="1">
        <v>30</v>
      </c>
      <c r="E615" s="1" t="s">
        <v>74</v>
      </c>
      <c r="F615" s="1" t="s">
        <v>28</v>
      </c>
      <c r="G615" s="1" t="s">
        <v>1067</v>
      </c>
      <c r="H615" s="1">
        <v>94633.59</v>
      </c>
      <c r="I615" s="1" t="s">
        <v>322</v>
      </c>
      <c r="J615" s="1">
        <v>-7819523709</v>
      </c>
      <c r="K615" s="1" t="s">
        <v>18</v>
      </c>
      <c r="L615" s="1" t="b">
        <v>1</v>
      </c>
    </row>
    <row r="616" spans="1:12" x14ac:dyDescent="0.3">
      <c r="A616" s="1" t="s">
        <v>1068</v>
      </c>
      <c r="B616" s="1" t="s">
        <v>32</v>
      </c>
      <c r="C616" s="1" t="s">
        <v>92</v>
      </c>
      <c r="D616" s="1">
        <v>25</v>
      </c>
      <c r="E616" s="1" t="s">
        <v>205</v>
      </c>
      <c r="F616" s="1" t="s">
        <v>28</v>
      </c>
      <c r="G616" s="1" t="s">
        <v>1069</v>
      </c>
      <c r="H616" s="1">
        <v>110711.17</v>
      </c>
      <c r="I616" s="1" t="s">
        <v>263</v>
      </c>
      <c r="J616" s="1">
        <v>-687616480</v>
      </c>
      <c r="K616" s="1" t="s">
        <v>23</v>
      </c>
      <c r="L616" s="1" t="b">
        <v>1</v>
      </c>
    </row>
    <row r="617" spans="1:12" x14ac:dyDescent="0.3">
      <c r="A617" s="1" t="s">
        <v>1070</v>
      </c>
      <c r="B617" s="1" t="s">
        <v>69</v>
      </c>
      <c r="C617" s="1" t="s">
        <v>38</v>
      </c>
      <c r="D617" s="1"/>
      <c r="E617" s="1" t="s">
        <v>89</v>
      </c>
      <c r="F617" s="1" t="s">
        <v>16</v>
      </c>
      <c r="G617" s="1" t="s">
        <v>332</v>
      </c>
      <c r="H617" s="1">
        <v>96175.41</v>
      </c>
      <c r="I617" s="1" t="s">
        <v>71</v>
      </c>
      <c r="J617" s="1">
        <v>-9807704604</v>
      </c>
      <c r="K617" s="1" t="s">
        <v>18</v>
      </c>
      <c r="L617" s="1" t="b">
        <v>1</v>
      </c>
    </row>
    <row r="618" spans="1:12" x14ac:dyDescent="0.3">
      <c r="A618" s="1" t="s">
        <v>1071</v>
      </c>
      <c r="B618" s="1" t="s">
        <v>37</v>
      </c>
      <c r="C618" s="1" t="s">
        <v>122</v>
      </c>
      <c r="D618" s="1">
        <v>40</v>
      </c>
      <c r="E618" s="1" t="s">
        <v>98</v>
      </c>
      <c r="F618" s="1" t="s">
        <v>16</v>
      </c>
      <c r="G618" s="1" t="s">
        <v>1072</v>
      </c>
      <c r="H618" s="1">
        <v>76474.789999999994</v>
      </c>
      <c r="I618" s="1" t="s">
        <v>137</v>
      </c>
      <c r="J618" s="1">
        <v>-6876112490</v>
      </c>
      <c r="K618" s="1" t="s">
        <v>23</v>
      </c>
      <c r="L618" s="1" t="b">
        <v>1</v>
      </c>
    </row>
    <row r="619" spans="1:12" x14ac:dyDescent="0.3">
      <c r="A619" s="1" t="s">
        <v>1073</v>
      </c>
      <c r="B619" s="1" t="s">
        <v>25</v>
      </c>
      <c r="C619" s="1" t="s">
        <v>43</v>
      </c>
      <c r="D619" s="1">
        <v>30</v>
      </c>
      <c r="E619" s="1" t="s">
        <v>98</v>
      </c>
      <c r="F619" s="1" t="s">
        <v>28</v>
      </c>
      <c r="G619" s="2">
        <v>44809</v>
      </c>
      <c r="H619" s="1">
        <v>107855.99</v>
      </c>
      <c r="I619" s="1" t="s">
        <v>45</v>
      </c>
      <c r="J619" s="1">
        <v>-2565237340</v>
      </c>
      <c r="K619" s="1" t="s">
        <v>23</v>
      </c>
      <c r="L619" s="1" t="b">
        <v>0</v>
      </c>
    </row>
    <row r="620" spans="1:12" x14ac:dyDescent="0.3">
      <c r="A620" s="1" t="s">
        <v>1074</v>
      </c>
      <c r="B620" s="1" t="s">
        <v>54</v>
      </c>
      <c r="C620" s="1" t="s">
        <v>14</v>
      </c>
      <c r="D620" s="1">
        <v>40</v>
      </c>
      <c r="E620" s="1" t="s">
        <v>98</v>
      </c>
      <c r="F620" s="1" t="s">
        <v>16</v>
      </c>
      <c r="G620" s="2">
        <v>45334</v>
      </c>
      <c r="H620" s="1">
        <v>104870.78</v>
      </c>
      <c r="I620" s="1" t="s">
        <v>170</v>
      </c>
      <c r="J620" s="1">
        <v>-5177345474</v>
      </c>
      <c r="K620" s="1" t="s">
        <v>23</v>
      </c>
      <c r="L620" s="1" t="b">
        <v>1</v>
      </c>
    </row>
    <row r="621" spans="1:12" x14ac:dyDescent="0.3">
      <c r="A621" s="1" t="s">
        <v>1075</v>
      </c>
      <c r="B621" s="1" t="s">
        <v>13</v>
      </c>
      <c r="C621" s="1" t="s">
        <v>38</v>
      </c>
      <c r="D621" s="1">
        <v>25</v>
      </c>
      <c r="E621" s="1" t="s">
        <v>100</v>
      </c>
      <c r="F621" s="1" t="s">
        <v>16</v>
      </c>
      <c r="G621" s="1" t="s">
        <v>1076</v>
      </c>
      <c r="H621" s="1"/>
      <c r="I621" s="1" t="s">
        <v>144</v>
      </c>
      <c r="J621" s="1">
        <v>-7494902283</v>
      </c>
      <c r="K621" s="1" t="s">
        <v>30</v>
      </c>
      <c r="L621" s="1" t="b">
        <v>0</v>
      </c>
    </row>
    <row r="622" spans="1:12" x14ac:dyDescent="0.3">
      <c r="A622" s="1" t="s">
        <v>1077</v>
      </c>
      <c r="B622" s="1" t="s">
        <v>69</v>
      </c>
      <c r="C622" s="1" t="s">
        <v>20</v>
      </c>
      <c r="D622" s="1"/>
      <c r="E622" s="1" t="s">
        <v>70</v>
      </c>
      <c r="F622" s="1" t="s">
        <v>16</v>
      </c>
      <c r="G622" s="1" t="s">
        <v>1078</v>
      </c>
      <c r="H622" s="1">
        <v>87087.16</v>
      </c>
      <c r="I622" s="1" t="s">
        <v>201</v>
      </c>
      <c r="J622" s="1">
        <v>-359544293</v>
      </c>
      <c r="K622" s="1" t="s">
        <v>41</v>
      </c>
      <c r="L622" s="1" t="b">
        <v>0</v>
      </c>
    </row>
    <row r="623" spans="1:12" x14ac:dyDescent="0.3">
      <c r="A623" s="1" t="s">
        <v>1079</v>
      </c>
      <c r="B623" s="1" t="s">
        <v>65</v>
      </c>
      <c r="C623" s="1" t="s">
        <v>55</v>
      </c>
      <c r="D623" s="1">
        <v>40</v>
      </c>
      <c r="E623" s="1" t="s">
        <v>192</v>
      </c>
      <c r="F623" s="1" t="s">
        <v>28</v>
      </c>
      <c r="G623" s="2">
        <v>45508</v>
      </c>
      <c r="H623" s="1">
        <v>108603.34</v>
      </c>
      <c r="I623" s="1" t="s">
        <v>113</v>
      </c>
      <c r="J623" s="1">
        <v>-7742229463</v>
      </c>
      <c r="K623" s="1" t="s">
        <v>23</v>
      </c>
      <c r="L623" s="1" t="b">
        <v>0</v>
      </c>
    </row>
    <row r="624" spans="1:12" x14ac:dyDescent="0.3">
      <c r="A624" s="1" t="s">
        <v>1080</v>
      </c>
      <c r="B624" s="1" t="s">
        <v>69</v>
      </c>
      <c r="C624" s="1" t="s">
        <v>14</v>
      </c>
      <c r="D624" s="1">
        <v>30</v>
      </c>
      <c r="E624" s="1" t="s">
        <v>212</v>
      </c>
      <c r="F624" s="1" t="s">
        <v>16</v>
      </c>
      <c r="G624" s="1" t="s">
        <v>1081</v>
      </c>
      <c r="H624" s="1">
        <v>55867.23</v>
      </c>
      <c r="I624" s="1" t="s">
        <v>235</v>
      </c>
      <c r="J624" s="1">
        <v>-3039429044</v>
      </c>
      <c r="K624" s="1" t="s">
        <v>23</v>
      </c>
      <c r="L624" s="1" t="b">
        <v>0</v>
      </c>
    </row>
    <row r="625" spans="1:12" x14ac:dyDescent="0.3">
      <c r="A625" s="1" t="s">
        <v>1082</v>
      </c>
      <c r="B625" s="1" t="s">
        <v>69</v>
      </c>
      <c r="C625" s="1" t="s">
        <v>55</v>
      </c>
      <c r="D625" s="1">
        <v>35</v>
      </c>
      <c r="E625" s="1" t="s">
        <v>103</v>
      </c>
      <c r="F625" s="1" t="s">
        <v>28</v>
      </c>
      <c r="G625" s="2">
        <v>45325</v>
      </c>
      <c r="H625" s="1">
        <v>105259.57</v>
      </c>
      <c r="I625" s="1" t="s">
        <v>127</v>
      </c>
      <c r="J625" s="1">
        <v>-8867925297</v>
      </c>
      <c r="K625" s="1" t="s">
        <v>30</v>
      </c>
      <c r="L625" s="1" t="b">
        <v>1</v>
      </c>
    </row>
    <row r="626" spans="1:12" x14ac:dyDescent="0.3">
      <c r="A626" s="1" t="s">
        <v>1083</v>
      </c>
      <c r="B626" s="1" t="s">
        <v>13</v>
      </c>
      <c r="C626" s="1" t="s">
        <v>26</v>
      </c>
      <c r="D626" s="1"/>
      <c r="E626" s="1" t="s">
        <v>39</v>
      </c>
      <c r="F626" s="1" t="s">
        <v>28</v>
      </c>
      <c r="G626" s="1" t="s">
        <v>1084</v>
      </c>
      <c r="H626" s="1">
        <v>98143.67</v>
      </c>
      <c r="I626" s="1" t="s">
        <v>50</v>
      </c>
      <c r="J626" s="1">
        <v>-5856728726</v>
      </c>
      <c r="K626" s="1" t="s">
        <v>23</v>
      </c>
      <c r="L626" s="1" t="b">
        <v>0</v>
      </c>
    </row>
    <row r="627" spans="1:12" x14ac:dyDescent="0.3">
      <c r="A627" s="1" t="s">
        <v>1085</v>
      </c>
      <c r="B627" s="1" t="s">
        <v>37</v>
      </c>
      <c r="C627" s="1" t="s">
        <v>55</v>
      </c>
      <c r="D627" s="1">
        <v>25</v>
      </c>
      <c r="E627" s="1" t="s">
        <v>205</v>
      </c>
      <c r="F627" s="1" t="s">
        <v>28</v>
      </c>
      <c r="G627" s="1" t="s">
        <v>1086</v>
      </c>
      <c r="H627" s="1">
        <v>67754.289999999994</v>
      </c>
      <c r="I627" s="1" t="s">
        <v>271</v>
      </c>
      <c r="J627" s="1">
        <v>-6015343323</v>
      </c>
      <c r="K627" s="1" t="s">
        <v>18</v>
      </c>
      <c r="L627" s="1" t="b">
        <v>1</v>
      </c>
    </row>
    <row r="628" spans="1:12" x14ac:dyDescent="0.3">
      <c r="A628" s="1" t="s">
        <v>1087</v>
      </c>
      <c r="B628" s="1" t="s">
        <v>69</v>
      </c>
      <c r="C628" s="1" t="s">
        <v>26</v>
      </c>
      <c r="D628" s="1"/>
      <c r="E628" s="1" t="s">
        <v>192</v>
      </c>
      <c r="F628" s="1" t="s">
        <v>33</v>
      </c>
      <c r="G628" s="1" t="s">
        <v>599</v>
      </c>
      <c r="H628" s="1">
        <v>77821.789999999994</v>
      </c>
      <c r="I628" s="1" t="s">
        <v>76</v>
      </c>
      <c r="J628" s="1">
        <v>-9135779082</v>
      </c>
      <c r="K628" s="1" t="s">
        <v>18</v>
      </c>
      <c r="L628" s="1" t="b">
        <v>0</v>
      </c>
    </row>
    <row r="629" spans="1:12" x14ac:dyDescent="0.3">
      <c r="A629" s="1" t="s">
        <v>1088</v>
      </c>
      <c r="B629" s="1" t="s">
        <v>65</v>
      </c>
      <c r="C629" s="1" t="s">
        <v>92</v>
      </c>
      <c r="D629" s="1">
        <v>30</v>
      </c>
      <c r="E629" s="1" t="s">
        <v>192</v>
      </c>
      <c r="F629" s="1" t="s">
        <v>28</v>
      </c>
      <c r="G629" s="1" t="s">
        <v>1089</v>
      </c>
      <c r="H629" s="1">
        <v>67764.44</v>
      </c>
      <c r="I629" s="1" t="s">
        <v>130</v>
      </c>
      <c r="J629" s="1">
        <v>-3506158147</v>
      </c>
      <c r="K629" s="1" t="s">
        <v>41</v>
      </c>
      <c r="L629" s="1" t="b">
        <v>0</v>
      </c>
    </row>
    <row r="630" spans="1:12" x14ac:dyDescent="0.3">
      <c r="A630" s="1" t="s">
        <v>1090</v>
      </c>
      <c r="B630" s="1" t="s">
        <v>37</v>
      </c>
      <c r="C630" s="1" t="s">
        <v>14</v>
      </c>
      <c r="D630" s="1">
        <v>40</v>
      </c>
      <c r="E630" s="1" t="s">
        <v>56</v>
      </c>
      <c r="F630" s="1" t="s">
        <v>28</v>
      </c>
      <c r="G630" s="1" t="s">
        <v>966</v>
      </c>
      <c r="H630" s="1">
        <v>102346.99</v>
      </c>
      <c r="I630" s="1" t="s">
        <v>52</v>
      </c>
      <c r="J630" s="1">
        <v>-8810798333</v>
      </c>
      <c r="K630" s="1" t="s">
        <v>23</v>
      </c>
      <c r="L630" s="1" t="b">
        <v>1</v>
      </c>
    </row>
    <row r="631" spans="1:12" x14ac:dyDescent="0.3">
      <c r="A631" s="1" t="s">
        <v>1091</v>
      </c>
      <c r="B631" s="1" t="s">
        <v>54</v>
      </c>
      <c r="C631" s="1" t="s">
        <v>14</v>
      </c>
      <c r="D631" s="1">
        <v>25</v>
      </c>
      <c r="E631" s="1" t="s">
        <v>89</v>
      </c>
      <c r="F631" s="1" t="s">
        <v>33</v>
      </c>
      <c r="G631" s="1" t="s">
        <v>624</v>
      </c>
      <c r="H631" s="1">
        <v>73690.649999999994</v>
      </c>
      <c r="I631" s="1" t="s">
        <v>170</v>
      </c>
      <c r="J631" s="1">
        <v>-2337209483</v>
      </c>
      <c r="K631" s="1" t="s">
        <v>30</v>
      </c>
      <c r="L631" s="1" t="b">
        <v>1</v>
      </c>
    </row>
    <row r="632" spans="1:12" x14ac:dyDescent="0.3">
      <c r="A632" s="1" t="s">
        <v>1092</v>
      </c>
      <c r="B632" s="1" t="s">
        <v>25</v>
      </c>
      <c r="C632" s="1" t="s">
        <v>122</v>
      </c>
      <c r="D632" s="1">
        <v>30</v>
      </c>
      <c r="E632" s="1" t="s">
        <v>100</v>
      </c>
      <c r="F632" s="1" t="s">
        <v>16</v>
      </c>
      <c r="G632" s="2">
        <v>45419</v>
      </c>
      <c r="H632" s="1">
        <v>56376.2</v>
      </c>
      <c r="I632" s="1" t="s">
        <v>182</v>
      </c>
      <c r="J632" s="1">
        <v>-1312840332</v>
      </c>
      <c r="K632" s="1" t="s">
        <v>18</v>
      </c>
      <c r="L632" s="1" t="b">
        <v>1</v>
      </c>
    </row>
    <row r="633" spans="1:12" x14ac:dyDescent="0.3">
      <c r="A633" s="1" t="s">
        <v>1093</v>
      </c>
      <c r="B633" s="1" t="s">
        <v>69</v>
      </c>
      <c r="C633" s="1" t="s">
        <v>20</v>
      </c>
      <c r="D633" s="1">
        <v>25</v>
      </c>
      <c r="E633" s="1" t="s">
        <v>268</v>
      </c>
      <c r="F633" s="1" t="s">
        <v>16</v>
      </c>
      <c r="G633" s="1" t="s">
        <v>498</v>
      </c>
      <c r="H633" s="1">
        <v>55602.78</v>
      </c>
      <c r="I633" s="1" t="s">
        <v>201</v>
      </c>
      <c r="J633" s="1">
        <v>-9977180512</v>
      </c>
      <c r="K633" s="1" t="s">
        <v>30</v>
      </c>
      <c r="L633" s="1" t="b">
        <v>0</v>
      </c>
    </row>
    <row r="634" spans="1:12" x14ac:dyDescent="0.3">
      <c r="A634" s="1" t="s">
        <v>1094</v>
      </c>
      <c r="B634" s="1" t="s">
        <v>69</v>
      </c>
      <c r="C634" s="1" t="s">
        <v>26</v>
      </c>
      <c r="D634" s="1">
        <v>40</v>
      </c>
      <c r="E634" s="1" t="s">
        <v>219</v>
      </c>
      <c r="F634" s="1" t="s">
        <v>28</v>
      </c>
      <c r="G634" s="2">
        <v>44447</v>
      </c>
      <c r="H634" s="1">
        <v>99812.41</v>
      </c>
      <c r="I634" s="1" t="s">
        <v>76</v>
      </c>
      <c r="J634" s="1">
        <v>-7171731892</v>
      </c>
      <c r="K634" s="1" t="s">
        <v>30</v>
      </c>
      <c r="L634" s="1" t="b">
        <v>0</v>
      </c>
    </row>
    <row r="635" spans="1:12" x14ac:dyDescent="0.3">
      <c r="A635" s="1" t="s">
        <v>1095</v>
      </c>
      <c r="B635" s="1" t="s">
        <v>54</v>
      </c>
      <c r="C635" s="1" t="s">
        <v>122</v>
      </c>
      <c r="D635" s="1">
        <v>40</v>
      </c>
      <c r="E635" s="1" t="s">
        <v>21</v>
      </c>
      <c r="F635" s="1" t="s">
        <v>16</v>
      </c>
      <c r="G635" s="2">
        <v>45483</v>
      </c>
      <c r="H635" s="1">
        <v>95981.9</v>
      </c>
      <c r="I635" s="1" t="s">
        <v>194</v>
      </c>
      <c r="J635" s="1">
        <v>-9749096172</v>
      </c>
      <c r="K635" s="1" t="s">
        <v>18</v>
      </c>
      <c r="L635" s="1" t="b">
        <v>1</v>
      </c>
    </row>
    <row r="636" spans="1:12" x14ac:dyDescent="0.3">
      <c r="A636" s="1" t="s">
        <v>1096</v>
      </c>
      <c r="B636" s="1" t="s">
        <v>32</v>
      </c>
      <c r="C636" s="1" t="s">
        <v>55</v>
      </c>
      <c r="D636" s="1">
        <v>30</v>
      </c>
      <c r="E636" s="1" t="s">
        <v>95</v>
      </c>
      <c r="F636" s="1" t="s">
        <v>28</v>
      </c>
      <c r="G636" s="1" t="s">
        <v>1097</v>
      </c>
      <c r="H636" s="1">
        <v>98891.48</v>
      </c>
      <c r="I636" s="1" t="s">
        <v>322</v>
      </c>
      <c r="J636" s="1">
        <v>-9970469471</v>
      </c>
      <c r="K636" s="1" t="s">
        <v>30</v>
      </c>
      <c r="L636" s="1" t="b">
        <v>1</v>
      </c>
    </row>
    <row r="637" spans="1:12" x14ac:dyDescent="0.3">
      <c r="A637" s="1" t="s">
        <v>1098</v>
      </c>
      <c r="B637" s="1" t="s">
        <v>25</v>
      </c>
      <c r="C637" s="1" t="s">
        <v>55</v>
      </c>
      <c r="D637" s="1">
        <v>35</v>
      </c>
      <c r="E637" s="1" t="s">
        <v>27</v>
      </c>
      <c r="F637" s="1" t="s">
        <v>16</v>
      </c>
      <c r="G637" s="1" t="s">
        <v>833</v>
      </c>
      <c r="H637" s="1">
        <v>56079</v>
      </c>
      <c r="I637" s="1" t="s">
        <v>150</v>
      </c>
      <c r="J637" s="1">
        <v>-5878444834</v>
      </c>
      <c r="K637" s="1" t="s">
        <v>18</v>
      </c>
      <c r="L637" s="1" t="b">
        <v>1</v>
      </c>
    </row>
    <row r="638" spans="1:12" x14ac:dyDescent="0.3">
      <c r="A638" s="1" t="s">
        <v>1099</v>
      </c>
      <c r="B638" s="1" t="s">
        <v>69</v>
      </c>
      <c r="C638" s="1" t="s">
        <v>122</v>
      </c>
      <c r="D638" s="1">
        <v>35</v>
      </c>
      <c r="E638" s="1" t="s">
        <v>230</v>
      </c>
      <c r="F638" s="1" t="s">
        <v>33</v>
      </c>
      <c r="G638" s="1" t="s">
        <v>1100</v>
      </c>
      <c r="H638" s="1"/>
      <c r="I638" s="1" t="s">
        <v>135</v>
      </c>
      <c r="J638" s="1">
        <v>-4884712704</v>
      </c>
      <c r="K638" s="1" t="s">
        <v>30</v>
      </c>
      <c r="L638" s="1" t="b">
        <v>1</v>
      </c>
    </row>
    <row r="639" spans="1:12" x14ac:dyDescent="0.3">
      <c r="A639" s="1" t="s">
        <v>1101</v>
      </c>
      <c r="B639" s="1" t="s">
        <v>13</v>
      </c>
      <c r="C639" s="1" t="s">
        <v>14</v>
      </c>
      <c r="D639" s="1">
        <v>25</v>
      </c>
      <c r="E639" s="1" t="s">
        <v>177</v>
      </c>
      <c r="F639" s="1" t="s">
        <v>28</v>
      </c>
      <c r="G639" s="1" t="s">
        <v>466</v>
      </c>
      <c r="H639" s="1">
        <v>89137.97</v>
      </c>
      <c r="I639" s="1" t="s">
        <v>17</v>
      </c>
      <c r="J639" s="1">
        <v>-8772216416</v>
      </c>
      <c r="K639" s="1" t="s">
        <v>18</v>
      </c>
      <c r="L639" s="1" t="b">
        <v>0</v>
      </c>
    </row>
    <row r="640" spans="1:12" x14ac:dyDescent="0.3">
      <c r="A640" s="1" t="s">
        <v>1102</v>
      </c>
      <c r="B640" s="1" t="s">
        <v>37</v>
      </c>
      <c r="C640" s="1" t="s">
        <v>55</v>
      </c>
      <c r="D640" s="1">
        <v>35</v>
      </c>
      <c r="E640" s="1" t="s">
        <v>89</v>
      </c>
      <c r="F640" s="1" t="s">
        <v>16</v>
      </c>
      <c r="G640" s="1" t="s">
        <v>1103</v>
      </c>
      <c r="H640" s="1">
        <v>115079.97</v>
      </c>
      <c r="I640" s="1" t="s">
        <v>271</v>
      </c>
      <c r="J640" s="1">
        <v>-5823133483</v>
      </c>
      <c r="K640" s="1" t="s">
        <v>23</v>
      </c>
      <c r="L640" s="1" t="b">
        <v>1</v>
      </c>
    </row>
    <row r="641" spans="1:12" x14ac:dyDescent="0.3">
      <c r="A641" s="1" t="s">
        <v>1104</v>
      </c>
      <c r="B641" s="1" t="s">
        <v>32</v>
      </c>
      <c r="C641" s="1" t="s">
        <v>43</v>
      </c>
      <c r="D641" s="1">
        <v>30</v>
      </c>
      <c r="E641" s="1" t="s">
        <v>265</v>
      </c>
      <c r="F641" s="1" t="s">
        <v>16</v>
      </c>
      <c r="G641" s="1" t="s">
        <v>1105</v>
      </c>
      <c r="H641" s="1">
        <v>55067.02</v>
      </c>
      <c r="I641" s="1" t="s">
        <v>296</v>
      </c>
      <c r="J641" s="1">
        <v>-5871493924</v>
      </c>
      <c r="K641" s="1" t="s">
        <v>41</v>
      </c>
      <c r="L641" s="1" t="b">
        <v>1</v>
      </c>
    </row>
    <row r="642" spans="1:12" x14ac:dyDescent="0.3">
      <c r="A642" s="1" t="s">
        <v>1106</v>
      </c>
      <c r="B642" s="1" t="s">
        <v>13</v>
      </c>
      <c r="C642" s="1" t="s">
        <v>92</v>
      </c>
      <c r="D642" s="1"/>
      <c r="E642" s="1" t="s">
        <v>192</v>
      </c>
      <c r="F642" s="1" t="s">
        <v>28</v>
      </c>
      <c r="G642" s="1" t="s">
        <v>1107</v>
      </c>
      <c r="H642" s="1">
        <v>98593.43</v>
      </c>
      <c r="I642" s="1" t="s">
        <v>93</v>
      </c>
      <c r="J642" s="1">
        <v>-2362292586</v>
      </c>
      <c r="K642" s="1" t="s">
        <v>18</v>
      </c>
      <c r="L642" s="1" t="b">
        <v>1</v>
      </c>
    </row>
    <row r="643" spans="1:12" x14ac:dyDescent="0.3">
      <c r="A643" s="1" t="s">
        <v>1108</v>
      </c>
      <c r="B643" s="1" t="s">
        <v>65</v>
      </c>
      <c r="C643" s="1" t="s">
        <v>92</v>
      </c>
      <c r="D643" s="1">
        <v>30</v>
      </c>
      <c r="E643" s="1" t="s">
        <v>212</v>
      </c>
      <c r="F643" s="1" t="s">
        <v>28</v>
      </c>
      <c r="G643" s="2">
        <v>44569</v>
      </c>
      <c r="H643" s="1">
        <v>112756.67</v>
      </c>
      <c r="I643" s="1" t="s">
        <v>130</v>
      </c>
      <c r="J643" s="1">
        <v>-9643474523</v>
      </c>
      <c r="K643" s="1" t="s">
        <v>18</v>
      </c>
      <c r="L643" s="1" t="b">
        <v>1</v>
      </c>
    </row>
    <row r="644" spans="1:12" x14ac:dyDescent="0.3">
      <c r="A644" s="1" t="s">
        <v>1109</v>
      </c>
      <c r="B644" s="1" t="s">
        <v>65</v>
      </c>
      <c r="C644" s="1" t="s">
        <v>43</v>
      </c>
      <c r="D644" s="1">
        <v>25</v>
      </c>
      <c r="E644" s="1" t="s">
        <v>139</v>
      </c>
      <c r="F644" s="1" t="s">
        <v>33</v>
      </c>
      <c r="G644" s="1" t="s">
        <v>997</v>
      </c>
      <c r="H644" s="1">
        <v>105205.92</v>
      </c>
      <c r="I644" s="1" t="s">
        <v>257</v>
      </c>
      <c r="J644" s="1">
        <v>-5557469659</v>
      </c>
      <c r="K644" s="1" t="s">
        <v>41</v>
      </c>
      <c r="L644" s="1" t="b">
        <v>0</v>
      </c>
    </row>
    <row r="645" spans="1:12" x14ac:dyDescent="0.3">
      <c r="A645" s="1" t="s">
        <v>1110</v>
      </c>
      <c r="B645" s="1" t="s">
        <v>59</v>
      </c>
      <c r="C645" s="1" t="s">
        <v>122</v>
      </c>
      <c r="D645" s="1">
        <v>35</v>
      </c>
      <c r="E645" s="1" t="s">
        <v>70</v>
      </c>
      <c r="F645" s="1" t="s">
        <v>28</v>
      </c>
      <c r="G645" s="2">
        <v>44958</v>
      </c>
      <c r="H645" s="1">
        <v>50680.62</v>
      </c>
      <c r="I645" s="1" t="s">
        <v>340</v>
      </c>
      <c r="J645" s="1">
        <v>-6065274032</v>
      </c>
      <c r="K645" s="1" t="s">
        <v>18</v>
      </c>
      <c r="L645" s="1" t="b">
        <v>1</v>
      </c>
    </row>
    <row r="646" spans="1:12" x14ac:dyDescent="0.3">
      <c r="A646" s="1" t="s">
        <v>1111</v>
      </c>
      <c r="B646" s="1" t="s">
        <v>59</v>
      </c>
      <c r="C646" s="1" t="s">
        <v>43</v>
      </c>
      <c r="D646" s="1">
        <v>35</v>
      </c>
      <c r="E646" s="1" t="s">
        <v>39</v>
      </c>
      <c r="F646" s="1" t="s">
        <v>28</v>
      </c>
      <c r="G646" s="1" t="s">
        <v>1112</v>
      </c>
      <c r="H646" s="1">
        <v>107475.23</v>
      </c>
      <c r="I646" s="1" t="s">
        <v>101</v>
      </c>
      <c r="J646" s="1">
        <v>-4450566587</v>
      </c>
      <c r="K646" s="1" t="s">
        <v>18</v>
      </c>
      <c r="L646" s="1" t="b">
        <v>0</v>
      </c>
    </row>
    <row r="647" spans="1:12" x14ac:dyDescent="0.3">
      <c r="A647" s="1" t="s">
        <v>1113</v>
      </c>
      <c r="B647" s="1" t="s">
        <v>54</v>
      </c>
      <c r="C647" s="1" t="s">
        <v>26</v>
      </c>
      <c r="D647" s="1">
        <v>40</v>
      </c>
      <c r="E647" s="1" t="s">
        <v>146</v>
      </c>
      <c r="F647" s="1" t="s">
        <v>16</v>
      </c>
      <c r="G647" s="1" t="s">
        <v>1114</v>
      </c>
      <c r="H647" s="1">
        <v>68835.3</v>
      </c>
      <c r="I647" s="1" t="s">
        <v>120</v>
      </c>
      <c r="J647" s="1">
        <v>-3398741131</v>
      </c>
      <c r="K647" s="1" t="s">
        <v>30</v>
      </c>
      <c r="L647" s="1" t="b">
        <v>1</v>
      </c>
    </row>
    <row r="648" spans="1:12" x14ac:dyDescent="0.3">
      <c r="A648" s="1" t="s">
        <v>1115</v>
      </c>
      <c r="B648" s="1" t="s">
        <v>59</v>
      </c>
      <c r="C648" s="1" t="s">
        <v>26</v>
      </c>
      <c r="D648" s="1">
        <v>40</v>
      </c>
      <c r="E648" s="1" t="s">
        <v>56</v>
      </c>
      <c r="F648" s="1" t="s">
        <v>16</v>
      </c>
      <c r="G648" s="1" t="s">
        <v>1116</v>
      </c>
      <c r="H648" s="1">
        <v>66943.960000000006</v>
      </c>
      <c r="I648" s="1" t="s">
        <v>242</v>
      </c>
      <c r="J648" s="1">
        <v>-5797067348</v>
      </c>
      <c r="K648" s="1" t="s">
        <v>41</v>
      </c>
      <c r="L648" s="1" t="b">
        <v>1</v>
      </c>
    </row>
    <row r="649" spans="1:12" x14ac:dyDescent="0.3">
      <c r="A649" s="1" t="s">
        <v>1117</v>
      </c>
      <c r="B649" s="1" t="s">
        <v>59</v>
      </c>
      <c r="C649" s="1" t="s">
        <v>122</v>
      </c>
      <c r="D649" s="1">
        <v>30</v>
      </c>
      <c r="E649" s="1" t="s">
        <v>89</v>
      </c>
      <c r="F649" s="1" t="s">
        <v>33</v>
      </c>
      <c r="G649" s="1" t="s">
        <v>1118</v>
      </c>
      <c r="H649" s="1">
        <v>104525.69</v>
      </c>
      <c r="I649" s="1" t="s">
        <v>340</v>
      </c>
      <c r="J649" s="1">
        <v>-9601054856</v>
      </c>
      <c r="K649" s="1" t="s">
        <v>23</v>
      </c>
      <c r="L649" s="1" t="b">
        <v>0</v>
      </c>
    </row>
    <row r="650" spans="1:12" x14ac:dyDescent="0.3">
      <c r="A650" s="1" t="s">
        <v>1119</v>
      </c>
      <c r="B650" s="1" t="s">
        <v>13</v>
      </c>
      <c r="C650" s="1" t="s">
        <v>43</v>
      </c>
      <c r="D650" s="1">
        <v>40</v>
      </c>
      <c r="E650" s="1" t="s">
        <v>44</v>
      </c>
      <c r="F650" s="1" t="s">
        <v>28</v>
      </c>
      <c r="G650" s="1" t="s">
        <v>1120</v>
      </c>
      <c r="H650" s="1">
        <v>109360.74</v>
      </c>
      <c r="I650" s="1" t="s">
        <v>153</v>
      </c>
      <c r="J650" s="1">
        <v>-4172156228</v>
      </c>
      <c r="K650" s="1" t="s">
        <v>18</v>
      </c>
      <c r="L650" s="1" t="b">
        <v>1</v>
      </c>
    </row>
    <row r="651" spans="1:12" x14ac:dyDescent="0.3">
      <c r="A651" s="1" t="s">
        <v>1121</v>
      </c>
      <c r="B651" s="1" t="s">
        <v>37</v>
      </c>
      <c r="C651" s="1" t="s">
        <v>26</v>
      </c>
      <c r="D651" s="1">
        <v>40</v>
      </c>
      <c r="E651" s="1" t="s">
        <v>177</v>
      </c>
      <c r="F651" s="1" t="s">
        <v>33</v>
      </c>
      <c r="G651" s="2">
        <v>44440</v>
      </c>
      <c r="H651" s="1">
        <v>118907.63</v>
      </c>
      <c r="I651" s="1" t="s">
        <v>47</v>
      </c>
      <c r="J651" s="1">
        <v>-4938173597</v>
      </c>
      <c r="K651" s="1" t="s">
        <v>41</v>
      </c>
      <c r="L651" s="1" t="b">
        <v>0</v>
      </c>
    </row>
    <row r="652" spans="1:12" x14ac:dyDescent="0.3">
      <c r="A652" s="1" t="s">
        <v>1122</v>
      </c>
      <c r="B652" s="1" t="s">
        <v>32</v>
      </c>
      <c r="C652" s="1" t="s">
        <v>14</v>
      </c>
      <c r="D652" s="1">
        <v>40</v>
      </c>
      <c r="E652" s="1" t="s">
        <v>89</v>
      </c>
      <c r="F652" s="1" t="s">
        <v>16</v>
      </c>
      <c r="G652" s="1" t="s">
        <v>1123</v>
      </c>
      <c r="H652" s="1">
        <v>86801.48</v>
      </c>
      <c r="I652" s="1" t="s">
        <v>35</v>
      </c>
      <c r="J652" s="1">
        <v>-4884021556</v>
      </c>
      <c r="K652" s="1" t="s">
        <v>30</v>
      </c>
      <c r="L652" s="1" t="b">
        <v>0</v>
      </c>
    </row>
    <row r="653" spans="1:12" x14ac:dyDescent="0.3">
      <c r="A653" s="1" t="s">
        <v>1124</v>
      </c>
      <c r="B653" s="1" t="s">
        <v>25</v>
      </c>
      <c r="C653" s="1" t="s">
        <v>43</v>
      </c>
      <c r="D653" s="1"/>
      <c r="E653" s="1" t="s">
        <v>212</v>
      </c>
      <c r="F653" s="1" t="s">
        <v>28</v>
      </c>
      <c r="G653" s="2">
        <v>45509</v>
      </c>
      <c r="H653" s="1">
        <v>62236.03</v>
      </c>
      <c r="I653" s="1" t="s">
        <v>45</v>
      </c>
      <c r="J653" s="1">
        <v>-3257375533</v>
      </c>
      <c r="K653" s="1" t="s">
        <v>23</v>
      </c>
      <c r="L653" s="1" t="b">
        <v>1</v>
      </c>
    </row>
    <row r="654" spans="1:12" x14ac:dyDescent="0.3">
      <c r="A654" s="1" t="s">
        <v>1125</v>
      </c>
      <c r="B654" s="1" t="s">
        <v>65</v>
      </c>
      <c r="C654" s="1" t="s">
        <v>14</v>
      </c>
      <c r="D654" s="1">
        <v>35</v>
      </c>
      <c r="E654" s="1" t="s">
        <v>237</v>
      </c>
      <c r="F654" s="1" t="s">
        <v>16</v>
      </c>
      <c r="G654" s="2">
        <v>45270</v>
      </c>
      <c r="H654" s="1">
        <v>64752.67</v>
      </c>
      <c r="I654" s="1" t="s">
        <v>394</v>
      </c>
      <c r="J654" s="1">
        <v>-4902166669</v>
      </c>
      <c r="K654" s="1" t="s">
        <v>41</v>
      </c>
      <c r="L654" s="1" t="b">
        <v>0</v>
      </c>
    </row>
    <row r="655" spans="1:12" x14ac:dyDescent="0.3">
      <c r="A655" s="1" t="s">
        <v>1126</v>
      </c>
      <c r="B655" s="1" t="s">
        <v>37</v>
      </c>
      <c r="C655" s="1" t="s">
        <v>26</v>
      </c>
      <c r="D655" s="1">
        <v>35</v>
      </c>
      <c r="E655" s="1" t="s">
        <v>177</v>
      </c>
      <c r="F655" s="1" t="s">
        <v>16</v>
      </c>
      <c r="G655" s="1" t="s">
        <v>1127</v>
      </c>
      <c r="H655" s="1">
        <v>68399.429999999993</v>
      </c>
      <c r="I655" s="1" t="s">
        <v>47</v>
      </c>
      <c r="J655" s="1">
        <v>-8085096084</v>
      </c>
      <c r="K655" s="1" t="s">
        <v>23</v>
      </c>
      <c r="L655" s="1" t="b">
        <v>0</v>
      </c>
    </row>
    <row r="656" spans="1:12" x14ac:dyDescent="0.3">
      <c r="A656" s="1" t="s">
        <v>1128</v>
      </c>
      <c r="B656" s="1" t="s">
        <v>37</v>
      </c>
      <c r="C656" s="1" t="s">
        <v>92</v>
      </c>
      <c r="D656" s="1">
        <v>35</v>
      </c>
      <c r="E656" s="1" t="s">
        <v>205</v>
      </c>
      <c r="F656" s="1" t="s">
        <v>33</v>
      </c>
      <c r="G656" s="2">
        <v>44380</v>
      </c>
      <c r="H656" s="1">
        <v>79336.509999999995</v>
      </c>
      <c r="I656" s="1" t="s">
        <v>110</v>
      </c>
      <c r="J656" s="1">
        <v>-8749511917</v>
      </c>
      <c r="K656" s="1" t="s">
        <v>23</v>
      </c>
      <c r="L656" s="1" t="b">
        <v>0</v>
      </c>
    </row>
    <row r="657" spans="1:12" x14ac:dyDescent="0.3">
      <c r="A657" s="1" t="s">
        <v>1129</v>
      </c>
      <c r="B657" s="1" t="s">
        <v>37</v>
      </c>
      <c r="C657" s="1" t="s">
        <v>26</v>
      </c>
      <c r="D657" s="1">
        <v>40</v>
      </c>
      <c r="E657" s="1" t="s">
        <v>212</v>
      </c>
      <c r="F657" s="1" t="s">
        <v>16</v>
      </c>
      <c r="G657" s="1" t="s">
        <v>1130</v>
      </c>
      <c r="H657" s="1">
        <v>59179.74</v>
      </c>
      <c r="I657" s="1" t="s">
        <v>47</v>
      </c>
      <c r="J657" s="1">
        <v>-1828197930</v>
      </c>
      <c r="K657" s="1" t="s">
        <v>23</v>
      </c>
      <c r="L657" s="1" t="b">
        <v>0</v>
      </c>
    </row>
    <row r="658" spans="1:12" x14ac:dyDescent="0.3">
      <c r="A658" s="1" t="s">
        <v>1131</v>
      </c>
      <c r="B658" s="1" t="s">
        <v>59</v>
      </c>
      <c r="C658" s="1" t="s">
        <v>14</v>
      </c>
      <c r="D658" s="1">
        <v>25</v>
      </c>
      <c r="E658" s="1" t="s">
        <v>15</v>
      </c>
      <c r="F658" s="1" t="s">
        <v>16</v>
      </c>
      <c r="G658" s="2">
        <v>45232</v>
      </c>
      <c r="H658" s="1">
        <v>80255.31</v>
      </c>
      <c r="I658" s="1" t="s">
        <v>63</v>
      </c>
      <c r="J658" s="1">
        <v>-6477251294</v>
      </c>
      <c r="K658" s="1" t="s">
        <v>18</v>
      </c>
      <c r="L658" s="1" t="b">
        <v>0</v>
      </c>
    </row>
    <row r="659" spans="1:12" x14ac:dyDescent="0.3">
      <c r="A659" s="1" t="s">
        <v>1132</v>
      </c>
      <c r="B659" s="1" t="s">
        <v>54</v>
      </c>
      <c r="C659" s="1" t="s">
        <v>38</v>
      </c>
      <c r="D659" s="1">
        <v>30</v>
      </c>
      <c r="E659" s="1" t="s">
        <v>21</v>
      </c>
      <c r="F659" s="1" t="s">
        <v>16</v>
      </c>
      <c r="G659" s="1" t="s">
        <v>1133</v>
      </c>
      <c r="H659" s="1">
        <v>84971.85</v>
      </c>
      <c r="I659" s="1" t="s">
        <v>90</v>
      </c>
      <c r="J659" s="1">
        <v>-7860694095</v>
      </c>
      <c r="K659" s="1" t="s">
        <v>18</v>
      </c>
      <c r="L659" s="1" t="b">
        <v>0</v>
      </c>
    </row>
    <row r="660" spans="1:12" x14ac:dyDescent="0.3">
      <c r="A660" s="1" t="s">
        <v>1134</v>
      </c>
      <c r="B660" s="1" t="s">
        <v>37</v>
      </c>
      <c r="C660" s="1" t="s">
        <v>20</v>
      </c>
      <c r="D660" s="1">
        <v>40</v>
      </c>
      <c r="E660" s="1" t="s">
        <v>146</v>
      </c>
      <c r="F660" s="1" t="s">
        <v>28</v>
      </c>
      <c r="G660" s="1" t="s">
        <v>1135</v>
      </c>
      <c r="H660" s="1">
        <v>89748.42</v>
      </c>
      <c r="I660" s="1" t="s">
        <v>239</v>
      </c>
      <c r="J660" s="1">
        <v>-35624394</v>
      </c>
      <c r="K660" s="1" t="s">
        <v>30</v>
      </c>
      <c r="L660" s="1" t="b">
        <v>0</v>
      </c>
    </row>
    <row r="661" spans="1:12" x14ac:dyDescent="0.3">
      <c r="A661" s="1" t="s">
        <v>1136</v>
      </c>
      <c r="B661" s="1" t="s">
        <v>54</v>
      </c>
      <c r="C661" s="1" t="s">
        <v>55</v>
      </c>
      <c r="D661" s="1">
        <v>25</v>
      </c>
      <c r="E661" s="1" t="s">
        <v>118</v>
      </c>
      <c r="F661" s="1" t="s">
        <v>33</v>
      </c>
      <c r="G661" s="1" t="s">
        <v>823</v>
      </c>
      <c r="H661" s="1">
        <v>94090.35</v>
      </c>
      <c r="I661" s="1" t="s">
        <v>57</v>
      </c>
      <c r="J661" s="1">
        <v>-8739592322</v>
      </c>
      <c r="K661" s="1" t="s">
        <v>30</v>
      </c>
      <c r="L661" s="1" t="b">
        <v>0</v>
      </c>
    </row>
    <row r="662" spans="1:12" x14ac:dyDescent="0.3">
      <c r="A662" s="1" t="s">
        <v>1137</v>
      </c>
      <c r="B662" s="1" t="s">
        <v>37</v>
      </c>
      <c r="C662" s="1" t="s">
        <v>43</v>
      </c>
      <c r="D662" s="1">
        <v>35</v>
      </c>
      <c r="E662" s="1" t="s">
        <v>146</v>
      </c>
      <c r="F662" s="1" t="s">
        <v>28</v>
      </c>
      <c r="G662" s="1" t="s">
        <v>968</v>
      </c>
      <c r="H662" s="1">
        <v>115229.12</v>
      </c>
      <c r="I662" s="1" t="s">
        <v>180</v>
      </c>
      <c r="J662" s="1">
        <v>-4210890284</v>
      </c>
      <c r="K662" s="1" t="s">
        <v>41</v>
      </c>
      <c r="L662" s="1" t="b">
        <v>1</v>
      </c>
    </row>
    <row r="663" spans="1:12" x14ac:dyDescent="0.3">
      <c r="A663" s="1" t="s">
        <v>1138</v>
      </c>
      <c r="B663" s="1" t="s">
        <v>25</v>
      </c>
      <c r="C663" s="1" t="s">
        <v>38</v>
      </c>
      <c r="D663" s="1">
        <v>40</v>
      </c>
      <c r="E663" s="1" t="s">
        <v>268</v>
      </c>
      <c r="F663" s="1" t="s">
        <v>28</v>
      </c>
      <c r="G663" s="1" t="s">
        <v>1139</v>
      </c>
      <c r="H663" s="1">
        <v>63927.07</v>
      </c>
      <c r="I663" s="1" t="s">
        <v>362</v>
      </c>
      <c r="J663" s="1">
        <v>-1553334263</v>
      </c>
      <c r="K663" s="1" t="s">
        <v>30</v>
      </c>
      <c r="L663" s="1" t="b">
        <v>1</v>
      </c>
    </row>
    <row r="664" spans="1:12" x14ac:dyDescent="0.3">
      <c r="A664" s="1" t="s">
        <v>1140</v>
      </c>
      <c r="B664" s="1" t="s">
        <v>54</v>
      </c>
      <c r="C664" s="1" t="s">
        <v>26</v>
      </c>
      <c r="D664" s="1">
        <v>35</v>
      </c>
      <c r="E664" s="1" t="s">
        <v>146</v>
      </c>
      <c r="F664" s="1" t="s">
        <v>28</v>
      </c>
      <c r="G664" s="2">
        <v>44876</v>
      </c>
      <c r="H664" s="1">
        <v>84124.56</v>
      </c>
      <c r="I664" s="1" t="s">
        <v>120</v>
      </c>
      <c r="J664" s="1">
        <v>-3350271606</v>
      </c>
      <c r="K664" s="1" t="s">
        <v>23</v>
      </c>
      <c r="L664" s="1" t="b">
        <v>0</v>
      </c>
    </row>
    <row r="665" spans="1:12" x14ac:dyDescent="0.3">
      <c r="A665" s="1" t="s">
        <v>1141</v>
      </c>
      <c r="B665" s="1" t="s">
        <v>13</v>
      </c>
      <c r="C665" s="1" t="s">
        <v>92</v>
      </c>
      <c r="D665" s="1">
        <v>40</v>
      </c>
      <c r="E665" s="1" t="s">
        <v>177</v>
      </c>
      <c r="F665" s="1" t="s">
        <v>33</v>
      </c>
      <c r="G665" s="1" t="s">
        <v>1142</v>
      </c>
      <c r="H665" s="1">
        <v>116961.61</v>
      </c>
      <c r="I665" s="1" t="s">
        <v>93</v>
      </c>
      <c r="J665" s="1">
        <v>-3607763368</v>
      </c>
      <c r="K665" s="1" t="s">
        <v>23</v>
      </c>
      <c r="L665" s="1" t="b">
        <v>1</v>
      </c>
    </row>
    <row r="666" spans="1:12" x14ac:dyDescent="0.3">
      <c r="A666" s="1" t="s">
        <v>1143</v>
      </c>
      <c r="B666" s="1" t="s">
        <v>37</v>
      </c>
      <c r="C666" s="1" t="s">
        <v>122</v>
      </c>
      <c r="D666" s="1">
        <v>40</v>
      </c>
      <c r="E666" s="1" t="s">
        <v>78</v>
      </c>
      <c r="F666" s="1" t="s">
        <v>28</v>
      </c>
      <c r="G666" s="2">
        <v>44777</v>
      </c>
      <c r="H666" s="1">
        <v>109423.05</v>
      </c>
      <c r="I666" s="1" t="s">
        <v>137</v>
      </c>
      <c r="J666" s="1">
        <v>-1128981230</v>
      </c>
      <c r="K666" s="1" t="s">
        <v>18</v>
      </c>
      <c r="L666" s="1" t="b">
        <v>0</v>
      </c>
    </row>
    <row r="667" spans="1:12" x14ac:dyDescent="0.3">
      <c r="A667" s="1" t="s">
        <v>1144</v>
      </c>
      <c r="B667" s="1" t="s">
        <v>54</v>
      </c>
      <c r="C667" s="1" t="s">
        <v>26</v>
      </c>
      <c r="D667" s="1">
        <v>35</v>
      </c>
      <c r="E667" s="1" t="s">
        <v>118</v>
      </c>
      <c r="F667" s="1" t="s">
        <v>33</v>
      </c>
      <c r="G667" s="1" t="s">
        <v>572</v>
      </c>
      <c r="H667" s="1">
        <v>70394.94</v>
      </c>
      <c r="I667" s="1" t="s">
        <v>120</v>
      </c>
      <c r="J667" s="1">
        <v>-7955633184</v>
      </c>
      <c r="K667" s="1" t="s">
        <v>23</v>
      </c>
      <c r="L667" s="1" t="b">
        <v>0</v>
      </c>
    </row>
    <row r="668" spans="1:12" x14ac:dyDescent="0.3">
      <c r="A668" s="1" t="s">
        <v>1145</v>
      </c>
      <c r="B668" s="1" t="s">
        <v>69</v>
      </c>
      <c r="C668" s="1" t="s">
        <v>92</v>
      </c>
      <c r="D668" s="1">
        <v>35</v>
      </c>
      <c r="E668" s="1" t="s">
        <v>70</v>
      </c>
      <c r="F668" s="1" t="s">
        <v>28</v>
      </c>
      <c r="G668" s="1" t="s">
        <v>1146</v>
      </c>
      <c r="H668" s="1">
        <v>86465.5</v>
      </c>
      <c r="I668" s="1" t="s">
        <v>168</v>
      </c>
      <c r="J668" s="1">
        <v>-7481700665</v>
      </c>
      <c r="K668" s="1" t="s">
        <v>41</v>
      </c>
      <c r="L668" s="1" t="b">
        <v>1</v>
      </c>
    </row>
    <row r="669" spans="1:12" x14ac:dyDescent="0.3">
      <c r="A669" s="1" t="s">
        <v>1147</v>
      </c>
      <c r="B669" s="1" t="s">
        <v>54</v>
      </c>
      <c r="C669" s="1" t="s">
        <v>20</v>
      </c>
      <c r="D669" s="1">
        <v>30</v>
      </c>
      <c r="E669" s="1" t="s">
        <v>60</v>
      </c>
      <c r="F669" s="1" t="s">
        <v>28</v>
      </c>
      <c r="G669" s="1" t="s">
        <v>1148</v>
      </c>
      <c r="H669" s="1">
        <v>96341.58</v>
      </c>
      <c r="I669" s="1" t="s">
        <v>125</v>
      </c>
      <c r="J669" s="1">
        <v>-1554164315</v>
      </c>
      <c r="K669" s="1" t="s">
        <v>23</v>
      </c>
      <c r="L669" s="1" t="b">
        <v>0</v>
      </c>
    </row>
    <row r="670" spans="1:12" x14ac:dyDescent="0.3">
      <c r="A670" s="1" t="s">
        <v>1149</v>
      </c>
      <c r="B670" s="1" t="s">
        <v>13</v>
      </c>
      <c r="C670" s="1" t="s">
        <v>26</v>
      </c>
      <c r="D670" s="1">
        <v>30</v>
      </c>
      <c r="E670" s="1" t="s">
        <v>205</v>
      </c>
      <c r="F670" s="1" t="s">
        <v>16</v>
      </c>
      <c r="G670" s="1" t="s">
        <v>1150</v>
      </c>
      <c r="H670" s="1">
        <v>54465.47</v>
      </c>
      <c r="I670" s="1" t="s">
        <v>50</v>
      </c>
      <c r="J670" s="1">
        <v>-7045023289</v>
      </c>
      <c r="K670" s="1" t="s">
        <v>23</v>
      </c>
      <c r="L670" s="1" t="b">
        <v>0</v>
      </c>
    </row>
    <row r="671" spans="1:12" x14ac:dyDescent="0.3">
      <c r="A671" s="1" t="s">
        <v>1151</v>
      </c>
      <c r="B671" s="1" t="s">
        <v>25</v>
      </c>
      <c r="C671" s="1" t="s">
        <v>14</v>
      </c>
      <c r="D671" s="1">
        <v>25</v>
      </c>
      <c r="E671" s="1" t="s">
        <v>265</v>
      </c>
      <c r="F671" s="1" t="s">
        <v>16</v>
      </c>
      <c r="G671" s="1" t="s">
        <v>1152</v>
      </c>
      <c r="H671" s="1">
        <v>68371.66</v>
      </c>
      <c r="I671" s="1" t="s">
        <v>163</v>
      </c>
      <c r="J671" s="1">
        <v>-2822700933</v>
      </c>
      <c r="K671" s="1" t="s">
        <v>41</v>
      </c>
      <c r="L671" s="1" t="b">
        <v>0</v>
      </c>
    </row>
    <row r="672" spans="1:12" x14ac:dyDescent="0.3">
      <c r="A672" s="1" t="s">
        <v>1153</v>
      </c>
      <c r="B672" s="1" t="s">
        <v>69</v>
      </c>
      <c r="C672" s="1" t="s">
        <v>122</v>
      </c>
      <c r="D672" s="1">
        <v>35</v>
      </c>
      <c r="E672" s="1" t="s">
        <v>196</v>
      </c>
      <c r="F672" s="1" t="s">
        <v>28</v>
      </c>
      <c r="G672" s="2">
        <v>44294</v>
      </c>
      <c r="H672" s="1">
        <v>81021.23</v>
      </c>
      <c r="I672" s="1" t="s">
        <v>135</v>
      </c>
      <c r="J672" s="1">
        <v>-5962622821</v>
      </c>
      <c r="K672" s="1" t="s">
        <v>30</v>
      </c>
      <c r="L672" s="1" t="b">
        <v>0</v>
      </c>
    </row>
    <row r="673" spans="1:12" x14ac:dyDescent="0.3">
      <c r="A673" s="1" t="s">
        <v>1154</v>
      </c>
      <c r="B673" s="1" t="s">
        <v>54</v>
      </c>
      <c r="C673" s="1" t="s">
        <v>92</v>
      </c>
      <c r="D673" s="1">
        <v>25</v>
      </c>
      <c r="E673" s="1" t="s">
        <v>85</v>
      </c>
      <c r="F673" s="1" t="s">
        <v>33</v>
      </c>
      <c r="G673" s="1" t="s">
        <v>1155</v>
      </c>
      <c r="H673" s="1">
        <v>114069.07</v>
      </c>
      <c r="I673" s="1" t="s">
        <v>501</v>
      </c>
      <c r="J673" s="1">
        <v>-5120734653</v>
      </c>
      <c r="K673" s="1" t="s">
        <v>30</v>
      </c>
      <c r="L673" s="1" t="b">
        <v>1</v>
      </c>
    </row>
    <row r="674" spans="1:12" x14ac:dyDescent="0.3">
      <c r="A674" s="1" t="s">
        <v>1156</v>
      </c>
      <c r="B674" s="1" t="s">
        <v>65</v>
      </c>
      <c r="C674" s="1" t="s">
        <v>92</v>
      </c>
      <c r="D674" s="1"/>
      <c r="E674" s="1" t="s">
        <v>192</v>
      </c>
      <c r="F674" s="1" t="s">
        <v>33</v>
      </c>
      <c r="G674" s="2">
        <v>43900</v>
      </c>
      <c r="H674" s="1">
        <v>117867.96</v>
      </c>
      <c r="I674" s="1" t="s">
        <v>130</v>
      </c>
      <c r="J674" s="1">
        <v>-9500507025</v>
      </c>
      <c r="K674" s="1" t="s">
        <v>41</v>
      </c>
      <c r="L674" s="1" t="b">
        <v>0</v>
      </c>
    </row>
    <row r="675" spans="1:12" x14ac:dyDescent="0.3">
      <c r="A675" s="1" t="s">
        <v>1157</v>
      </c>
      <c r="B675" s="1" t="s">
        <v>54</v>
      </c>
      <c r="C675" s="1" t="s">
        <v>92</v>
      </c>
      <c r="D675" s="1"/>
      <c r="E675" s="1" t="s">
        <v>74</v>
      </c>
      <c r="F675" s="1" t="s">
        <v>28</v>
      </c>
      <c r="G675" s="1" t="s">
        <v>1112</v>
      </c>
      <c r="H675" s="1">
        <v>94509.58</v>
      </c>
      <c r="I675" s="1" t="s">
        <v>501</v>
      </c>
      <c r="J675" s="1">
        <v>-869822104</v>
      </c>
      <c r="K675" s="1" t="s">
        <v>18</v>
      </c>
      <c r="L675" s="1" t="b">
        <v>0</v>
      </c>
    </row>
    <row r="676" spans="1:12" x14ac:dyDescent="0.3">
      <c r="A676" s="1" t="s">
        <v>1158</v>
      </c>
      <c r="B676" s="1" t="s">
        <v>32</v>
      </c>
      <c r="C676" s="1" t="s">
        <v>20</v>
      </c>
      <c r="D676" s="1">
        <v>35</v>
      </c>
      <c r="E676" s="1" t="s">
        <v>265</v>
      </c>
      <c r="F676" s="1" t="s">
        <v>16</v>
      </c>
      <c r="G676" s="2">
        <v>45450</v>
      </c>
      <c r="H676" s="1">
        <v>56268.78</v>
      </c>
      <c r="I676" s="1" t="s">
        <v>155</v>
      </c>
      <c r="J676" s="1">
        <v>-3161177686</v>
      </c>
      <c r="K676" s="1" t="s">
        <v>23</v>
      </c>
      <c r="L676" s="1" t="b">
        <v>0</v>
      </c>
    </row>
    <row r="677" spans="1:12" x14ac:dyDescent="0.3">
      <c r="A677" s="1" t="s">
        <v>1159</v>
      </c>
      <c r="B677" s="1" t="s">
        <v>69</v>
      </c>
      <c r="C677" s="1" t="s">
        <v>26</v>
      </c>
      <c r="D677" s="1">
        <v>35</v>
      </c>
      <c r="E677" s="1" t="s">
        <v>118</v>
      </c>
      <c r="F677" s="1" t="s">
        <v>16</v>
      </c>
      <c r="G677" s="2">
        <v>43831</v>
      </c>
      <c r="H677" s="1">
        <v>86632.14</v>
      </c>
      <c r="I677" s="1" t="s">
        <v>76</v>
      </c>
      <c r="J677" s="1">
        <v>-2904774257</v>
      </c>
      <c r="K677" s="1" t="s">
        <v>41</v>
      </c>
      <c r="L677" s="1" t="b">
        <v>1</v>
      </c>
    </row>
    <row r="678" spans="1:12" x14ac:dyDescent="0.3">
      <c r="A678" s="1" t="s">
        <v>1160</v>
      </c>
      <c r="B678" s="1" t="s">
        <v>54</v>
      </c>
      <c r="C678" s="1" t="s">
        <v>20</v>
      </c>
      <c r="D678" s="1">
        <v>35</v>
      </c>
      <c r="E678" s="1" t="s">
        <v>212</v>
      </c>
      <c r="F678" s="1" t="s">
        <v>28</v>
      </c>
      <c r="G678" s="1" t="s">
        <v>751</v>
      </c>
      <c r="H678" s="1">
        <v>98143.9</v>
      </c>
      <c r="I678" s="1" t="s">
        <v>125</v>
      </c>
      <c r="J678" s="1">
        <v>-5917793237</v>
      </c>
      <c r="K678" s="1" t="s">
        <v>23</v>
      </c>
      <c r="L678" s="1" t="b">
        <v>0</v>
      </c>
    </row>
    <row r="679" spans="1:12" x14ac:dyDescent="0.3">
      <c r="A679" s="1" t="s">
        <v>1161</v>
      </c>
      <c r="B679" s="1" t="s">
        <v>65</v>
      </c>
      <c r="C679" s="1" t="s">
        <v>43</v>
      </c>
      <c r="D679" s="1">
        <v>35</v>
      </c>
      <c r="E679" s="1" t="s">
        <v>39</v>
      </c>
      <c r="F679" s="1" t="s">
        <v>33</v>
      </c>
      <c r="G679" s="2">
        <v>45112</v>
      </c>
      <c r="H679" s="1"/>
      <c r="I679" s="1" t="s">
        <v>257</v>
      </c>
      <c r="J679" s="1">
        <v>-2231164912</v>
      </c>
      <c r="K679" s="1" t="s">
        <v>18</v>
      </c>
      <c r="L679" s="1" t="b">
        <v>1</v>
      </c>
    </row>
    <row r="680" spans="1:12" x14ac:dyDescent="0.3">
      <c r="A680" s="1" t="s">
        <v>1162</v>
      </c>
      <c r="B680" s="1" t="s">
        <v>37</v>
      </c>
      <c r="C680" s="1" t="s">
        <v>55</v>
      </c>
      <c r="D680" s="1">
        <v>30</v>
      </c>
      <c r="E680" s="1" t="s">
        <v>265</v>
      </c>
      <c r="F680" s="1" t="s">
        <v>33</v>
      </c>
      <c r="G680" s="1" t="s">
        <v>1163</v>
      </c>
      <c r="H680" s="1">
        <v>67492.73</v>
      </c>
      <c r="I680" s="1" t="s">
        <v>271</v>
      </c>
      <c r="J680" s="1">
        <v>-3424579888</v>
      </c>
      <c r="K680" s="1" t="s">
        <v>23</v>
      </c>
      <c r="L680" s="1" t="b">
        <v>1</v>
      </c>
    </row>
    <row r="681" spans="1:12" x14ac:dyDescent="0.3">
      <c r="A681" s="1" t="s">
        <v>1164</v>
      </c>
      <c r="B681" s="1" t="s">
        <v>69</v>
      </c>
      <c r="C681" s="1" t="s">
        <v>55</v>
      </c>
      <c r="D681" s="1">
        <v>40</v>
      </c>
      <c r="E681" s="1" t="s">
        <v>118</v>
      </c>
      <c r="F681" s="1" t="s">
        <v>16</v>
      </c>
      <c r="G681" s="1" t="s">
        <v>1165</v>
      </c>
      <c r="H681" s="1">
        <v>93772.61</v>
      </c>
      <c r="I681" s="1" t="s">
        <v>127</v>
      </c>
      <c r="J681" s="1">
        <v>-4256529059</v>
      </c>
      <c r="K681" s="1" t="s">
        <v>41</v>
      </c>
      <c r="L681" s="1" t="b">
        <v>0</v>
      </c>
    </row>
    <row r="682" spans="1:12" x14ac:dyDescent="0.3">
      <c r="A682" s="1" t="s">
        <v>1166</v>
      </c>
      <c r="B682" s="1" t="s">
        <v>32</v>
      </c>
      <c r="C682" s="1" t="s">
        <v>43</v>
      </c>
      <c r="D682" s="1">
        <v>35</v>
      </c>
      <c r="E682" s="1" t="s">
        <v>328</v>
      </c>
      <c r="F682" s="1" t="s">
        <v>28</v>
      </c>
      <c r="G682" s="1" t="s">
        <v>1167</v>
      </c>
      <c r="H682" s="1">
        <v>68817.539999999994</v>
      </c>
      <c r="I682" s="1" t="s">
        <v>296</v>
      </c>
      <c r="J682" s="1">
        <v>-3202032649</v>
      </c>
      <c r="K682" s="1" t="s">
        <v>23</v>
      </c>
      <c r="L682" s="1" t="b">
        <v>0</v>
      </c>
    </row>
    <row r="683" spans="1:12" x14ac:dyDescent="0.3">
      <c r="A683" s="1" t="s">
        <v>1168</v>
      </c>
      <c r="B683" s="1" t="s">
        <v>13</v>
      </c>
      <c r="C683" s="1" t="s">
        <v>26</v>
      </c>
      <c r="D683" s="1">
        <v>30</v>
      </c>
      <c r="E683" s="1" t="s">
        <v>118</v>
      </c>
      <c r="F683" s="1" t="s">
        <v>16</v>
      </c>
      <c r="G683" s="1" t="s">
        <v>1169</v>
      </c>
      <c r="H683" s="1">
        <v>81874.009999999995</v>
      </c>
      <c r="I683" s="1" t="s">
        <v>50</v>
      </c>
      <c r="J683" s="1">
        <v>-9775396736</v>
      </c>
      <c r="K683" s="1" t="s">
        <v>30</v>
      </c>
      <c r="L683" s="1" t="b">
        <v>1</v>
      </c>
    </row>
    <row r="684" spans="1:12" x14ac:dyDescent="0.3">
      <c r="A684" s="1" t="s">
        <v>1170</v>
      </c>
      <c r="B684" s="1" t="s">
        <v>65</v>
      </c>
      <c r="C684" s="1" t="s">
        <v>14</v>
      </c>
      <c r="D684" s="1">
        <v>30</v>
      </c>
      <c r="E684" s="1" t="s">
        <v>139</v>
      </c>
      <c r="F684" s="1" t="s">
        <v>16</v>
      </c>
      <c r="G684" s="2">
        <v>44139</v>
      </c>
      <c r="H684" s="1">
        <v>117880.14</v>
      </c>
      <c r="I684" s="1" t="s">
        <v>394</v>
      </c>
      <c r="J684" s="1">
        <v>-9487148551</v>
      </c>
      <c r="K684" s="1" t="s">
        <v>18</v>
      </c>
      <c r="L684" s="1" t="b">
        <v>0</v>
      </c>
    </row>
    <row r="685" spans="1:12" x14ac:dyDescent="0.3">
      <c r="A685" s="1" t="s">
        <v>1171</v>
      </c>
      <c r="B685" s="1" t="s">
        <v>13</v>
      </c>
      <c r="C685" s="1" t="s">
        <v>20</v>
      </c>
      <c r="D685" s="1">
        <v>35</v>
      </c>
      <c r="E685" s="1" t="s">
        <v>66</v>
      </c>
      <c r="F685" s="1" t="s">
        <v>28</v>
      </c>
      <c r="G685" s="1" t="s">
        <v>147</v>
      </c>
      <c r="H685" s="1">
        <v>100897.49</v>
      </c>
      <c r="I685" s="1" t="s">
        <v>22</v>
      </c>
      <c r="J685" s="1">
        <v>-4578715840</v>
      </c>
      <c r="K685" s="1" t="s">
        <v>18</v>
      </c>
      <c r="L685" s="1" t="b">
        <v>1</v>
      </c>
    </row>
    <row r="686" spans="1:12" x14ac:dyDescent="0.3">
      <c r="A686" s="1" t="s">
        <v>1172</v>
      </c>
      <c r="B686" s="1" t="s">
        <v>54</v>
      </c>
      <c r="C686" s="1" t="s">
        <v>122</v>
      </c>
      <c r="D686" s="1">
        <v>25</v>
      </c>
      <c r="E686" s="1" t="s">
        <v>227</v>
      </c>
      <c r="F686" s="1" t="s">
        <v>33</v>
      </c>
      <c r="G686" s="2">
        <v>44839</v>
      </c>
      <c r="H686" s="1">
        <v>71810.37</v>
      </c>
      <c r="I686" s="1" t="s">
        <v>194</v>
      </c>
      <c r="J686" s="1">
        <v>-5608213710</v>
      </c>
      <c r="K686" s="1" t="s">
        <v>18</v>
      </c>
      <c r="L686" s="1" t="b">
        <v>1</v>
      </c>
    </row>
    <row r="687" spans="1:12" x14ac:dyDescent="0.3">
      <c r="A687" s="1" t="s">
        <v>1173</v>
      </c>
      <c r="B687" s="1" t="s">
        <v>37</v>
      </c>
      <c r="C687" s="1" t="s">
        <v>92</v>
      </c>
      <c r="D687" s="1">
        <v>40</v>
      </c>
      <c r="E687" s="1" t="s">
        <v>237</v>
      </c>
      <c r="F687" s="1" t="s">
        <v>33</v>
      </c>
      <c r="G687" s="1" t="s">
        <v>1174</v>
      </c>
      <c r="H687" s="1">
        <v>109048.24</v>
      </c>
      <c r="I687" s="1" t="s">
        <v>110</v>
      </c>
      <c r="J687" s="1">
        <v>-8425476817</v>
      </c>
      <c r="K687" s="1" t="s">
        <v>41</v>
      </c>
      <c r="L687" s="1" t="b">
        <v>0</v>
      </c>
    </row>
    <row r="688" spans="1:12" x14ac:dyDescent="0.3">
      <c r="A688" s="1" t="s">
        <v>1175</v>
      </c>
      <c r="B688" s="1" t="s">
        <v>25</v>
      </c>
      <c r="C688" s="1" t="s">
        <v>92</v>
      </c>
      <c r="D688" s="1">
        <v>35</v>
      </c>
      <c r="E688" s="1" t="s">
        <v>21</v>
      </c>
      <c r="F688" s="1" t="s">
        <v>28</v>
      </c>
      <c r="G688" s="1" t="s">
        <v>1176</v>
      </c>
      <c r="H688" s="1">
        <v>62712.26</v>
      </c>
      <c r="I688" s="1" t="s">
        <v>166</v>
      </c>
      <c r="J688" s="1">
        <v>-2683230357</v>
      </c>
      <c r="K688" s="1" t="s">
        <v>18</v>
      </c>
      <c r="L688" s="1" t="b">
        <v>0</v>
      </c>
    </row>
    <row r="689" spans="1:12" x14ac:dyDescent="0.3">
      <c r="A689" s="1" t="s">
        <v>1177</v>
      </c>
      <c r="B689" s="1" t="s">
        <v>32</v>
      </c>
      <c r="C689" s="1" t="s">
        <v>26</v>
      </c>
      <c r="D689" s="1">
        <v>40</v>
      </c>
      <c r="E689" s="1" t="s">
        <v>159</v>
      </c>
      <c r="F689" s="1" t="s">
        <v>28</v>
      </c>
      <c r="G689" s="1" t="s">
        <v>116</v>
      </c>
      <c r="H689" s="1">
        <v>76935.850000000006</v>
      </c>
      <c r="I689" s="1" t="s">
        <v>277</v>
      </c>
      <c r="J689" s="1">
        <v>-9298808582</v>
      </c>
      <c r="K689" s="1" t="s">
        <v>30</v>
      </c>
      <c r="L689" s="1" t="b">
        <v>1</v>
      </c>
    </row>
    <row r="690" spans="1:12" x14ac:dyDescent="0.3">
      <c r="A690" s="1" t="s">
        <v>1178</v>
      </c>
      <c r="B690" s="1" t="s">
        <v>59</v>
      </c>
      <c r="C690" s="1" t="s">
        <v>14</v>
      </c>
      <c r="D690" s="1">
        <v>25</v>
      </c>
      <c r="E690" s="1" t="s">
        <v>205</v>
      </c>
      <c r="F690" s="1" t="s">
        <v>28</v>
      </c>
      <c r="G690" s="1" t="s">
        <v>1179</v>
      </c>
      <c r="H690" s="1">
        <v>56577.22</v>
      </c>
      <c r="I690" s="1" t="s">
        <v>63</v>
      </c>
      <c r="J690" s="1">
        <v>-8252129327</v>
      </c>
      <c r="K690" s="1" t="s">
        <v>41</v>
      </c>
      <c r="L690" s="1" t="b">
        <v>1</v>
      </c>
    </row>
    <row r="691" spans="1:12" x14ac:dyDescent="0.3">
      <c r="A691" s="1" t="s">
        <v>1180</v>
      </c>
      <c r="B691" s="1" t="s">
        <v>59</v>
      </c>
      <c r="C691" s="1" t="s">
        <v>55</v>
      </c>
      <c r="D691" s="1">
        <v>40</v>
      </c>
      <c r="E691" s="1" t="s">
        <v>100</v>
      </c>
      <c r="F691" s="1" t="s">
        <v>33</v>
      </c>
      <c r="G691" s="1" t="s">
        <v>1181</v>
      </c>
      <c r="H691" s="1">
        <v>61102.8</v>
      </c>
      <c r="I691" s="1" t="s">
        <v>217</v>
      </c>
      <c r="J691" s="1">
        <v>-9634064685</v>
      </c>
      <c r="K691" s="1" t="s">
        <v>30</v>
      </c>
      <c r="L691" s="1" t="b">
        <v>1</v>
      </c>
    </row>
    <row r="692" spans="1:12" x14ac:dyDescent="0.3">
      <c r="A692" s="1" t="s">
        <v>1182</v>
      </c>
      <c r="B692" s="1" t="s">
        <v>13</v>
      </c>
      <c r="C692" s="1" t="s">
        <v>55</v>
      </c>
      <c r="D692" s="1">
        <v>35</v>
      </c>
      <c r="E692" s="1" t="s">
        <v>100</v>
      </c>
      <c r="F692" s="1" t="s">
        <v>33</v>
      </c>
      <c r="G692" s="2">
        <v>44471</v>
      </c>
      <c r="H692" s="1">
        <v>75229.87</v>
      </c>
      <c r="I692" s="1" t="s">
        <v>199</v>
      </c>
      <c r="J692" s="1">
        <v>-7752401483</v>
      </c>
      <c r="K692" s="1" t="s">
        <v>23</v>
      </c>
      <c r="L692" s="1" t="b">
        <v>1</v>
      </c>
    </row>
    <row r="693" spans="1:12" x14ac:dyDescent="0.3">
      <c r="A693" s="1" t="s">
        <v>1183</v>
      </c>
      <c r="B693" s="1" t="s">
        <v>59</v>
      </c>
      <c r="C693" s="1" t="s">
        <v>92</v>
      </c>
      <c r="D693" s="1">
        <v>25</v>
      </c>
      <c r="E693" s="1" t="s">
        <v>27</v>
      </c>
      <c r="F693" s="1" t="s">
        <v>33</v>
      </c>
      <c r="G693" s="1" t="s">
        <v>1184</v>
      </c>
      <c r="H693" s="1">
        <v>51054.74</v>
      </c>
      <c r="I693" s="1" t="s">
        <v>107</v>
      </c>
      <c r="J693" s="1">
        <v>-3991062271</v>
      </c>
      <c r="K693" s="1" t="s">
        <v>23</v>
      </c>
      <c r="L693" s="1" t="b">
        <v>0</v>
      </c>
    </row>
    <row r="694" spans="1:12" x14ac:dyDescent="0.3">
      <c r="A694" s="1" t="s">
        <v>1185</v>
      </c>
      <c r="B694" s="1" t="s">
        <v>13</v>
      </c>
      <c r="C694" s="1" t="s">
        <v>26</v>
      </c>
      <c r="D694" s="1">
        <v>40</v>
      </c>
      <c r="E694" s="1" t="s">
        <v>103</v>
      </c>
      <c r="F694" s="1" t="s">
        <v>16</v>
      </c>
      <c r="G694" s="2">
        <v>45050</v>
      </c>
      <c r="H694" s="1">
        <v>104843.27</v>
      </c>
      <c r="I694" s="1" t="s">
        <v>50</v>
      </c>
      <c r="J694" s="1">
        <v>-3626693350</v>
      </c>
      <c r="K694" s="1" t="s">
        <v>23</v>
      </c>
      <c r="L694" s="1" t="b">
        <v>0</v>
      </c>
    </row>
    <row r="695" spans="1:12" x14ac:dyDescent="0.3">
      <c r="A695" s="1" t="s">
        <v>1186</v>
      </c>
      <c r="B695" s="1" t="s">
        <v>54</v>
      </c>
      <c r="C695" s="1" t="s">
        <v>20</v>
      </c>
      <c r="D695" s="1">
        <v>35</v>
      </c>
      <c r="E695" s="1" t="s">
        <v>60</v>
      </c>
      <c r="F695" s="1" t="s">
        <v>16</v>
      </c>
      <c r="G695" s="1" t="s">
        <v>1187</v>
      </c>
      <c r="H695" s="1">
        <v>56398.11</v>
      </c>
      <c r="I695" s="1" t="s">
        <v>125</v>
      </c>
      <c r="J695" s="1">
        <v>-3426192371</v>
      </c>
      <c r="K695" s="1" t="s">
        <v>23</v>
      </c>
      <c r="L695" s="1" t="b">
        <v>0</v>
      </c>
    </row>
    <row r="696" spans="1:12" x14ac:dyDescent="0.3">
      <c r="A696" s="1" t="s">
        <v>1188</v>
      </c>
      <c r="B696" s="1" t="s">
        <v>25</v>
      </c>
      <c r="C696" s="1" t="s">
        <v>55</v>
      </c>
      <c r="D696" s="1">
        <v>25</v>
      </c>
      <c r="E696" s="1" t="s">
        <v>149</v>
      </c>
      <c r="F696" s="1" t="s">
        <v>16</v>
      </c>
      <c r="G696" s="2">
        <v>45119</v>
      </c>
      <c r="H696" s="1">
        <v>87544.73</v>
      </c>
      <c r="I696" s="1" t="s">
        <v>150</v>
      </c>
      <c r="J696" s="1">
        <v>-4501848196</v>
      </c>
      <c r="K696" s="1" t="s">
        <v>30</v>
      </c>
      <c r="L696" s="1" t="b">
        <v>0</v>
      </c>
    </row>
    <row r="697" spans="1:12" x14ac:dyDescent="0.3">
      <c r="A697" s="1" t="s">
        <v>1189</v>
      </c>
      <c r="B697" s="1" t="s">
        <v>65</v>
      </c>
      <c r="C697" s="1" t="s">
        <v>20</v>
      </c>
      <c r="D697" s="1">
        <v>30</v>
      </c>
      <c r="E697" s="1" t="s">
        <v>192</v>
      </c>
      <c r="F697" s="1" t="s">
        <v>28</v>
      </c>
      <c r="G697" s="1" t="s">
        <v>311</v>
      </c>
      <c r="H697" s="1">
        <v>74312.240000000005</v>
      </c>
      <c r="I697" s="1" t="s">
        <v>403</v>
      </c>
      <c r="J697" s="1">
        <v>-3741897214</v>
      </c>
      <c r="K697" s="1" t="s">
        <v>41</v>
      </c>
      <c r="L697" s="1" t="b">
        <v>0</v>
      </c>
    </row>
    <row r="698" spans="1:12" x14ac:dyDescent="0.3">
      <c r="A698" s="1" t="s">
        <v>1190</v>
      </c>
      <c r="B698" s="1" t="s">
        <v>59</v>
      </c>
      <c r="C698" s="1" t="s">
        <v>14</v>
      </c>
      <c r="D698" s="1">
        <v>25</v>
      </c>
      <c r="E698" s="1" t="s">
        <v>230</v>
      </c>
      <c r="F698" s="1" t="s">
        <v>33</v>
      </c>
      <c r="G698" s="1" t="s">
        <v>1191</v>
      </c>
      <c r="H698" s="1">
        <v>59431.25</v>
      </c>
      <c r="I698" s="1" t="s">
        <v>63</v>
      </c>
      <c r="J698" s="1">
        <v>-4064176926</v>
      </c>
      <c r="K698" s="1" t="s">
        <v>41</v>
      </c>
      <c r="L698" s="1" t="b">
        <v>1</v>
      </c>
    </row>
    <row r="699" spans="1:12" x14ac:dyDescent="0.3">
      <c r="A699" s="1" t="s">
        <v>1192</v>
      </c>
      <c r="B699" s="1" t="s">
        <v>65</v>
      </c>
      <c r="C699" s="1" t="s">
        <v>55</v>
      </c>
      <c r="D699" s="1">
        <v>40</v>
      </c>
      <c r="E699" s="1" t="s">
        <v>177</v>
      </c>
      <c r="F699" s="1" t="s">
        <v>28</v>
      </c>
      <c r="G699" s="1" t="s">
        <v>1193</v>
      </c>
      <c r="H699" s="1">
        <v>84306.44</v>
      </c>
      <c r="I699" s="1" t="s">
        <v>113</v>
      </c>
      <c r="J699" s="1">
        <v>-4381199536</v>
      </c>
      <c r="K699" s="1" t="s">
        <v>18</v>
      </c>
      <c r="L699" s="1" t="b">
        <v>0</v>
      </c>
    </row>
    <row r="700" spans="1:12" x14ac:dyDescent="0.3">
      <c r="A700" s="1" t="s">
        <v>1194</v>
      </c>
      <c r="B700" s="1" t="s">
        <v>37</v>
      </c>
      <c r="C700" s="1" t="s">
        <v>55</v>
      </c>
      <c r="D700" s="1">
        <v>35</v>
      </c>
      <c r="E700" s="1" t="s">
        <v>230</v>
      </c>
      <c r="F700" s="1" t="s">
        <v>33</v>
      </c>
      <c r="G700" s="2">
        <v>45607</v>
      </c>
      <c r="H700" s="1">
        <v>108194.47</v>
      </c>
      <c r="I700" s="1" t="s">
        <v>271</v>
      </c>
      <c r="J700" s="1">
        <v>-6601444855</v>
      </c>
      <c r="K700" s="1" t="s">
        <v>30</v>
      </c>
      <c r="L700" s="1" t="b">
        <v>0</v>
      </c>
    </row>
    <row r="701" spans="1:12" x14ac:dyDescent="0.3">
      <c r="A701" s="1" t="s">
        <v>1195</v>
      </c>
      <c r="B701" s="1" t="s">
        <v>54</v>
      </c>
      <c r="C701" s="1" t="s">
        <v>38</v>
      </c>
      <c r="D701" s="1">
        <v>25</v>
      </c>
      <c r="E701" s="1" t="s">
        <v>109</v>
      </c>
      <c r="F701" s="1" t="s">
        <v>33</v>
      </c>
      <c r="G701" s="1" t="s">
        <v>699</v>
      </c>
      <c r="H701" s="1">
        <v>107359.3</v>
      </c>
      <c r="I701" s="1" t="s">
        <v>90</v>
      </c>
      <c r="J701" s="1">
        <v>-4510173972</v>
      </c>
      <c r="K701" s="1" t="s">
        <v>23</v>
      </c>
      <c r="L701" s="1" t="b">
        <v>0</v>
      </c>
    </row>
    <row r="702" spans="1:12" x14ac:dyDescent="0.3">
      <c r="A702" s="1" t="s">
        <v>1196</v>
      </c>
      <c r="B702" s="1" t="s">
        <v>65</v>
      </c>
      <c r="C702" s="1" t="s">
        <v>55</v>
      </c>
      <c r="D702" s="1">
        <v>25</v>
      </c>
      <c r="E702" s="1" t="s">
        <v>78</v>
      </c>
      <c r="F702" s="1" t="s">
        <v>33</v>
      </c>
      <c r="G702" s="2">
        <v>45598</v>
      </c>
      <c r="H702" s="1"/>
      <c r="I702" s="1" t="s">
        <v>113</v>
      </c>
      <c r="J702" s="1">
        <v>-9641789968</v>
      </c>
      <c r="K702" s="1" t="s">
        <v>30</v>
      </c>
      <c r="L702" s="1" t="b">
        <v>0</v>
      </c>
    </row>
    <row r="703" spans="1:12" x14ac:dyDescent="0.3">
      <c r="A703" s="1" t="s">
        <v>1197</v>
      </c>
      <c r="B703" s="1" t="s">
        <v>37</v>
      </c>
      <c r="C703" s="1" t="s">
        <v>43</v>
      </c>
      <c r="D703" s="1"/>
      <c r="E703" s="1" t="s">
        <v>118</v>
      </c>
      <c r="F703" s="1" t="s">
        <v>28</v>
      </c>
      <c r="G703" s="2">
        <v>44079</v>
      </c>
      <c r="H703" s="1">
        <v>96080.26</v>
      </c>
      <c r="I703" s="1" t="s">
        <v>180</v>
      </c>
      <c r="J703" s="1">
        <v>-8609191910</v>
      </c>
      <c r="K703" s="1" t="s">
        <v>18</v>
      </c>
      <c r="L703" s="1" t="b">
        <v>0</v>
      </c>
    </row>
    <row r="704" spans="1:12" x14ac:dyDescent="0.3">
      <c r="A704" s="1" t="s">
        <v>1198</v>
      </c>
      <c r="B704" s="1" t="s">
        <v>69</v>
      </c>
      <c r="C704" s="1" t="s">
        <v>122</v>
      </c>
      <c r="D704" s="1">
        <v>30</v>
      </c>
      <c r="E704" s="1" t="s">
        <v>219</v>
      </c>
      <c r="F704" s="1" t="s">
        <v>33</v>
      </c>
      <c r="G704" s="1" t="s">
        <v>615</v>
      </c>
      <c r="H704" s="1">
        <v>88602.75</v>
      </c>
      <c r="I704" s="1" t="s">
        <v>135</v>
      </c>
      <c r="J704" s="1">
        <v>-3599660576</v>
      </c>
      <c r="K704" s="1" t="s">
        <v>18</v>
      </c>
      <c r="L704" s="1" t="b">
        <v>1</v>
      </c>
    </row>
    <row r="705" spans="1:12" x14ac:dyDescent="0.3">
      <c r="A705" s="1" t="s">
        <v>1199</v>
      </c>
      <c r="B705" s="1" t="s">
        <v>37</v>
      </c>
      <c r="C705" s="1" t="s">
        <v>43</v>
      </c>
      <c r="D705" s="1">
        <v>40</v>
      </c>
      <c r="E705" s="1" t="s">
        <v>15</v>
      </c>
      <c r="F705" s="1" t="s">
        <v>16</v>
      </c>
      <c r="G705" s="1" t="s">
        <v>1200</v>
      </c>
      <c r="H705" s="1">
        <v>86624.04</v>
      </c>
      <c r="I705" s="1" t="s">
        <v>180</v>
      </c>
      <c r="J705" s="1">
        <v>-9806603919</v>
      </c>
      <c r="K705" s="1" t="s">
        <v>30</v>
      </c>
      <c r="L705" s="1" t="b">
        <v>1</v>
      </c>
    </row>
    <row r="706" spans="1:12" x14ac:dyDescent="0.3">
      <c r="A706" s="1" t="s">
        <v>1201</v>
      </c>
      <c r="B706" s="1" t="s">
        <v>54</v>
      </c>
      <c r="C706" s="1" t="s">
        <v>26</v>
      </c>
      <c r="D706" s="1">
        <v>30</v>
      </c>
      <c r="E706" s="1" t="s">
        <v>60</v>
      </c>
      <c r="F706" s="1" t="s">
        <v>16</v>
      </c>
      <c r="G706" s="1" t="s">
        <v>224</v>
      </c>
      <c r="H706" s="1">
        <v>63413.16</v>
      </c>
      <c r="I706" s="1" t="s">
        <v>120</v>
      </c>
      <c r="J706" s="1">
        <v>-5146074554</v>
      </c>
      <c r="K706" s="1" t="s">
        <v>30</v>
      </c>
      <c r="L706" s="1" t="b">
        <v>1</v>
      </c>
    </row>
    <row r="707" spans="1:12" x14ac:dyDescent="0.3">
      <c r="A707" s="1" t="s">
        <v>1202</v>
      </c>
      <c r="B707" s="1" t="s">
        <v>69</v>
      </c>
      <c r="C707" s="1" t="s">
        <v>26</v>
      </c>
      <c r="D707" s="1">
        <v>40</v>
      </c>
      <c r="E707" s="1" t="s">
        <v>98</v>
      </c>
      <c r="F707" s="1" t="s">
        <v>28</v>
      </c>
      <c r="G707" s="1" t="s">
        <v>1203</v>
      </c>
      <c r="H707" s="1">
        <v>67915.7</v>
      </c>
      <c r="I707" s="1" t="s">
        <v>76</v>
      </c>
      <c r="J707" s="1">
        <v>-3470574237</v>
      </c>
      <c r="K707" s="1" t="s">
        <v>30</v>
      </c>
      <c r="L707" s="1" t="b">
        <v>0</v>
      </c>
    </row>
    <row r="708" spans="1:12" x14ac:dyDescent="0.3">
      <c r="A708" s="1" t="s">
        <v>1204</v>
      </c>
      <c r="B708" s="1" t="s">
        <v>13</v>
      </c>
      <c r="C708" s="1" t="s">
        <v>20</v>
      </c>
      <c r="D708" s="1">
        <v>25</v>
      </c>
      <c r="E708" s="1" t="s">
        <v>27</v>
      </c>
      <c r="F708" s="1" t="s">
        <v>33</v>
      </c>
      <c r="G708" s="1" t="s">
        <v>1205</v>
      </c>
      <c r="H708" s="1">
        <v>108245.44</v>
      </c>
      <c r="I708" s="1" t="s">
        <v>22</v>
      </c>
      <c r="J708" s="1">
        <v>-8565271558</v>
      </c>
      <c r="K708" s="1" t="s">
        <v>41</v>
      </c>
      <c r="L708" s="1" t="b">
        <v>1</v>
      </c>
    </row>
    <row r="709" spans="1:12" x14ac:dyDescent="0.3">
      <c r="A709" s="1" t="s">
        <v>1206</v>
      </c>
      <c r="B709" s="1" t="s">
        <v>25</v>
      </c>
      <c r="C709" s="1" t="s">
        <v>43</v>
      </c>
      <c r="D709" s="1">
        <v>35</v>
      </c>
      <c r="E709" s="1" t="s">
        <v>219</v>
      </c>
      <c r="F709" s="1" t="s">
        <v>33</v>
      </c>
      <c r="G709" s="2">
        <v>45573</v>
      </c>
      <c r="H709" s="1">
        <v>75834.81</v>
      </c>
      <c r="I709" s="1" t="s">
        <v>45</v>
      </c>
      <c r="J709" s="1">
        <v>-8354116596</v>
      </c>
      <c r="K709" s="1" t="s">
        <v>23</v>
      </c>
      <c r="L709" s="1" t="b">
        <v>1</v>
      </c>
    </row>
    <row r="710" spans="1:12" x14ac:dyDescent="0.3">
      <c r="A710" s="1" t="s">
        <v>1207</v>
      </c>
      <c r="B710" s="1" t="s">
        <v>32</v>
      </c>
      <c r="C710" s="1" t="s">
        <v>43</v>
      </c>
      <c r="D710" s="1"/>
      <c r="E710" s="1" t="s">
        <v>85</v>
      </c>
      <c r="F710" s="1" t="s">
        <v>16</v>
      </c>
      <c r="G710" s="2">
        <v>45391</v>
      </c>
      <c r="H710" s="1">
        <v>71273.320000000007</v>
      </c>
      <c r="I710" s="1" t="s">
        <v>296</v>
      </c>
      <c r="J710" s="1">
        <v>-2634755751</v>
      </c>
      <c r="K710" s="1" t="s">
        <v>30</v>
      </c>
      <c r="L710" s="1" t="b">
        <v>0</v>
      </c>
    </row>
    <row r="711" spans="1:12" x14ac:dyDescent="0.3">
      <c r="A711" s="1" t="s">
        <v>1208</v>
      </c>
      <c r="B711" s="1" t="s">
        <v>13</v>
      </c>
      <c r="C711" s="1" t="s">
        <v>43</v>
      </c>
      <c r="D711" s="1">
        <v>25</v>
      </c>
      <c r="E711" s="1" t="s">
        <v>56</v>
      </c>
      <c r="F711" s="1" t="s">
        <v>28</v>
      </c>
      <c r="G711" s="1" t="s">
        <v>1209</v>
      </c>
      <c r="H711" s="1">
        <v>63262.23</v>
      </c>
      <c r="I711" s="1" t="s">
        <v>153</v>
      </c>
      <c r="J711" s="1">
        <v>-2501394883</v>
      </c>
      <c r="K711" s="1" t="s">
        <v>30</v>
      </c>
      <c r="L711" s="1" t="b">
        <v>0</v>
      </c>
    </row>
    <row r="712" spans="1:12" x14ac:dyDescent="0.3">
      <c r="A712" s="1" t="s">
        <v>1210</v>
      </c>
      <c r="B712" s="1" t="s">
        <v>59</v>
      </c>
      <c r="C712" s="1" t="s">
        <v>14</v>
      </c>
      <c r="D712" s="1"/>
      <c r="E712" s="1" t="s">
        <v>56</v>
      </c>
      <c r="F712" s="1" t="s">
        <v>28</v>
      </c>
      <c r="G712" s="1" t="s">
        <v>234</v>
      </c>
      <c r="H712" s="1">
        <v>89069.91</v>
      </c>
      <c r="I712" s="1" t="s">
        <v>63</v>
      </c>
      <c r="J712" s="1">
        <v>-8826913118</v>
      </c>
      <c r="K712" s="1" t="s">
        <v>30</v>
      </c>
      <c r="L712" s="1" t="b">
        <v>0</v>
      </c>
    </row>
    <row r="713" spans="1:12" x14ac:dyDescent="0.3">
      <c r="A713" s="1" t="s">
        <v>1211</v>
      </c>
      <c r="B713" s="1" t="s">
        <v>37</v>
      </c>
      <c r="C713" s="1" t="s">
        <v>55</v>
      </c>
      <c r="D713" s="1">
        <v>40</v>
      </c>
      <c r="E713" s="1" t="s">
        <v>328</v>
      </c>
      <c r="F713" s="1" t="s">
        <v>33</v>
      </c>
      <c r="G713" s="1" t="s">
        <v>160</v>
      </c>
      <c r="H713" s="1">
        <v>57287.17</v>
      </c>
      <c r="I713" s="1" t="s">
        <v>271</v>
      </c>
      <c r="J713" s="1">
        <v>-6425856260</v>
      </c>
      <c r="K713" s="1" t="s">
        <v>18</v>
      </c>
      <c r="L713" s="1" t="b">
        <v>1</v>
      </c>
    </row>
    <row r="714" spans="1:12" x14ac:dyDescent="0.3">
      <c r="A714" s="1" t="s">
        <v>1212</v>
      </c>
      <c r="B714" s="1" t="s">
        <v>69</v>
      </c>
      <c r="C714" s="1" t="s">
        <v>122</v>
      </c>
      <c r="D714" s="1"/>
      <c r="E714" s="1" t="s">
        <v>149</v>
      </c>
      <c r="F714" s="1" t="s">
        <v>16</v>
      </c>
      <c r="G714" s="1" t="s">
        <v>228</v>
      </c>
      <c r="H714" s="1">
        <v>119890.35</v>
      </c>
      <c r="I714" s="1" t="s">
        <v>135</v>
      </c>
      <c r="J714" s="1">
        <v>-4991537037</v>
      </c>
      <c r="K714" s="1" t="s">
        <v>18</v>
      </c>
      <c r="L714" s="1" t="b">
        <v>1</v>
      </c>
    </row>
    <row r="715" spans="1:12" x14ac:dyDescent="0.3">
      <c r="A715" s="1" t="s">
        <v>1213</v>
      </c>
      <c r="B715" s="1" t="s">
        <v>37</v>
      </c>
      <c r="C715" s="1" t="s">
        <v>20</v>
      </c>
      <c r="D715" s="1">
        <v>35</v>
      </c>
      <c r="E715" s="1" t="s">
        <v>177</v>
      </c>
      <c r="F715" s="1" t="s">
        <v>33</v>
      </c>
      <c r="G715" s="1" t="s">
        <v>1214</v>
      </c>
      <c r="H715" s="1">
        <v>103492.91</v>
      </c>
      <c r="I715" s="1" t="s">
        <v>239</v>
      </c>
      <c r="J715" s="1">
        <v>-2407333372</v>
      </c>
      <c r="K715" s="1" t="s">
        <v>41</v>
      </c>
      <c r="L715" s="1" t="b">
        <v>0</v>
      </c>
    </row>
    <row r="716" spans="1:12" x14ac:dyDescent="0.3">
      <c r="A716" s="1" t="s">
        <v>1215</v>
      </c>
      <c r="B716" s="1" t="s">
        <v>37</v>
      </c>
      <c r="C716" s="1" t="s">
        <v>43</v>
      </c>
      <c r="D716" s="1"/>
      <c r="E716" s="1" t="s">
        <v>89</v>
      </c>
      <c r="F716" s="1" t="s">
        <v>28</v>
      </c>
      <c r="G716" s="1" t="s">
        <v>1216</v>
      </c>
      <c r="H716" s="1">
        <v>76254.42</v>
      </c>
      <c r="I716" s="1" t="s">
        <v>180</v>
      </c>
      <c r="J716" s="1">
        <v>-2043097767</v>
      </c>
      <c r="K716" s="1" t="s">
        <v>23</v>
      </c>
      <c r="L716" s="1" t="b">
        <v>0</v>
      </c>
    </row>
    <row r="717" spans="1:12" x14ac:dyDescent="0.3">
      <c r="A717" s="1" t="s">
        <v>1217</v>
      </c>
      <c r="B717" s="1" t="s">
        <v>32</v>
      </c>
      <c r="C717" s="1" t="s">
        <v>43</v>
      </c>
      <c r="D717" s="1">
        <v>35</v>
      </c>
      <c r="E717" s="1" t="s">
        <v>112</v>
      </c>
      <c r="F717" s="1" t="s">
        <v>33</v>
      </c>
      <c r="G717" s="2">
        <v>43831</v>
      </c>
      <c r="H717" s="1">
        <v>100841.93</v>
      </c>
      <c r="I717" s="1" t="s">
        <v>296</v>
      </c>
      <c r="J717" s="1">
        <v>-8936289695</v>
      </c>
      <c r="K717" s="1" t="s">
        <v>41</v>
      </c>
      <c r="L717" s="1" t="b">
        <v>1</v>
      </c>
    </row>
    <row r="718" spans="1:12" x14ac:dyDescent="0.3">
      <c r="A718" s="1" t="s">
        <v>1218</v>
      </c>
      <c r="B718" s="1" t="s">
        <v>25</v>
      </c>
      <c r="C718" s="1" t="s">
        <v>38</v>
      </c>
      <c r="D718" s="1"/>
      <c r="E718" s="1" t="s">
        <v>118</v>
      </c>
      <c r="F718" s="1" t="s">
        <v>16</v>
      </c>
      <c r="G718" s="2">
        <v>44386</v>
      </c>
      <c r="H718" s="1">
        <v>118907.61</v>
      </c>
      <c r="I718" s="1" t="s">
        <v>362</v>
      </c>
      <c r="J718" s="1">
        <v>-4546553584</v>
      </c>
      <c r="K718" s="1" t="s">
        <v>23</v>
      </c>
      <c r="L718" s="1" t="b">
        <v>1</v>
      </c>
    </row>
    <row r="719" spans="1:12" x14ac:dyDescent="0.3">
      <c r="A719" s="1" t="s">
        <v>1219</v>
      </c>
      <c r="B719" s="1" t="s">
        <v>37</v>
      </c>
      <c r="C719" s="1" t="s">
        <v>20</v>
      </c>
      <c r="D719" s="1">
        <v>25</v>
      </c>
      <c r="E719" s="1" t="s">
        <v>15</v>
      </c>
      <c r="F719" s="1" t="s">
        <v>28</v>
      </c>
      <c r="G719" s="1" t="s">
        <v>1220</v>
      </c>
      <c r="H719" s="1">
        <v>88942.62</v>
      </c>
      <c r="I719" s="1" t="s">
        <v>239</v>
      </c>
      <c r="J719" s="1">
        <v>-1253892186</v>
      </c>
      <c r="K719" s="1" t="s">
        <v>18</v>
      </c>
      <c r="L719" s="1" t="b">
        <v>0</v>
      </c>
    </row>
    <row r="720" spans="1:12" x14ac:dyDescent="0.3">
      <c r="A720" s="1" t="s">
        <v>1221</v>
      </c>
      <c r="B720" s="1" t="s">
        <v>54</v>
      </c>
      <c r="C720" s="1" t="s">
        <v>43</v>
      </c>
      <c r="D720" s="1">
        <v>25</v>
      </c>
      <c r="E720" s="1" t="s">
        <v>39</v>
      </c>
      <c r="F720" s="1" t="s">
        <v>33</v>
      </c>
      <c r="G720" s="1" t="s">
        <v>1118</v>
      </c>
      <c r="H720" s="1">
        <v>59688.57</v>
      </c>
      <c r="I720" s="1" t="s">
        <v>87</v>
      </c>
      <c r="J720" s="1">
        <v>-8519358373</v>
      </c>
      <c r="K720" s="1" t="s">
        <v>18</v>
      </c>
      <c r="L720" s="1" t="b">
        <v>0</v>
      </c>
    </row>
    <row r="721" spans="1:12" x14ac:dyDescent="0.3">
      <c r="A721" s="1" t="s">
        <v>1222</v>
      </c>
      <c r="B721" s="1" t="s">
        <v>59</v>
      </c>
      <c r="C721" s="1" t="s">
        <v>20</v>
      </c>
      <c r="D721" s="1">
        <v>30</v>
      </c>
      <c r="E721" s="1" t="s">
        <v>146</v>
      </c>
      <c r="F721" s="1" t="s">
        <v>16</v>
      </c>
      <c r="G721" s="1" t="s">
        <v>1223</v>
      </c>
      <c r="H721" s="1">
        <v>77985.88</v>
      </c>
      <c r="I721" s="1" t="s">
        <v>225</v>
      </c>
      <c r="J721" s="1">
        <v>-9079779611</v>
      </c>
      <c r="K721" s="1" t="s">
        <v>18</v>
      </c>
      <c r="L721" s="1" t="b">
        <v>1</v>
      </c>
    </row>
    <row r="722" spans="1:12" x14ac:dyDescent="0.3">
      <c r="A722" s="1" t="s">
        <v>1224</v>
      </c>
      <c r="B722" s="1" t="s">
        <v>13</v>
      </c>
      <c r="C722" s="1" t="s">
        <v>55</v>
      </c>
      <c r="D722" s="1">
        <v>35</v>
      </c>
      <c r="E722" s="1" t="s">
        <v>227</v>
      </c>
      <c r="F722" s="1" t="s">
        <v>33</v>
      </c>
      <c r="G722" s="1" t="s">
        <v>1225</v>
      </c>
      <c r="H722" s="1">
        <v>112931.69</v>
      </c>
      <c r="I722" s="1" t="s">
        <v>199</v>
      </c>
      <c r="J722" s="1">
        <v>-878057214</v>
      </c>
      <c r="K722" s="1" t="s">
        <v>41</v>
      </c>
      <c r="L722" s="1" t="b">
        <v>0</v>
      </c>
    </row>
    <row r="723" spans="1:12" x14ac:dyDescent="0.3">
      <c r="A723" s="1" t="s">
        <v>1226</v>
      </c>
      <c r="B723" s="1" t="s">
        <v>13</v>
      </c>
      <c r="C723" s="1" t="s">
        <v>38</v>
      </c>
      <c r="D723" s="1"/>
      <c r="E723" s="1" t="s">
        <v>15</v>
      </c>
      <c r="F723" s="1" t="s">
        <v>16</v>
      </c>
      <c r="G723" s="2">
        <v>45414</v>
      </c>
      <c r="H723" s="1">
        <v>106583.88</v>
      </c>
      <c r="I723" s="1" t="s">
        <v>144</v>
      </c>
      <c r="J723" s="1">
        <v>-1494097625</v>
      </c>
      <c r="K723" s="1" t="s">
        <v>30</v>
      </c>
      <c r="L723" s="1" t="b">
        <v>1</v>
      </c>
    </row>
    <row r="724" spans="1:12" x14ac:dyDescent="0.3">
      <c r="A724" s="1" t="s">
        <v>1227</v>
      </c>
      <c r="B724" s="1" t="s">
        <v>25</v>
      </c>
      <c r="C724" s="1" t="s">
        <v>20</v>
      </c>
      <c r="D724" s="1">
        <v>35</v>
      </c>
      <c r="E724" s="1" t="s">
        <v>212</v>
      </c>
      <c r="F724" s="1" t="s">
        <v>33</v>
      </c>
      <c r="G724" s="2">
        <v>45637</v>
      </c>
      <c r="H724" s="1">
        <v>58437.84</v>
      </c>
      <c r="I724" s="1" t="s">
        <v>80</v>
      </c>
      <c r="J724" s="1">
        <v>-3748453985</v>
      </c>
      <c r="K724" s="1" t="s">
        <v>30</v>
      </c>
      <c r="L724" s="1" t="b">
        <v>1</v>
      </c>
    </row>
    <row r="725" spans="1:12" x14ac:dyDescent="0.3">
      <c r="A725" s="1" t="s">
        <v>1228</v>
      </c>
      <c r="B725" s="1" t="s">
        <v>25</v>
      </c>
      <c r="C725" s="1" t="s">
        <v>122</v>
      </c>
      <c r="D725" s="1">
        <v>40</v>
      </c>
      <c r="E725" s="1" t="s">
        <v>268</v>
      </c>
      <c r="F725" s="1" t="s">
        <v>28</v>
      </c>
      <c r="G725" s="1" t="s">
        <v>437</v>
      </c>
      <c r="H725" s="1">
        <v>72352.160000000003</v>
      </c>
      <c r="I725" s="1" t="s">
        <v>182</v>
      </c>
      <c r="J725" s="1">
        <v>-2895090590</v>
      </c>
      <c r="K725" s="1" t="s">
        <v>18</v>
      </c>
      <c r="L725" s="1" t="b">
        <v>1</v>
      </c>
    </row>
    <row r="726" spans="1:12" x14ac:dyDescent="0.3">
      <c r="A726" s="1" t="s">
        <v>1229</v>
      </c>
      <c r="B726" s="1" t="s">
        <v>37</v>
      </c>
      <c r="C726" s="1" t="s">
        <v>122</v>
      </c>
      <c r="D726" s="1"/>
      <c r="E726" s="1" t="s">
        <v>56</v>
      </c>
      <c r="F726" s="1" t="s">
        <v>16</v>
      </c>
      <c r="G726" s="1" t="s">
        <v>1230</v>
      </c>
      <c r="H726" s="1">
        <v>97154.47</v>
      </c>
      <c r="I726" s="1" t="s">
        <v>137</v>
      </c>
      <c r="J726" s="1">
        <v>-1918623391</v>
      </c>
      <c r="K726" s="1" t="s">
        <v>30</v>
      </c>
      <c r="L726" s="1" t="b">
        <v>1</v>
      </c>
    </row>
    <row r="727" spans="1:12" x14ac:dyDescent="0.3">
      <c r="A727" s="1" t="s">
        <v>1231</v>
      </c>
      <c r="B727" s="1" t="s">
        <v>65</v>
      </c>
      <c r="C727" s="1" t="s">
        <v>26</v>
      </c>
      <c r="D727" s="1"/>
      <c r="E727" s="1" t="s">
        <v>98</v>
      </c>
      <c r="F727" s="1" t="s">
        <v>16</v>
      </c>
      <c r="G727" s="1" t="s">
        <v>972</v>
      </c>
      <c r="H727" s="1">
        <v>80235.5</v>
      </c>
      <c r="I727" s="1" t="s">
        <v>319</v>
      </c>
      <c r="J727" s="1">
        <v>-2071511695</v>
      </c>
      <c r="K727" s="1" t="s">
        <v>30</v>
      </c>
      <c r="L727" s="1" t="b">
        <v>0</v>
      </c>
    </row>
    <row r="728" spans="1:12" x14ac:dyDescent="0.3">
      <c r="A728" s="1" t="s">
        <v>1232</v>
      </c>
      <c r="B728" s="1" t="s">
        <v>54</v>
      </c>
      <c r="C728" s="1" t="s">
        <v>38</v>
      </c>
      <c r="D728" s="1">
        <v>30</v>
      </c>
      <c r="E728" s="1" t="s">
        <v>139</v>
      </c>
      <c r="F728" s="1" t="s">
        <v>33</v>
      </c>
      <c r="G728" s="1" t="s">
        <v>1130</v>
      </c>
      <c r="H728" s="1">
        <v>102172.05</v>
      </c>
      <c r="I728" s="1" t="s">
        <v>90</v>
      </c>
      <c r="J728" s="1">
        <v>-6672521451</v>
      </c>
      <c r="K728" s="1" t="s">
        <v>41</v>
      </c>
      <c r="L728" s="1" t="b">
        <v>0</v>
      </c>
    </row>
    <row r="729" spans="1:12" x14ac:dyDescent="0.3">
      <c r="A729" s="1" t="s">
        <v>1233</v>
      </c>
      <c r="B729" s="1" t="s">
        <v>32</v>
      </c>
      <c r="C729" s="1" t="s">
        <v>38</v>
      </c>
      <c r="D729" s="1">
        <v>25</v>
      </c>
      <c r="E729" s="1" t="s">
        <v>265</v>
      </c>
      <c r="F729" s="1" t="s">
        <v>33</v>
      </c>
      <c r="G729" s="2">
        <v>45356</v>
      </c>
      <c r="H729" s="1">
        <v>98850.94</v>
      </c>
      <c r="I729" s="1" t="s">
        <v>141</v>
      </c>
      <c r="J729" s="1">
        <v>-6471246334</v>
      </c>
      <c r="K729" s="1" t="s">
        <v>23</v>
      </c>
      <c r="L729" s="1" t="b">
        <v>1</v>
      </c>
    </row>
    <row r="730" spans="1:12" x14ac:dyDescent="0.3">
      <c r="A730" s="1" t="s">
        <v>1234</v>
      </c>
      <c r="B730" s="1" t="s">
        <v>65</v>
      </c>
      <c r="C730" s="1" t="s">
        <v>26</v>
      </c>
      <c r="D730" s="1"/>
      <c r="E730" s="1" t="s">
        <v>205</v>
      </c>
      <c r="F730" s="1" t="s">
        <v>33</v>
      </c>
      <c r="G730" s="1" t="s">
        <v>1235</v>
      </c>
      <c r="H730" s="1">
        <v>89993.15</v>
      </c>
      <c r="I730" s="1" t="s">
        <v>319</v>
      </c>
      <c r="J730" s="1">
        <v>-1571840907</v>
      </c>
      <c r="K730" s="1" t="s">
        <v>18</v>
      </c>
      <c r="L730" s="1" t="b">
        <v>1</v>
      </c>
    </row>
    <row r="731" spans="1:12" x14ac:dyDescent="0.3">
      <c r="A731" s="1" t="s">
        <v>1236</v>
      </c>
      <c r="B731" s="1" t="s">
        <v>59</v>
      </c>
      <c r="C731" s="1" t="s">
        <v>20</v>
      </c>
      <c r="D731" s="1">
        <v>30</v>
      </c>
      <c r="E731" s="1" t="s">
        <v>268</v>
      </c>
      <c r="F731" s="1" t="s">
        <v>33</v>
      </c>
      <c r="G731" s="1" t="s">
        <v>588</v>
      </c>
      <c r="H731" s="1">
        <v>97931.66</v>
      </c>
      <c r="I731" s="1" t="s">
        <v>225</v>
      </c>
      <c r="J731" s="1">
        <v>-512080055</v>
      </c>
      <c r="K731" s="1" t="s">
        <v>18</v>
      </c>
      <c r="L731" s="1" t="b">
        <v>1</v>
      </c>
    </row>
    <row r="732" spans="1:12" x14ac:dyDescent="0.3">
      <c r="A732" s="1" t="s">
        <v>1237</v>
      </c>
      <c r="B732" s="1" t="s">
        <v>13</v>
      </c>
      <c r="C732" s="1" t="s">
        <v>38</v>
      </c>
      <c r="D732" s="1">
        <v>40</v>
      </c>
      <c r="E732" s="1" t="s">
        <v>70</v>
      </c>
      <c r="F732" s="1" t="s">
        <v>33</v>
      </c>
      <c r="G732" s="1" t="s">
        <v>1238</v>
      </c>
      <c r="H732" s="1">
        <v>72451.69</v>
      </c>
      <c r="I732" s="1" t="s">
        <v>144</v>
      </c>
      <c r="J732" s="1">
        <v>-4099512396</v>
      </c>
      <c r="K732" s="1" t="s">
        <v>41</v>
      </c>
      <c r="L732" s="1" t="b">
        <v>1</v>
      </c>
    </row>
    <row r="733" spans="1:12" x14ac:dyDescent="0.3">
      <c r="A733" s="1" t="s">
        <v>1239</v>
      </c>
      <c r="B733" s="1" t="s">
        <v>25</v>
      </c>
      <c r="C733" s="1" t="s">
        <v>122</v>
      </c>
      <c r="D733" s="1">
        <v>35</v>
      </c>
      <c r="E733" s="1" t="s">
        <v>118</v>
      </c>
      <c r="F733" s="1" t="s">
        <v>28</v>
      </c>
      <c r="G733" s="2">
        <v>45543</v>
      </c>
      <c r="H733" s="1">
        <v>119311.14</v>
      </c>
      <c r="I733" s="1" t="s">
        <v>182</v>
      </c>
      <c r="J733" s="1">
        <v>-2835129591</v>
      </c>
      <c r="K733" s="1" t="s">
        <v>41</v>
      </c>
      <c r="L733" s="1" t="b">
        <v>1</v>
      </c>
    </row>
    <row r="734" spans="1:12" x14ac:dyDescent="0.3">
      <c r="A734" s="1" t="s">
        <v>1240</v>
      </c>
      <c r="B734" s="1" t="s">
        <v>54</v>
      </c>
      <c r="C734" s="1" t="s">
        <v>122</v>
      </c>
      <c r="D734" s="1">
        <v>40</v>
      </c>
      <c r="E734" s="1" t="s">
        <v>60</v>
      </c>
      <c r="F734" s="1" t="s">
        <v>16</v>
      </c>
      <c r="G734" s="2">
        <v>45027</v>
      </c>
      <c r="H734" s="1">
        <v>76167.460000000006</v>
      </c>
      <c r="I734" s="1" t="s">
        <v>194</v>
      </c>
      <c r="J734" s="1">
        <v>-7282709080</v>
      </c>
      <c r="K734" s="1" t="s">
        <v>30</v>
      </c>
      <c r="L734" s="1" t="b">
        <v>0</v>
      </c>
    </row>
    <row r="735" spans="1:12" x14ac:dyDescent="0.3">
      <c r="A735" s="1" t="s">
        <v>1241</v>
      </c>
      <c r="B735" s="1" t="s">
        <v>13</v>
      </c>
      <c r="C735" s="1" t="s">
        <v>43</v>
      </c>
      <c r="D735" s="1">
        <v>25</v>
      </c>
      <c r="E735" s="1" t="s">
        <v>237</v>
      </c>
      <c r="F735" s="1" t="s">
        <v>16</v>
      </c>
      <c r="G735" s="1" t="s">
        <v>1242</v>
      </c>
      <c r="H735" s="1">
        <v>114871.08</v>
      </c>
      <c r="I735" s="1" t="s">
        <v>153</v>
      </c>
      <c r="J735" s="1">
        <v>-4415298216</v>
      </c>
      <c r="K735" s="1" t="s">
        <v>18</v>
      </c>
      <c r="L735" s="1" t="b">
        <v>0</v>
      </c>
    </row>
    <row r="736" spans="1:12" x14ac:dyDescent="0.3">
      <c r="A736" s="1" t="s">
        <v>1243</v>
      </c>
      <c r="B736" s="1" t="s">
        <v>32</v>
      </c>
      <c r="C736" s="1" t="s">
        <v>55</v>
      </c>
      <c r="D736" s="1">
        <v>25</v>
      </c>
      <c r="E736" s="1" t="s">
        <v>149</v>
      </c>
      <c r="F736" s="1" t="s">
        <v>16</v>
      </c>
      <c r="G736" s="1" t="s">
        <v>1244</v>
      </c>
      <c r="H736" s="1">
        <v>81504.31</v>
      </c>
      <c r="I736" s="1" t="s">
        <v>322</v>
      </c>
      <c r="J736" s="1">
        <v>-3929578670</v>
      </c>
      <c r="K736" s="1" t="s">
        <v>23</v>
      </c>
      <c r="L736" s="1" t="b">
        <v>0</v>
      </c>
    </row>
    <row r="737" spans="1:12" x14ac:dyDescent="0.3">
      <c r="A737" s="1" t="s">
        <v>1245</v>
      </c>
      <c r="B737" s="1" t="s">
        <v>59</v>
      </c>
      <c r="C737" s="1" t="s">
        <v>38</v>
      </c>
      <c r="D737" s="1"/>
      <c r="E737" s="1" t="s">
        <v>196</v>
      </c>
      <c r="F737" s="1" t="s">
        <v>28</v>
      </c>
      <c r="G737" s="2">
        <v>44754</v>
      </c>
      <c r="H737" s="1">
        <v>102524.86</v>
      </c>
      <c r="I737" s="1" t="s">
        <v>61</v>
      </c>
      <c r="J737" s="1">
        <v>-8153523735</v>
      </c>
      <c r="K737" s="1" t="s">
        <v>41</v>
      </c>
      <c r="L737" s="1" t="b">
        <v>0</v>
      </c>
    </row>
    <row r="738" spans="1:12" x14ac:dyDescent="0.3">
      <c r="A738" s="1" t="s">
        <v>1246</v>
      </c>
      <c r="B738" s="1" t="s">
        <v>54</v>
      </c>
      <c r="C738" s="1" t="s">
        <v>20</v>
      </c>
      <c r="D738" s="1">
        <v>25</v>
      </c>
      <c r="E738" s="1" t="s">
        <v>265</v>
      </c>
      <c r="F738" s="1" t="s">
        <v>28</v>
      </c>
      <c r="G738" s="1" t="s">
        <v>1247</v>
      </c>
      <c r="H738" s="1">
        <v>53043.74</v>
      </c>
      <c r="I738" s="1" t="s">
        <v>125</v>
      </c>
      <c r="J738" s="1">
        <v>-507918157</v>
      </c>
      <c r="K738" s="1" t="s">
        <v>23</v>
      </c>
      <c r="L738" s="1" t="b">
        <v>1</v>
      </c>
    </row>
    <row r="739" spans="1:12" x14ac:dyDescent="0.3">
      <c r="A739" s="1" t="s">
        <v>1248</v>
      </c>
      <c r="B739" s="1" t="s">
        <v>32</v>
      </c>
      <c r="C739" s="1" t="s">
        <v>26</v>
      </c>
      <c r="D739" s="1">
        <v>30</v>
      </c>
      <c r="E739" s="1" t="s">
        <v>78</v>
      </c>
      <c r="F739" s="1" t="s">
        <v>33</v>
      </c>
      <c r="G739" s="1" t="s">
        <v>1249</v>
      </c>
      <c r="H739" s="1">
        <v>82547.259999999995</v>
      </c>
      <c r="I739" s="1" t="s">
        <v>277</v>
      </c>
      <c r="J739" s="1">
        <v>-9988683451</v>
      </c>
      <c r="K739" s="1" t="s">
        <v>23</v>
      </c>
      <c r="L739" s="1" t="b">
        <v>1</v>
      </c>
    </row>
    <row r="740" spans="1:12" x14ac:dyDescent="0.3">
      <c r="A740" s="1" t="s">
        <v>1250</v>
      </c>
      <c r="B740" s="1" t="s">
        <v>13</v>
      </c>
      <c r="C740" s="1" t="s">
        <v>26</v>
      </c>
      <c r="D740" s="1">
        <v>40</v>
      </c>
      <c r="E740" s="1" t="s">
        <v>15</v>
      </c>
      <c r="F740" s="1" t="s">
        <v>28</v>
      </c>
      <c r="G740" s="2">
        <v>45606</v>
      </c>
      <c r="H740" s="1">
        <v>113900.81</v>
      </c>
      <c r="I740" s="1" t="s">
        <v>50</v>
      </c>
      <c r="J740" s="1">
        <v>-7346666169</v>
      </c>
      <c r="K740" s="1" t="s">
        <v>18</v>
      </c>
      <c r="L740" s="1" t="b">
        <v>1</v>
      </c>
    </row>
    <row r="741" spans="1:12" x14ac:dyDescent="0.3">
      <c r="A741" s="1" t="s">
        <v>1251</v>
      </c>
      <c r="B741" s="1" t="s">
        <v>13</v>
      </c>
      <c r="C741" s="1" t="s">
        <v>20</v>
      </c>
      <c r="D741" s="1">
        <v>25</v>
      </c>
      <c r="E741" s="1" t="s">
        <v>149</v>
      </c>
      <c r="F741" s="1" t="s">
        <v>33</v>
      </c>
      <c r="G741" s="1" t="s">
        <v>214</v>
      </c>
      <c r="H741" s="1">
        <v>118585.5</v>
      </c>
      <c r="I741" s="1" t="s">
        <v>22</v>
      </c>
      <c r="J741" s="1">
        <v>-7158796473</v>
      </c>
      <c r="K741" s="1" t="s">
        <v>18</v>
      </c>
      <c r="L741" s="1" t="b">
        <v>1</v>
      </c>
    </row>
    <row r="742" spans="1:12" x14ac:dyDescent="0.3">
      <c r="A742" s="1" t="s">
        <v>1252</v>
      </c>
      <c r="B742" s="1" t="s">
        <v>13</v>
      </c>
      <c r="C742" s="1" t="s">
        <v>14</v>
      </c>
      <c r="D742" s="1">
        <v>35</v>
      </c>
      <c r="E742" s="1" t="s">
        <v>265</v>
      </c>
      <c r="F742" s="1" t="s">
        <v>28</v>
      </c>
      <c r="G742" s="1" t="s">
        <v>1253</v>
      </c>
      <c r="H742" s="1">
        <v>63049.22</v>
      </c>
      <c r="I742" s="1" t="s">
        <v>17</v>
      </c>
      <c r="J742" s="1">
        <v>-803149981</v>
      </c>
      <c r="K742" s="1" t="s">
        <v>41</v>
      </c>
      <c r="L742" s="1" t="b">
        <v>1</v>
      </c>
    </row>
    <row r="743" spans="1:12" x14ac:dyDescent="0.3">
      <c r="A743" s="1" t="s">
        <v>1254</v>
      </c>
      <c r="B743" s="1" t="s">
        <v>65</v>
      </c>
      <c r="C743" s="1" t="s">
        <v>92</v>
      </c>
      <c r="D743" s="1"/>
      <c r="E743" s="1" t="s">
        <v>237</v>
      </c>
      <c r="F743" s="1" t="s">
        <v>16</v>
      </c>
      <c r="G743" s="1" t="s">
        <v>1255</v>
      </c>
      <c r="H743" s="1">
        <v>114558.91</v>
      </c>
      <c r="I743" s="1" t="s">
        <v>130</v>
      </c>
      <c r="J743" s="1">
        <v>-5080046357</v>
      </c>
      <c r="K743" s="1" t="s">
        <v>18</v>
      </c>
      <c r="L743" s="1" t="b">
        <v>0</v>
      </c>
    </row>
    <row r="744" spans="1:12" x14ac:dyDescent="0.3">
      <c r="A744" s="1" t="s">
        <v>1256</v>
      </c>
      <c r="B744" s="1" t="s">
        <v>65</v>
      </c>
      <c r="C744" s="1" t="s">
        <v>55</v>
      </c>
      <c r="D744" s="1">
        <v>40</v>
      </c>
      <c r="E744" s="1" t="s">
        <v>56</v>
      </c>
      <c r="F744" s="1" t="s">
        <v>16</v>
      </c>
      <c r="G744" s="2">
        <v>44512</v>
      </c>
      <c r="H744" s="1">
        <v>97901.79</v>
      </c>
      <c r="I744" s="1" t="s">
        <v>113</v>
      </c>
      <c r="J744" s="1">
        <v>-688285030</v>
      </c>
      <c r="K744" s="1" t="s">
        <v>18</v>
      </c>
      <c r="L744" s="1" t="b">
        <v>1</v>
      </c>
    </row>
    <row r="745" spans="1:12" x14ac:dyDescent="0.3">
      <c r="A745" s="1" t="s">
        <v>1257</v>
      </c>
      <c r="B745" s="1" t="s">
        <v>32</v>
      </c>
      <c r="C745" s="1" t="s">
        <v>26</v>
      </c>
      <c r="D745" s="1">
        <v>30</v>
      </c>
      <c r="E745" s="1" t="s">
        <v>177</v>
      </c>
      <c r="F745" s="1" t="s">
        <v>16</v>
      </c>
      <c r="G745" s="2">
        <v>45053</v>
      </c>
      <c r="H745" s="1">
        <v>68037.56</v>
      </c>
      <c r="I745" s="1" t="s">
        <v>277</v>
      </c>
      <c r="J745" s="1">
        <v>-7235137398</v>
      </c>
      <c r="K745" s="1" t="s">
        <v>18</v>
      </c>
      <c r="L745" s="1" t="b">
        <v>0</v>
      </c>
    </row>
    <row r="746" spans="1:12" x14ac:dyDescent="0.3">
      <c r="A746" s="1" t="s">
        <v>1258</v>
      </c>
      <c r="B746" s="1" t="s">
        <v>25</v>
      </c>
      <c r="C746" s="1" t="s">
        <v>38</v>
      </c>
      <c r="D746" s="1"/>
      <c r="E746" s="1" t="s">
        <v>66</v>
      </c>
      <c r="F746" s="1" t="s">
        <v>16</v>
      </c>
      <c r="G746" s="1" t="s">
        <v>1259</v>
      </c>
      <c r="H746" s="1">
        <v>112802.27</v>
      </c>
      <c r="I746" s="1" t="s">
        <v>362</v>
      </c>
      <c r="J746" s="1">
        <v>-63140351</v>
      </c>
      <c r="K746" s="1" t="s">
        <v>23</v>
      </c>
      <c r="L746" s="1" t="b">
        <v>0</v>
      </c>
    </row>
    <row r="747" spans="1:12" x14ac:dyDescent="0.3">
      <c r="A747" s="1" t="s">
        <v>1260</v>
      </c>
      <c r="B747" s="1" t="s">
        <v>13</v>
      </c>
      <c r="C747" s="1" t="s">
        <v>55</v>
      </c>
      <c r="D747" s="1">
        <v>40</v>
      </c>
      <c r="E747" s="1" t="s">
        <v>219</v>
      </c>
      <c r="F747" s="1" t="s">
        <v>28</v>
      </c>
      <c r="G747" s="1" t="s">
        <v>336</v>
      </c>
      <c r="H747" s="1">
        <v>93786.72</v>
      </c>
      <c r="I747" s="1" t="s">
        <v>199</v>
      </c>
      <c r="J747" s="1">
        <v>-6356022938</v>
      </c>
      <c r="K747" s="1" t="s">
        <v>41</v>
      </c>
      <c r="L747" s="1" t="b">
        <v>0</v>
      </c>
    </row>
    <row r="748" spans="1:12" x14ac:dyDescent="0.3">
      <c r="A748" s="1" t="s">
        <v>1261</v>
      </c>
      <c r="B748" s="1" t="s">
        <v>59</v>
      </c>
      <c r="C748" s="1" t="s">
        <v>38</v>
      </c>
      <c r="D748" s="1"/>
      <c r="E748" s="1" t="s">
        <v>205</v>
      </c>
      <c r="F748" s="1" t="s">
        <v>33</v>
      </c>
      <c r="G748" s="1" t="s">
        <v>523</v>
      </c>
      <c r="H748" s="1">
        <v>73049.929999999993</v>
      </c>
      <c r="I748" s="1" t="s">
        <v>61</v>
      </c>
      <c r="J748" s="1">
        <v>-4694346065</v>
      </c>
      <c r="K748" s="1" t="s">
        <v>30</v>
      </c>
      <c r="L748" s="1" t="b">
        <v>0</v>
      </c>
    </row>
    <row r="749" spans="1:12" x14ac:dyDescent="0.3">
      <c r="A749" s="1" t="s">
        <v>1262</v>
      </c>
      <c r="B749" s="1" t="s">
        <v>59</v>
      </c>
      <c r="C749" s="1" t="s">
        <v>14</v>
      </c>
      <c r="D749" s="1">
        <v>30</v>
      </c>
      <c r="E749" s="1" t="s">
        <v>98</v>
      </c>
      <c r="F749" s="1" t="s">
        <v>28</v>
      </c>
      <c r="G749" s="1" t="s">
        <v>1263</v>
      </c>
      <c r="H749" s="1">
        <v>64161.72</v>
      </c>
      <c r="I749" s="1" t="s">
        <v>63</v>
      </c>
      <c r="J749" s="1">
        <v>-6437490606</v>
      </c>
      <c r="K749" s="1" t="s">
        <v>23</v>
      </c>
      <c r="L749" s="1" t="b">
        <v>1</v>
      </c>
    </row>
    <row r="750" spans="1:12" x14ac:dyDescent="0.3">
      <c r="A750" s="1" t="s">
        <v>1264</v>
      </c>
      <c r="B750" s="1" t="s">
        <v>54</v>
      </c>
      <c r="C750" s="1" t="s">
        <v>122</v>
      </c>
      <c r="D750" s="1">
        <v>40</v>
      </c>
      <c r="E750" s="1" t="s">
        <v>27</v>
      </c>
      <c r="F750" s="1" t="s">
        <v>28</v>
      </c>
      <c r="G750" s="1" t="s">
        <v>1265</v>
      </c>
      <c r="H750" s="1">
        <v>72224.73</v>
      </c>
      <c r="I750" s="1" t="s">
        <v>194</v>
      </c>
      <c r="J750" s="1">
        <v>-2311127127</v>
      </c>
      <c r="K750" s="1" t="s">
        <v>18</v>
      </c>
      <c r="L750" s="1" t="b">
        <v>0</v>
      </c>
    </row>
    <row r="751" spans="1:12" x14ac:dyDescent="0.3">
      <c r="A751" s="1" t="s">
        <v>1266</v>
      </c>
      <c r="B751" s="1" t="s">
        <v>13</v>
      </c>
      <c r="C751" s="1" t="s">
        <v>55</v>
      </c>
      <c r="D751" s="1">
        <v>30</v>
      </c>
      <c r="E751" s="1" t="s">
        <v>66</v>
      </c>
      <c r="F751" s="1" t="s">
        <v>28</v>
      </c>
      <c r="G751" s="2">
        <v>43833</v>
      </c>
      <c r="H751" s="1">
        <v>103580.45</v>
      </c>
      <c r="I751" s="1" t="s">
        <v>199</v>
      </c>
      <c r="J751" s="1">
        <v>-5246484493</v>
      </c>
      <c r="K751" s="1" t="s">
        <v>23</v>
      </c>
      <c r="L751" s="1" t="b">
        <v>0</v>
      </c>
    </row>
    <row r="752" spans="1:12" x14ac:dyDescent="0.3">
      <c r="A752" s="1" t="s">
        <v>1267</v>
      </c>
      <c r="B752" s="1" t="s">
        <v>69</v>
      </c>
      <c r="C752" s="1" t="s">
        <v>43</v>
      </c>
      <c r="D752" s="1">
        <v>40</v>
      </c>
      <c r="E752" s="1" t="s">
        <v>212</v>
      </c>
      <c r="F752" s="1" t="s">
        <v>28</v>
      </c>
      <c r="G752" s="2">
        <v>45543</v>
      </c>
      <c r="H752" s="1">
        <v>112589.11</v>
      </c>
      <c r="I752" s="1" t="s">
        <v>83</v>
      </c>
      <c r="J752" s="1">
        <v>-1163187327</v>
      </c>
      <c r="K752" s="1" t="s">
        <v>18</v>
      </c>
      <c r="L752" s="1" t="b">
        <v>0</v>
      </c>
    </row>
    <row r="753" spans="1:12" x14ac:dyDescent="0.3">
      <c r="A753" s="1" t="s">
        <v>1268</v>
      </c>
      <c r="B753" s="1" t="s">
        <v>32</v>
      </c>
      <c r="C753" s="1" t="s">
        <v>26</v>
      </c>
      <c r="D753" s="1">
        <v>30</v>
      </c>
      <c r="E753" s="1" t="s">
        <v>103</v>
      </c>
      <c r="F753" s="1" t="s">
        <v>16</v>
      </c>
      <c r="G753" s="1" t="s">
        <v>1269</v>
      </c>
      <c r="H753" s="1">
        <v>51833.88</v>
      </c>
      <c r="I753" s="1" t="s">
        <v>277</v>
      </c>
      <c r="J753" s="1">
        <v>-771130620</v>
      </c>
      <c r="K753" s="1" t="s">
        <v>18</v>
      </c>
      <c r="L753" s="1" t="b">
        <v>1</v>
      </c>
    </row>
    <row r="754" spans="1:12" x14ac:dyDescent="0.3">
      <c r="A754" s="1" t="s">
        <v>1270</v>
      </c>
      <c r="B754" s="1" t="s">
        <v>32</v>
      </c>
      <c r="C754" s="1" t="s">
        <v>55</v>
      </c>
      <c r="D754" s="1"/>
      <c r="E754" s="1" t="s">
        <v>98</v>
      </c>
      <c r="F754" s="1" t="s">
        <v>16</v>
      </c>
      <c r="G754" s="2">
        <v>45082</v>
      </c>
      <c r="H754" s="1">
        <v>66252.78</v>
      </c>
      <c r="I754" s="1" t="s">
        <v>322</v>
      </c>
      <c r="J754" s="1">
        <v>-1369572789</v>
      </c>
      <c r="K754" s="1" t="s">
        <v>23</v>
      </c>
      <c r="L754" s="1" t="b">
        <v>1</v>
      </c>
    </row>
    <row r="755" spans="1:12" x14ac:dyDescent="0.3">
      <c r="A755" s="1" t="s">
        <v>1271</v>
      </c>
      <c r="B755" s="1" t="s">
        <v>37</v>
      </c>
      <c r="C755" s="1" t="s">
        <v>55</v>
      </c>
      <c r="D755" s="1">
        <v>25</v>
      </c>
      <c r="E755" s="1" t="s">
        <v>230</v>
      </c>
      <c r="F755" s="1" t="s">
        <v>16</v>
      </c>
      <c r="G755" s="1" t="s">
        <v>1272</v>
      </c>
      <c r="H755" s="1">
        <v>109229.68</v>
      </c>
      <c r="I755" s="1" t="s">
        <v>271</v>
      </c>
      <c r="J755" s="1">
        <v>-8335090253</v>
      </c>
      <c r="K755" s="1" t="s">
        <v>41</v>
      </c>
      <c r="L755" s="1" t="b">
        <v>1</v>
      </c>
    </row>
    <row r="756" spans="1:12" x14ac:dyDescent="0.3">
      <c r="A756" s="1" t="s">
        <v>1273</v>
      </c>
      <c r="B756" s="1" t="s">
        <v>37</v>
      </c>
      <c r="C756" s="1" t="s">
        <v>55</v>
      </c>
      <c r="D756" s="1">
        <v>30</v>
      </c>
      <c r="E756" s="1" t="s">
        <v>112</v>
      </c>
      <c r="F756" s="1" t="s">
        <v>33</v>
      </c>
      <c r="G756" s="2">
        <v>44053</v>
      </c>
      <c r="H756" s="1">
        <v>61465.05</v>
      </c>
      <c r="I756" s="1" t="s">
        <v>271</v>
      </c>
      <c r="J756" s="1">
        <v>-2573066247</v>
      </c>
      <c r="K756" s="1" t="s">
        <v>18</v>
      </c>
      <c r="L756" s="1" t="b">
        <v>0</v>
      </c>
    </row>
    <row r="757" spans="1:12" x14ac:dyDescent="0.3">
      <c r="A757" s="1" t="s">
        <v>1274</v>
      </c>
      <c r="B757" s="1" t="s">
        <v>69</v>
      </c>
      <c r="C757" s="1" t="s">
        <v>92</v>
      </c>
      <c r="D757" s="1">
        <v>25</v>
      </c>
      <c r="E757" s="1" t="s">
        <v>212</v>
      </c>
      <c r="F757" s="1" t="s">
        <v>16</v>
      </c>
      <c r="G757" s="1" t="s">
        <v>1275</v>
      </c>
      <c r="H757" s="1">
        <v>96993.74</v>
      </c>
      <c r="I757" s="1" t="s">
        <v>168</v>
      </c>
      <c r="J757" s="1">
        <v>-1323570712</v>
      </c>
      <c r="K757" s="1" t="s">
        <v>41</v>
      </c>
      <c r="L757" s="1" t="b">
        <v>0</v>
      </c>
    </row>
    <row r="758" spans="1:12" x14ac:dyDescent="0.3">
      <c r="A758" s="1" t="s">
        <v>1276</v>
      </c>
      <c r="B758" s="1" t="s">
        <v>59</v>
      </c>
      <c r="C758" s="1" t="s">
        <v>55</v>
      </c>
      <c r="D758" s="1">
        <v>25</v>
      </c>
      <c r="E758" s="1" t="s">
        <v>205</v>
      </c>
      <c r="F758" s="1" t="s">
        <v>28</v>
      </c>
      <c r="G758" s="1" t="s">
        <v>1277</v>
      </c>
      <c r="H758" s="1">
        <v>98150.39</v>
      </c>
      <c r="I758" s="1" t="s">
        <v>217</v>
      </c>
      <c r="J758" s="1">
        <v>-9848228500</v>
      </c>
      <c r="K758" s="1" t="s">
        <v>30</v>
      </c>
      <c r="L758" s="1" t="b">
        <v>1</v>
      </c>
    </row>
    <row r="759" spans="1:12" x14ac:dyDescent="0.3">
      <c r="A759" s="1" t="s">
        <v>1278</v>
      </c>
      <c r="B759" s="1" t="s">
        <v>59</v>
      </c>
      <c r="C759" s="1" t="s">
        <v>38</v>
      </c>
      <c r="D759" s="1">
        <v>40</v>
      </c>
      <c r="E759" s="1" t="s">
        <v>21</v>
      </c>
      <c r="F759" s="1" t="s">
        <v>28</v>
      </c>
      <c r="G759" s="1" t="s">
        <v>1279</v>
      </c>
      <c r="H759" s="1">
        <v>107703</v>
      </c>
      <c r="I759" s="1" t="s">
        <v>61</v>
      </c>
      <c r="J759" s="1">
        <v>-1688092549</v>
      </c>
      <c r="K759" s="1" t="s">
        <v>18</v>
      </c>
      <c r="L759" s="1" t="b">
        <v>0</v>
      </c>
    </row>
    <row r="760" spans="1:12" x14ac:dyDescent="0.3">
      <c r="A760" s="1" t="s">
        <v>1280</v>
      </c>
      <c r="B760" s="1" t="s">
        <v>69</v>
      </c>
      <c r="C760" s="1" t="s">
        <v>122</v>
      </c>
      <c r="D760" s="1"/>
      <c r="E760" s="1" t="s">
        <v>78</v>
      </c>
      <c r="F760" s="1" t="s">
        <v>28</v>
      </c>
      <c r="G760" s="2">
        <v>44986</v>
      </c>
      <c r="H760" s="1">
        <v>86766.14</v>
      </c>
      <c r="I760" s="1" t="s">
        <v>135</v>
      </c>
      <c r="J760" s="1">
        <v>-2130609068</v>
      </c>
      <c r="K760" s="1" t="s">
        <v>41</v>
      </c>
      <c r="L760" s="1" t="b">
        <v>1</v>
      </c>
    </row>
    <row r="761" spans="1:12" x14ac:dyDescent="0.3">
      <c r="A761" s="1" t="s">
        <v>1281</v>
      </c>
      <c r="B761" s="1" t="s">
        <v>25</v>
      </c>
      <c r="C761" s="1" t="s">
        <v>14</v>
      </c>
      <c r="D761" s="1"/>
      <c r="E761" s="1" t="s">
        <v>39</v>
      </c>
      <c r="F761" s="1" t="s">
        <v>33</v>
      </c>
      <c r="G761" s="1" t="s">
        <v>586</v>
      </c>
      <c r="H761" s="1">
        <v>111443.69</v>
      </c>
      <c r="I761" s="1" t="s">
        <v>163</v>
      </c>
      <c r="J761" s="1">
        <v>-1309810795</v>
      </c>
      <c r="K761" s="1" t="s">
        <v>41</v>
      </c>
      <c r="L761" s="1" t="b">
        <v>1</v>
      </c>
    </row>
    <row r="762" spans="1:12" x14ac:dyDescent="0.3">
      <c r="A762" s="1" t="s">
        <v>1282</v>
      </c>
      <c r="B762" s="1" t="s">
        <v>59</v>
      </c>
      <c r="C762" s="1" t="s">
        <v>20</v>
      </c>
      <c r="D762" s="1"/>
      <c r="E762" s="1" t="s">
        <v>74</v>
      </c>
      <c r="F762" s="1" t="s">
        <v>28</v>
      </c>
      <c r="G762" s="1" t="s">
        <v>440</v>
      </c>
      <c r="H762" s="1">
        <v>89039.07</v>
      </c>
      <c r="I762" s="1" t="s">
        <v>225</v>
      </c>
      <c r="J762" s="1">
        <v>-4967379456</v>
      </c>
      <c r="K762" s="1" t="s">
        <v>30</v>
      </c>
      <c r="L762" s="1" t="b">
        <v>0</v>
      </c>
    </row>
    <row r="763" spans="1:12" x14ac:dyDescent="0.3">
      <c r="A763" s="1" t="s">
        <v>1283</v>
      </c>
      <c r="B763" s="1" t="s">
        <v>25</v>
      </c>
      <c r="C763" s="1" t="s">
        <v>55</v>
      </c>
      <c r="D763" s="1">
        <v>30</v>
      </c>
      <c r="E763" s="1" t="s">
        <v>212</v>
      </c>
      <c r="F763" s="1" t="s">
        <v>33</v>
      </c>
      <c r="G763" s="1" t="s">
        <v>1284</v>
      </c>
      <c r="H763" s="1">
        <v>71318.789999999994</v>
      </c>
      <c r="I763" s="1" t="s">
        <v>150</v>
      </c>
      <c r="J763" s="1">
        <v>-7278532425</v>
      </c>
      <c r="K763" s="1" t="s">
        <v>41</v>
      </c>
      <c r="L763" s="1" t="b">
        <v>0</v>
      </c>
    </row>
    <row r="764" spans="1:12" x14ac:dyDescent="0.3">
      <c r="A764" s="1" t="s">
        <v>1285</v>
      </c>
      <c r="B764" s="1" t="s">
        <v>65</v>
      </c>
      <c r="C764" s="1" t="s">
        <v>26</v>
      </c>
      <c r="D764" s="1">
        <v>30</v>
      </c>
      <c r="E764" s="1" t="s">
        <v>70</v>
      </c>
      <c r="F764" s="1" t="s">
        <v>28</v>
      </c>
      <c r="G764" s="1" t="s">
        <v>1286</v>
      </c>
      <c r="H764" s="1">
        <v>98296.71</v>
      </c>
      <c r="I764" s="1" t="s">
        <v>319</v>
      </c>
      <c r="J764" s="1">
        <v>-4250642075</v>
      </c>
      <c r="K764" s="1" t="s">
        <v>41</v>
      </c>
      <c r="L764" s="1" t="b">
        <v>0</v>
      </c>
    </row>
    <row r="765" spans="1:12" x14ac:dyDescent="0.3">
      <c r="A765" s="1" t="s">
        <v>1287</v>
      </c>
      <c r="B765" s="1" t="s">
        <v>65</v>
      </c>
      <c r="C765" s="1" t="s">
        <v>55</v>
      </c>
      <c r="D765" s="1">
        <v>40</v>
      </c>
      <c r="E765" s="1" t="s">
        <v>85</v>
      </c>
      <c r="F765" s="1" t="s">
        <v>28</v>
      </c>
      <c r="G765" s="1" t="s">
        <v>1288</v>
      </c>
      <c r="H765" s="1">
        <v>62584</v>
      </c>
      <c r="I765" s="1" t="s">
        <v>113</v>
      </c>
      <c r="J765" s="1">
        <v>-8362536666</v>
      </c>
      <c r="K765" s="1" t="s">
        <v>30</v>
      </c>
      <c r="L765" s="1" t="b">
        <v>0</v>
      </c>
    </row>
    <row r="766" spans="1:12" x14ac:dyDescent="0.3">
      <c r="A766" s="1" t="s">
        <v>1289</v>
      </c>
      <c r="B766" s="1" t="s">
        <v>54</v>
      </c>
      <c r="C766" s="1" t="s">
        <v>26</v>
      </c>
      <c r="D766" s="1">
        <v>40</v>
      </c>
      <c r="E766" s="1" t="s">
        <v>70</v>
      </c>
      <c r="F766" s="1" t="s">
        <v>33</v>
      </c>
      <c r="G766" s="1" t="s">
        <v>1290</v>
      </c>
      <c r="H766" s="1">
        <v>62521.5</v>
      </c>
      <c r="I766" s="1" t="s">
        <v>120</v>
      </c>
      <c r="J766" s="1">
        <v>-7767555627</v>
      </c>
      <c r="K766" s="1" t="s">
        <v>18</v>
      </c>
      <c r="L766" s="1" t="b">
        <v>1</v>
      </c>
    </row>
    <row r="767" spans="1:12" x14ac:dyDescent="0.3">
      <c r="A767" s="1" t="s">
        <v>1291</v>
      </c>
      <c r="B767" s="1" t="s">
        <v>59</v>
      </c>
      <c r="C767" s="1" t="s">
        <v>38</v>
      </c>
      <c r="D767" s="1">
        <v>40</v>
      </c>
      <c r="E767" s="1" t="s">
        <v>268</v>
      </c>
      <c r="F767" s="1" t="s">
        <v>33</v>
      </c>
      <c r="G767" s="1" t="s">
        <v>1292</v>
      </c>
      <c r="H767" s="1">
        <v>95400.35</v>
      </c>
      <c r="I767" s="1" t="s">
        <v>61</v>
      </c>
      <c r="J767" s="1">
        <v>-3333939577</v>
      </c>
      <c r="K767" s="1" t="s">
        <v>41</v>
      </c>
      <c r="L767" s="1" t="b">
        <v>1</v>
      </c>
    </row>
    <row r="768" spans="1:12" x14ac:dyDescent="0.3">
      <c r="A768" s="1" t="s">
        <v>1293</v>
      </c>
      <c r="B768" s="1" t="s">
        <v>54</v>
      </c>
      <c r="C768" s="1" t="s">
        <v>26</v>
      </c>
      <c r="D768" s="1">
        <v>25</v>
      </c>
      <c r="E768" s="1" t="s">
        <v>159</v>
      </c>
      <c r="F768" s="1" t="s">
        <v>28</v>
      </c>
      <c r="G768" s="2">
        <v>44811</v>
      </c>
      <c r="H768" s="1">
        <v>94385.07</v>
      </c>
      <c r="I768" s="1" t="s">
        <v>120</v>
      </c>
      <c r="J768" s="1">
        <v>-6543627186</v>
      </c>
      <c r="K768" s="1" t="s">
        <v>41</v>
      </c>
      <c r="L768" s="1" t="b">
        <v>1</v>
      </c>
    </row>
    <row r="769" spans="1:12" x14ac:dyDescent="0.3">
      <c r="A769" s="1" t="s">
        <v>1294</v>
      </c>
      <c r="B769" s="1" t="s">
        <v>69</v>
      </c>
      <c r="C769" s="1" t="s">
        <v>43</v>
      </c>
      <c r="D769" s="1"/>
      <c r="E769" s="1" t="s">
        <v>109</v>
      </c>
      <c r="F769" s="1" t="s">
        <v>33</v>
      </c>
      <c r="G769" s="2">
        <v>44928</v>
      </c>
      <c r="H769" s="1">
        <v>76642.490000000005</v>
      </c>
      <c r="I769" s="1" t="s">
        <v>83</v>
      </c>
      <c r="J769" s="1">
        <v>-4960335825</v>
      </c>
      <c r="K769" s="1" t="s">
        <v>41</v>
      </c>
      <c r="L769" s="1" t="b">
        <v>1</v>
      </c>
    </row>
    <row r="770" spans="1:12" x14ac:dyDescent="0.3">
      <c r="A770" s="1" t="s">
        <v>1295</v>
      </c>
      <c r="B770" s="1" t="s">
        <v>37</v>
      </c>
      <c r="C770" s="1" t="s">
        <v>20</v>
      </c>
      <c r="D770" s="1"/>
      <c r="E770" s="1" t="s">
        <v>56</v>
      </c>
      <c r="F770" s="1" t="s">
        <v>16</v>
      </c>
      <c r="G770" s="1" t="s">
        <v>1296</v>
      </c>
      <c r="H770" s="1">
        <v>60122.52</v>
      </c>
      <c r="I770" s="1" t="s">
        <v>239</v>
      </c>
      <c r="J770" s="1">
        <v>-8627036923</v>
      </c>
      <c r="K770" s="1" t="s">
        <v>23</v>
      </c>
      <c r="L770" s="1" t="b">
        <v>1</v>
      </c>
    </row>
    <row r="771" spans="1:12" x14ac:dyDescent="0.3">
      <c r="A771" s="1" t="s">
        <v>1297</v>
      </c>
      <c r="B771" s="1" t="s">
        <v>25</v>
      </c>
      <c r="C771" s="1" t="s">
        <v>122</v>
      </c>
      <c r="D771" s="1">
        <v>40</v>
      </c>
      <c r="E771" s="1" t="s">
        <v>146</v>
      </c>
      <c r="F771" s="1" t="s">
        <v>28</v>
      </c>
      <c r="G771" s="1" t="s">
        <v>79</v>
      </c>
      <c r="H771" s="1">
        <v>117267.63</v>
      </c>
      <c r="I771" s="1" t="s">
        <v>182</v>
      </c>
      <c r="J771" s="1">
        <v>-9269326572</v>
      </c>
      <c r="K771" s="1" t="s">
        <v>30</v>
      </c>
      <c r="L771" s="1" t="b">
        <v>0</v>
      </c>
    </row>
    <row r="772" spans="1:12" x14ac:dyDescent="0.3">
      <c r="A772" s="1" t="s">
        <v>1298</v>
      </c>
      <c r="B772" s="1" t="s">
        <v>54</v>
      </c>
      <c r="C772" s="1" t="s">
        <v>26</v>
      </c>
      <c r="D772" s="1">
        <v>25</v>
      </c>
      <c r="E772" s="1" t="s">
        <v>196</v>
      </c>
      <c r="F772" s="1" t="s">
        <v>16</v>
      </c>
      <c r="G772" s="1" t="s">
        <v>1299</v>
      </c>
      <c r="H772" s="1"/>
      <c r="I772" s="1" t="s">
        <v>120</v>
      </c>
      <c r="J772" s="1">
        <v>-2759980110</v>
      </c>
      <c r="K772" s="1" t="s">
        <v>23</v>
      </c>
      <c r="L772" s="1" t="b">
        <v>1</v>
      </c>
    </row>
    <row r="773" spans="1:12" x14ac:dyDescent="0.3">
      <c r="A773" s="1" t="s">
        <v>1300</v>
      </c>
      <c r="B773" s="1" t="s">
        <v>65</v>
      </c>
      <c r="C773" s="1" t="s">
        <v>26</v>
      </c>
      <c r="D773" s="1">
        <v>40</v>
      </c>
      <c r="E773" s="1" t="s">
        <v>44</v>
      </c>
      <c r="F773" s="1" t="s">
        <v>28</v>
      </c>
      <c r="G773" s="2">
        <v>45638</v>
      </c>
      <c r="H773" s="1">
        <v>84542.68</v>
      </c>
      <c r="I773" s="1" t="s">
        <v>319</v>
      </c>
      <c r="J773" s="1">
        <v>-5155322</v>
      </c>
      <c r="K773" s="1" t="s">
        <v>30</v>
      </c>
      <c r="L773" s="1" t="b">
        <v>1</v>
      </c>
    </row>
    <row r="774" spans="1:12" x14ac:dyDescent="0.3">
      <c r="A774" s="1" t="s">
        <v>1301</v>
      </c>
      <c r="B774" s="1" t="s">
        <v>65</v>
      </c>
      <c r="C774" s="1" t="s">
        <v>122</v>
      </c>
      <c r="D774" s="1">
        <v>40</v>
      </c>
      <c r="E774" s="1" t="s">
        <v>112</v>
      </c>
      <c r="F774" s="1" t="s">
        <v>16</v>
      </c>
      <c r="G774" s="1" t="s">
        <v>895</v>
      </c>
      <c r="H774" s="1">
        <v>92007.15</v>
      </c>
      <c r="I774" s="1" t="s">
        <v>366</v>
      </c>
      <c r="J774" s="1">
        <v>-4159597751</v>
      </c>
      <c r="K774" s="1" t="s">
        <v>18</v>
      </c>
      <c r="L774" s="1" t="b">
        <v>1</v>
      </c>
    </row>
    <row r="775" spans="1:12" x14ac:dyDescent="0.3">
      <c r="A775" s="1" t="s">
        <v>1302</v>
      </c>
      <c r="B775" s="1" t="s">
        <v>32</v>
      </c>
      <c r="C775" s="1" t="s">
        <v>20</v>
      </c>
      <c r="D775" s="1"/>
      <c r="E775" s="1" t="s">
        <v>78</v>
      </c>
      <c r="F775" s="1" t="s">
        <v>16</v>
      </c>
      <c r="G775" s="2">
        <v>44108</v>
      </c>
      <c r="H775" s="1">
        <v>62938.8</v>
      </c>
      <c r="I775" s="1" t="s">
        <v>155</v>
      </c>
      <c r="J775" s="1">
        <v>-4418222617</v>
      </c>
      <c r="K775" s="1" t="s">
        <v>18</v>
      </c>
      <c r="L775" s="1" t="b">
        <v>0</v>
      </c>
    </row>
    <row r="776" spans="1:12" x14ac:dyDescent="0.3">
      <c r="A776" s="1" t="s">
        <v>1303</v>
      </c>
      <c r="B776" s="1" t="s">
        <v>37</v>
      </c>
      <c r="C776" s="1" t="s">
        <v>55</v>
      </c>
      <c r="D776" s="1">
        <v>25</v>
      </c>
      <c r="E776" s="1" t="s">
        <v>103</v>
      </c>
      <c r="F776" s="1" t="s">
        <v>28</v>
      </c>
      <c r="G776" s="1" t="s">
        <v>400</v>
      </c>
      <c r="H776" s="1">
        <v>108661.01</v>
      </c>
      <c r="I776" s="1" t="s">
        <v>271</v>
      </c>
      <c r="J776" s="1">
        <v>-9628874311</v>
      </c>
      <c r="K776" s="1" t="s">
        <v>41</v>
      </c>
      <c r="L776" s="1" t="b">
        <v>0</v>
      </c>
    </row>
    <row r="777" spans="1:12" x14ac:dyDescent="0.3">
      <c r="A777" s="1" t="s">
        <v>1304</v>
      </c>
      <c r="B777" s="1" t="s">
        <v>13</v>
      </c>
      <c r="C777" s="1" t="s">
        <v>26</v>
      </c>
      <c r="D777" s="1">
        <v>25</v>
      </c>
      <c r="E777" s="1" t="s">
        <v>39</v>
      </c>
      <c r="F777" s="1" t="s">
        <v>16</v>
      </c>
      <c r="G777" s="1" t="s">
        <v>1305</v>
      </c>
      <c r="H777" s="1">
        <v>97046.33</v>
      </c>
      <c r="I777" s="1" t="s">
        <v>50</v>
      </c>
      <c r="J777" s="1">
        <v>-7102676719</v>
      </c>
      <c r="K777" s="1" t="s">
        <v>30</v>
      </c>
      <c r="L777" s="1" t="b">
        <v>0</v>
      </c>
    </row>
    <row r="778" spans="1:12" x14ac:dyDescent="0.3">
      <c r="A778" s="1" t="s">
        <v>1306</v>
      </c>
      <c r="B778" s="1" t="s">
        <v>54</v>
      </c>
      <c r="C778" s="1" t="s">
        <v>122</v>
      </c>
      <c r="D778" s="1">
        <v>40</v>
      </c>
      <c r="E778" s="1" t="s">
        <v>78</v>
      </c>
      <c r="F778" s="1" t="s">
        <v>33</v>
      </c>
      <c r="G778" s="1" t="s">
        <v>1307</v>
      </c>
      <c r="H778" s="1">
        <v>56518.84</v>
      </c>
      <c r="I778" s="1" t="s">
        <v>194</v>
      </c>
      <c r="J778" s="1">
        <v>-9579927078</v>
      </c>
      <c r="K778" s="1" t="s">
        <v>18</v>
      </c>
      <c r="L778" s="1" t="b">
        <v>0</v>
      </c>
    </row>
    <row r="779" spans="1:12" x14ac:dyDescent="0.3">
      <c r="A779" s="1" t="s">
        <v>1308</v>
      </c>
      <c r="B779" s="1" t="s">
        <v>37</v>
      </c>
      <c r="C779" s="1" t="s">
        <v>43</v>
      </c>
      <c r="D779" s="1">
        <v>40</v>
      </c>
      <c r="E779" s="1" t="s">
        <v>39</v>
      </c>
      <c r="F779" s="1" t="s">
        <v>28</v>
      </c>
      <c r="G779" s="2">
        <v>44170</v>
      </c>
      <c r="H779" s="1">
        <v>70498.289999999994</v>
      </c>
      <c r="I779" s="1" t="s">
        <v>180</v>
      </c>
      <c r="J779" s="1">
        <v>-5515122945</v>
      </c>
      <c r="K779" s="1" t="s">
        <v>30</v>
      </c>
      <c r="L779" s="1" t="b">
        <v>1</v>
      </c>
    </row>
    <row r="780" spans="1:12" x14ac:dyDescent="0.3">
      <c r="A780" s="1" t="s">
        <v>1309</v>
      </c>
      <c r="B780" s="1" t="s">
        <v>32</v>
      </c>
      <c r="C780" s="1" t="s">
        <v>43</v>
      </c>
      <c r="D780" s="1">
        <v>35</v>
      </c>
      <c r="E780" s="1" t="s">
        <v>74</v>
      </c>
      <c r="F780" s="1" t="s">
        <v>28</v>
      </c>
      <c r="G780" s="2">
        <v>44319</v>
      </c>
      <c r="H780" s="1">
        <v>98708.06</v>
      </c>
      <c r="I780" s="1" t="s">
        <v>296</v>
      </c>
      <c r="J780" s="1">
        <v>-2135415969</v>
      </c>
      <c r="K780" s="1" t="s">
        <v>18</v>
      </c>
      <c r="L780" s="1" t="b">
        <v>1</v>
      </c>
    </row>
    <row r="781" spans="1:12" x14ac:dyDescent="0.3">
      <c r="A781" s="1" t="s">
        <v>1310</v>
      </c>
      <c r="B781" s="1" t="s">
        <v>13</v>
      </c>
      <c r="C781" s="1" t="s">
        <v>38</v>
      </c>
      <c r="D781" s="1"/>
      <c r="E781" s="1" t="s">
        <v>328</v>
      </c>
      <c r="F781" s="1" t="s">
        <v>28</v>
      </c>
      <c r="G781" s="1" t="s">
        <v>506</v>
      </c>
      <c r="H781" s="1">
        <v>83856.41</v>
      </c>
      <c r="I781" s="1" t="s">
        <v>144</v>
      </c>
      <c r="J781" s="1">
        <v>-9962543847</v>
      </c>
      <c r="K781" s="1" t="s">
        <v>23</v>
      </c>
      <c r="L781" s="1" t="b">
        <v>0</v>
      </c>
    </row>
    <row r="782" spans="1:12" x14ac:dyDescent="0.3">
      <c r="A782" s="1" t="s">
        <v>1311</v>
      </c>
      <c r="B782" s="1" t="s">
        <v>32</v>
      </c>
      <c r="C782" s="1" t="s">
        <v>122</v>
      </c>
      <c r="D782" s="1">
        <v>40</v>
      </c>
      <c r="E782" s="1" t="s">
        <v>177</v>
      </c>
      <c r="F782" s="1" t="s">
        <v>33</v>
      </c>
      <c r="G782" s="2">
        <v>44907</v>
      </c>
      <c r="H782" s="1">
        <v>90259.99</v>
      </c>
      <c r="I782" s="1" t="s">
        <v>521</v>
      </c>
      <c r="J782" s="1">
        <v>-752034475</v>
      </c>
      <c r="K782" s="1" t="s">
        <v>18</v>
      </c>
      <c r="L782" s="1" t="b">
        <v>0</v>
      </c>
    </row>
    <row r="783" spans="1:12" x14ac:dyDescent="0.3">
      <c r="A783" s="1" t="s">
        <v>1312</v>
      </c>
      <c r="B783" s="1" t="s">
        <v>54</v>
      </c>
      <c r="C783" s="1" t="s">
        <v>38</v>
      </c>
      <c r="D783" s="1"/>
      <c r="E783" s="1" t="s">
        <v>74</v>
      </c>
      <c r="F783" s="1" t="s">
        <v>28</v>
      </c>
      <c r="G783" s="2">
        <v>45324</v>
      </c>
      <c r="H783" s="1">
        <v>94230.03</v>
      </c>
      <c r="I783" s="1" t="s">
        <v>90</v>
      </c>
      <c r="J783" s="1">
        <v>-5047158028</v>
      </c>
      <c r="K783" s="1" t="s">
        <v>23</v>
      </c>
      <c r="L783" s="1" t="b">
        <v>1</v>
      </c>
    </row>
    <row r="784" spans="1:12" x14ac:dyDescent="0.3">
      <c r="A784" s="1" t="s">
        <v>1313</v>
      </c>
      <c r="B784" s="1" t="s">
        <v>54</v>
      </c>
      <c r="C784" s="1" t="s">
        <v>43</v>
      </c>
      <c r="D784" s="1"/>
      <c r="E784" s="1" t="s">
        <v>27</v>
      </c>
      <c r="F784" s="1" t="s">
        <v>33</v>
      </c>
      <c r="G784" s="1" t="s">
        <v>1035</v>
      </c>
      <c r="H784" s="1">
        <v>50110.66</v>
      </c>
      <c r="I784" s="1" t="s">
        <v>87</v>
      </c>
      <c r="J784" s="1">
        <v>-904637659</v>
      </c>
      <c r="K784" s="1" t="s">
        <v>18</v>
      </c>
      <c r="L784" s="1" t="b">
        <v>1</v>
      </c>
    </row>
    <row r="785" spans="1:12" x14ac:dyDescent="0.3">
      <c r="A785" s="1" t="s">
        <v>1314</v>
      </c>
      <c r="B785" s="1" t="s">
        <v>13</v>
      </c>
      <c r="C785" s="1" t="s">
        <v>20</v>
      </c>
      <c r="D785" s="1">
        <v>30</v>
      </c>
      <c r="E785" s="1" t="s">
        <v>74</v>
      </c>
      <c r="F785" s="1" t="s">
        <v>33</v>
      </c>
      <c r="G785" s="2">
        <v>43894</v>
      </c>
      <c r="H785" s="1">
        <v>73365.460000000006</v>
      </c>
      <c r="I785" s="1" t="s">
        <v>22</v>
      </c>
      <c r="J785" s="1">
        <v>-4655866524</v>
      </c>
      <c r="K785" s="1" t="s">
        <v>41</v>
      </c>
      <c r="L785" s="1" t="b">
        <v>0</v>
      </c>
    </row>
    <row r="786" spans="1:12" x14ac:dyDescent="0.3">
      <c r="A786" s="1" t="s">
        <v>1315</v>
      </c>
      <c r="B786" s="1" t="s">
        <v>59</v>
      </c>
      <c r="C786" s="1" t="s">
        <v>55</v>
      </c>
      <c r="D786" s="1">
        <v>25</v>
      </c>
      <c r="E786" s="1" t="s">
        <v>56</v>
      </c>
      <c r="F786" s="1" t="s">
        <v>28</v>
      </c>
      <c r="G786" s="1" t="s">
        <v>1316</v>
      </c>
      <c r="H786" s="1">
        <v>67809.23</v>
      </c>
      <c r="I786" s="1" t="s">
        <v>217</v>
      </c>
      <c r="J786" s="1">
        <v>-4837441714</v>
      </c>
      <c r="K786" s="1" t="s">
        <v>23</v>
      </c>
      <c r="L786" s="1" t="b">
        <v>0</v>
      </c>
    </row>
    <row r="787" spans="1:12" x14ac:dyDescent="0.3">
      <c r="A787" s="1" t="s">
        <v>1317</v>
      </c>
      <c r="B787" s="1" t="s">
        <v>32</v>
      </c>
      <c r="C787" s="1" t="s">
        <v>122</v>
      </c>
      <c r="D787" s="1"/>
      <c r="E787" s="1" t="s">
        <v>177</v>
      </c>
      <c r="F787" s="1" t="s">
        <v>16</v>
      </c>
      <c r="G787" s="1" t="s">
        <v>412</v>
      </c>
      <c r="H787" s="1">
        <v>98008.51</v>
      </c>
      <c r="I787" s="1" t="s">
        <v>521</v>
      </c>
      <c r="J787" s="1">
        <v>-8102131250</v>
      </c>
      <c r="K787" s="1" t="s">
        <v>18</v>
      </c>
      <c r="L787" s="1" t="b">
        <v>0</v>
      </c>
    </row>
    <row r="788" spans="1:12" x14ac:dyDescent="0.3">
      <c r="A788" s="1" t="s">
        <v>1318</v>
      </c>
      <c r="B788" s="1" t="s">
        <v>25</v>
      </c>
      <c r="C788" s="1" t="s">
        <v>14</v>
      </c>
      <c r="D788" s="1">
        <v>30</v>
      </c>
      <c r="E788" s="1" t="s">
        <v>118</v>
      </c>
      <c r="F788" s="1" t="s">
        <v>33</v>
      </c>
      <c r="G788" s="2">
        <v>45179</v>
      </c>
      <c r="H788" s="1">
        <v>83537.58</v>
      </c>
      <c r="I788" s="1" t="s">
        <v>163</v>
      </c>
      <c r="J788" s="1">
        <v>-2931100590</v>
      </c>
      <c r="K788" s="1" t="s">
        <v>41</v>
      </c>
      <c r="L788" s="1" t="b">
        <v>0</v>
      </c>
    </row>
    <row r="789" spans="1:12" x14ac:dyDescent="0.3">
      <c r="A789" s="1" t="s">
        <v>1319</v>
      </c>
      <c r="B789" s="1" t="s">
        <v>25</v>
      </c>
      <c r="C789" s="1" t="s">
        <v>43</v>
      </c>
      <c r="D789" s="1">
        <v>30</v>
      </c>
      <c r="E789" s="1" t="s">
        <v>227</v>
      </c>
      <c r="F789" s="1" t="s">
        <v>28</v>
      </c>
      <c r="G789" s="2">
        <v>44569</v>
      </c>
      <c r="H789" s="1">
        <v>112444.08</v>
      </c>
      <c r="I789" s="1" t="s">
        <v>45</v>
      </c>
      <c r="J789" s="1">
        <v>-2975191022</v>
      </c>
      <c r="K789" s="1" t="s">
        <v>23</v>
      </c>
      <c r="L789" s="1" t="b">
        <v>1</v>
      </c>
    </row>
    <row r="790" spans="1:12" x14ac:dyDescent="0.3">
      <c r="A790" s="1" t="s">
        <v>1320</v>
      </c>
      <c r="B790" s="1" t="s">
        <v>37</v>
      </c>
      <c r="C790" s="1" t="s">
        <v>43</v>
      </c>
      <c r="D790" s="1">
        <v>40</v>
      </c>
      <c r="E790" s="1" t="s">
        <v>100</v>
      </c>
      <c r="F790" s="1" t="s">
        <v>16</v>
      </c>
      <c r="G790" s="2">
        <v>45452</v>
      </c>
      <c r="H790" s="1">
        <v>86475.13</v>
      </c>
      <c r="I790" s="1" t="s">
        <v>180</v>
      </c>
      <c r="J790" s="1">
        <v>-1211063300</v>
      </c>
      <c r="K790" s="1" t="s">
        <v>41</v>
      </c>
      <c r="L790" s="1" t="b">
        <v>1</v>
      </c>
    </row>
    <row r="791" spans="1:12" x14ac:dyDescent="0.3">
      <c r="A791" s="1" t="s">
        <v>1321</v>
      </c>
      <c r="B791" s="1" t="s">
        <v>37</v>
      </c>
      <c r="C791" s="1" t="s">
        <v>14</v>
      </c>
      <c r="D791" s="1"/>
      <c r="E791" s="1" t="s">
        <v>44</v>
      </c>
      <c r="F791" s="1" t="s">
        <v>16</v>
      </c>
      <c r="G791" s="1" t="s">
        <v>1322</v>
      </c>
      <c r="H791" s="1">
        <v>97984.53</v>
      </c>
      <c r="I791" s="1" t="s">
        <v>52</v>
      </c>
      <c r="J791" s="1">
        <v>-6583737926</v>
      </c>
      <c r="K791" s="1" t="s">
        <v>30</v>
      </c>
      <c r="L791" s="1" t="b">
        <v>1</v>
      </c>
    </row>
    <row r="792" spans="1:12" x14ac:dyDescent="0.3">
      <c r="A792" s="1" t="s">
        <v>1323</v>
      </c>
      <c r="B792" s="1" t="s">
        <v>37</v>
      </c>
      <c r="C792" s="1" t="s">
        <v>92</v>
      </c>
      <c r="D792" s="1">
        <v>25</v>
      </c>
      <c r="E792" s="1" t="s">
        <v>118</v>
      </c>
      <c r="F792" s="1" t="s">
        <v>16</v>
      </c>
      <c r="G792" s="1" t="s">
        <v>1324</v>
      </c>
      <c r="H792" s="1">
        <v>118853.31</v>
      </c>
      <c r="I792" s="1" t="s">
        <v>110</v>
      </c>
      <c r="J792" s="1">
        <v>-4907280122</v>
      </c>
      <c r="K792" s="1" t="s">
        <v>30</v>
      </c>
      <c r="L792" s="1" t="b">
        <v>0</v>
      </c>
    </row>
    <row r="793" spans="1:12" x14ac:dyDescent="0.3">
      <c r="A793" s="1" t="s">
        <v>1325</v>
      </c>
      <c r="B793" s="1" t="s">
        <v>54</v>
      </c>
      <c r="C793" s="1" t="s">
        <v>43</v>
      </c>
      <c r="D793" s="1"/>
      <c r="E793" s="1" t="s">
        <v>74</v>
      </c>
      <c r="F793" s="1" t="s">
        <v>16</v>
      </c>
      <c r="G793" s="2">
        <v>44990</v>
      </c>
      <c r="H793" s="1">
        <v>58179.12</v>
      </c>
      <c r="I793" s="1" t="s">
        <v>87</v>
      </c>
      <c r="J793" s="1">
        <v>-4289311324</v>
      </c>
      <c r="K793" s="1" t="s">
        <v>23</v>
      </c>
      <c r="L793" s="1" t="b">
        <v>0</v>
      </c>
    </row>
    <row r="794" spans="1:12" x14ac:dyDescent="0.3">
      <c r="A794" s="1" t="s">
        <v>1326</v>
      </c>
      <c r="B794" s="1" t="s">
        <v>32</v>
      </c>
      <c r="C794" s="1" t="s">
        <v>26</v>
      </c>
      <c r="D794" s="1">
        <v>35</v>
      </c>
      <c r="E794" s="1" t="s">
        <v>237</v>
      </c>
      <c r="F794" s="1" t="s">
        <v>33</v>
      </c>
      <c r="G794" s="1" t="s">
        <v>1327</v>
      </c>
      <c r="H794" s="1">
        <v>56075.839999999997</v>
      </c>
      <c r="I794" s="1" t="s">
        <v>277</v>
      </c>
      <c r="J794" s="1">
        <v>-3269496842</v>
      </c>
      <c r="K794" s="1" t="s">
        <v>18</v>
      </c>
      <c r="L794" s="1" t="b">
        <v>1</v>
      </c>
    </row>
    <row r="795" spans="1:12" x14ac:dyDescent="0.3">
      <c r="A795" s="1" t="s">
        <v>1328</v>
      </c>
      <c r="B795" s="1" t="s">
        <v>37</v>
      </c>
      <c r="C795" s="1" t="s">
        <v>20</v>
      </c>
      <c r="D795" s="1">
        <v>40</v>
      </c>
      <c r="E795" s="1" t="s">
        <v>66</v>
      </c>
      <c r="F795" s="1" t="s">
        <v>28</v>
      </c>
      <c r="G795" s="2">
        <v>44509</v>
      </c>
      <c r="H795" s="1">
        <v>62250.89</v>
      </c>
      <c r="I795" s="1" t="s">
        <v>239</v>
      </c>
      <c r="J795" s="1">
        <v>-6453804420</v>
      </c>
      <c r="K795" s="1" t="s">
        <v>23</v>
      </c>
      <c r="L795" s="1" t="b">
        <v>1</v>
      </c>
    </row>
    <row r="796" spans="1:12" x14ac:dyDescent="0.3">
      <c r="A796" s="1" t="s">
        <v>1329</v>
      </c>
      <c r="B796" s="1" t="s">
        <v>25</v>
      </c>
      <c r="C796" s="1" t="s">
        <v>122</v>
      </c>
      <c r="D796" s="1">
        <v>30</v>
      </c>
      <c r="E796" s="1" t="s">
        <v>39</v>
      </c>
      <c r="F796" s="1" t="s">
        <v>28</v>
      </c>
      <c r="G796" s="1" t="s">
        <v>1290</v>
      </c>
      <c r="H796" s="1">
        <v>105931.77</v>
      </c>
      <c r="I796" s="1" t="s">
        <v>182</v>
      </c>
      <c r="J796" s="1">
        <v>-175096169</v>
      </c>
      <c r="K796" s="1" t="s">
        <v>41</v>
      </c>
      <c r="L796" s="1" t="b">
        <v>1</v>
      </c>
    </row>
    <row r="797" spans="1:12" x14ac:dyDescent="0.3">
      <c r="A797" s="1" t="s">
        <v>1330</v>
      </c>
      <c r="B797" s="1" t="s">
        <v>54</v>
      </c>
      <c r="C797" s="1" t="s">
        <v>14</v>
      </c>
      <c r="D797" s="1">
        <v>30</v>
      </c>
      <c r="E797" s="1" t="s">
        <v>212</v>
      </c>
      <c r="F797" s="1" t="s">
        <v>28</v>
      </c>
      <c r="G797" s="1" t="s">
        <v>1331</v>
      </c>
      <c r="H797" s="1">
        <v>86653.96</v>
      </c>
      <c r="I797" s="1" t="s">
        <v>170</v>
      </c>
      <c r="J797" s="1">
        <v>-1595919456</v>
      </c>
      <c r="K797" s="1" t="s">
        <v>18</v>
      </c>
      <c r="L797" s="1" t="b">
        <v>1</v>
      </c>
    </row>
    <row r="798" spans="1:12" x14ac:dyDescent="0.3">
      <c r="A798" s="1" t="s">
        <v>1332</v>
      </c>
      <c r="B798" s="1" t="s">
        <v>54</v>
      </c>
      <c r="C798" s="1" t="s">
        <v>26</v>
      </c>
      <c r="D798" s="1">
        <v>25</v>
      </c>
      <c r="E798" s="1" t="s">
        <v>219</v>
      </c>
      <c r="F798" s="1" t="s">
        <v>16</v>
      </c>
      <c r="G798" s="1" t="s">
        <v>1084</v>
      </c>
      <c r="H798" s="1">
        <v>100719.94</v>
      </c>
      <c r="I798" s="1" t="s">
        <v>120</v>
      </c>
      <c r="J798" s="1">
        <v>-5757475832</v>
      </c>
      <c r="K798" s="1" t="s">
        <v>30</v>
      </c>
      <c r="L798" s="1" t="b">
        <v>0</v>
      </c>
    </row>
    <row r="799" spans="1:12" x14ac:dyDescent="0.3">
      <c r="A799" s="1" t="s">
        <v>1333</v>
      </c>
      <c r="B799" s="1" t="s">
        <v>13</v>
      </c>
      <c r="C799" s="1" t="s">
        <v>14</v>
      </c>
      <c r="D799" s="1">
        <v>25</v>
      </c>
      <c r="E799" s="1" t="s">
        <v>139</v>
      </c>
      <c r="F799" s="1" t="s">
        <v>28</v>
      </c>
      <c r="G799" s="2">
        <v>45332</v>
      </c>
      <c r="H799" s="1">
        <v>91600.13</v>
      </c>
      <c r="I799" s="1" t="s">
        <v>17</v>
      </c>
      <c r="J799" s="1">
        <v>-9205677566</v>
      </c>
      <c r="K799" s="1" t="s">
        <v>18</v>
      </c>
      <c r="L799" s="1" t="b">
        <v>1</v>
      </c>
    </row>
    <row r="800" spans="1:12" x14ac:dyDescent="0.3">
      <c r="A800" s="1" t="s">
        <v>1334</v>
      </c>
      <c r="B800" s="1" t="s">
        <v>65</v>
      </c>
      <c r="C800" s="1" t="s">
        <v>122</v>
      </c>
      <c r="D800" s="1">
        <v>25</v>
      </c>
      <c r="E800" s="1" t="s">
        <v>95</v>
      </c>
      <c r="F800" s="1" t="s">
        <v>28</v>
      </c>
      <c r="G800" s="2">
        <v>45446</v>
      </c>
      <c r="H800" s="1">
        <v>71873.66</v>
      </c>
      <c r="I800" s="1" t="s">
        <v>366</v>
      </c>
      <c r="J800" s="1">
        <v>-7722660255</v>
      </c>
      <c r="K800" s="1" t="s">
        <v>30</v>
      </c>
      <c r="L800" s="1" t="b">
        <v>1</v>
      </c>
    </row>
    <row r="801" spans="1:12" x14ac:dyDescent="0.3">
      <c r="A801" s="1" t="s">
        <v>1335</v>
      </c>
      <c r="B801" s="1" t="s">
        <v>32</v>
      </c>
      <c r="C801" s="1" t="s">
        <v>38</v>
      </c>
      <c r="D801" s="1">
        <v>30</v>
      </c>
      <c r="E801" s="1" t="s">
        <v>66</v>
      </c>
      <c r="F801" s="1" t="s">
        <v>16</v>
      </c>
      <c r="G801" s="2">
        <v>44447</v>
      </c>
      <c r="H801" s="1">
        <v>69365.47</v>
      </c>
      <c r="I801" s="1" t="s">
        <v>141</v>
      </c>
      <c r="J801" s="1">
        <v>-2650622922</v>
      </c>
      <c r="K801" s="1" t="s">
        <v>18</v>
      </c>
      <c r="L801" s="1" t="b">
        <v>1</v>
      </c>
    </row>
    <row r="802" spans="1:12" x14ac:dyDescent="0.3">
      <c r="A802" s="1" t="s">
        <v>1336</v>
      </c>
      <c r="B802" s="1" t="s">
        <v>65</v>
      </c>
      <c r="C802" s="1" t="s">
        <v>122</v>
      </c>
      <c r="D802" s="1">
        <v>25</v>
      </c>
      <c r="E802" s="1" t="s">
        <v>66</v>
      </c>
      <c r="F802" s="1" t="s">
        <v>16</v>
      </c>
      <c r="G802" s="1" t="s">
        <v>983</v>
      </c>
      <c r="H802" s="1">
        <v>58012.23</v>
      </c>
      <c r="I802" s="1" t="s">
        <v>366</v>
      </c>
      <c r="J802" s="1">
        <v>-1067245306</v>
      </c>
      <c r="K802" s="1" t="s">
        <v>18</v>
      </c>
      <c r="L802" s="1" t="b">
        <v>1</v>
      </c>
    </row>
    <row r="803" spans="1:12" x14ac:dyDescent="0.3">
      <c r="A803" s="1" t="s">
        <v>1337</v>
      </c>
      <c r="B803" s="1" t="s">
        <v>13</v>
      </c>
      <c r="C803" s="1" t="s">
        <v>92</v>
      </c>
      <c r="D803" s="1">
        <v>30</v>
      </c>
      <c r="E803" s="1" t="s">
        <v>177</v>
      </c>
      <c r="F803" s="1" t="s">
        <v>28</v>
      </c>
      <c r="G803" s="1" t="s">
        <v>464</v>
      </c>
      <c r="H803" s="1">
        <v>68973.649999999994</v>
      </c>
      <c r="I803" s="1" t="s">
        <v>93</v>
      </c>
      <c r="J803" s="1">
        <v>-6248433796</v>
      </c>
      <c r="K803" s="1" t="s">
        <v>18</v>
      </c>
      <c r="L803" s="1" t="b">
        <v>1</v>
      </c>
    </row>
    <row r="804" spans="1:12" x14ac:dyDescent="0.3">
      <c r="A804" s="1" t="s">
        <v>1338</v>
      </c>
      <c r="B804" s="1" t="s">
        <v>32</v>
      </c>
      <c r="C804" s="1" t="s">
        <v>122</v>
      </c>
      <c r="D804" s="1"/>
      <c r="E804" s="1" t="s">
        <v>196</v>
      </c>
      <c r="F804" s="1" t="s">
        <v>16</v>
      </c>
      <c r="G804" s="1" t="s">
        <v>884</v>
      </c>
      <c r="H804" s="1">
        <v>92928.4</v>
      </c>
      <c r="I804" s="1" t="s">
        <v>521</v>
      </c>
      <c r="J804" s="1">
        <v>-6627051156</v>
      </c>
      <c r="K804" s="1" t="s">
        <v>41</v>
      </c>
      <c r="L804" s="1" t="b">
        <v>1</v>
      </c>
    </row>
    <row r="805" spans="1:12" x14ac:dyDescent="0.3">
      <c r="A805" s="1" t="s">
        <v>1339</v>
      </c>
      <c r="B805" s="1" t="s">
        <v>65</v>
      </c>
      <c r="C805" s="1" t="s">
        <v>122</v>
      </c>
      <c r="D805" s="1">
        <v>25</v>
      </c>
      <c r="E805" s="1" t="s">
        <v>103</v>
      </c>
      <c r="F805" s="1" t="s">
        <v>33</v>
      </c>
      <c r="G805" s="1" t="s">
        <v>1340</v>
      </c>
      <c r="H805" s="1">
        <v>53531.92</v>
      </c>
      <c r="I805" s="1" t="s">
        <v>366</v>
      </c>
      <c r="J805" s="1">
        <v>-9423873669</v>
      </c>
      <c r="K805" s="1" t="s">
        <v>41</v>
      </c>
      <c r="L805" s="1" t="b">
        <v>1</v>
      </c>
    </row>
    <row r="806" spans="1:12" x14ac:dyDescent="0.3">
      <c r="A806" s="1" t="s">
        <v>1341</v>
      </c>
      <c r="B806" s="1" t="s">
        <v>13</v>
      </c>
      <c r="C806" s="1" t="s">
        <v>92</v>
      </c>
      <c r="D806" s="1">
        <v>40</v>
      </c>
      <c r="E806" s="1" t="s">
        <v>227</v>
      </c>
      <c r="F806" s="1" t="s">
        <v>28</v>
      </c>
      <c r="G806" s="2">
        <v>45051</v>
      </c>
      <c r="H806" s="1">
        <v>112389.31</v>
      </c>
      <c r="I806" s="1" t="s">
        <v>93</v>
      </c>
      <c r="J806" s="1">
        <v>-4254969191</v>
      </c>
      <c r="K806" s="1" t="s">
        <v>23</v>
      </c>
      <c r="L806" s="1" t="b">
        <v>0</v>
      </c>
    </row>
    <row r="807" spans="1:12" x14ac:dyDescent="0.3">
      <c r="A807" s="1" t="s">
        <v>1342</v>
      </c>
      <c r="B807" s="1" t="s">
        <v>65</v>
      </c>
      <c r="C807" s="1" t="s">
        <v>20</v>
      </c>
      <c r="D807" s="1"/>
      <c r="E807" s="1" t="s">
        <v>146</v>
      </c>
      <c r="F807" s="1" t="s">
        <v>33</v>
      </c>
      <c r="G807" s="2">
        <v>45299</v>
      </c>
      <c r="H807" s="1">
        <v>63870.3</v>
      </c>
      <c r="I807" s="1" t="s">
        <v>403</v>
      </c>
      <c r="J807" s="1">
        <v>-8455259709</v>
      </c>
      <c r="K807" s="1" t="s">
        <v>23</v>
      </c>
      <c r="L807" s="1" t="b">
        <v>0</v>
      </c>
    </row>
    <row r="808" spans="1:12" x14ac:dyDescent="0.3">
      <c r="A808" s="1" t="s">
        <v>1343</v>
      </c>
      <c r="B808" s="1" t="s">
        <v>13</v>
      </c>
      <c r="C808" s="1" t="s">
        <v>43</v>
      </c>
      <c r="D808" s="1">
        <v>40</v>
      </c>
      <c r="E808" s="1" t="s">
        <v>109</v>
      </c>
      <c r="F808" s="1" t="s">
        <v>16</v>
      </c>
      <c r="G808" s="1" t="s">
        <v>1344</v>
      </c>
      <c r="H808" s="1">
        <v>106164.53</v>
      </c>
      <c r="I808" s="1" t="s">
        <v>153</v>
      </c>
      <c r="J808" s="1">
        <v>-7563353573</v>
      </c>
      <c r="K808" s="1" t="s">
        <v>30</v>
      </c>
      <c r="L808" s="1" t="b">
        <v>0</v>
      </c>
    </row>
    <row r="809" spans="1:12" x14ac:dyDescent="0.3">
      <c r="A809" s="1" t="s">
        <v>1345</v>
      </c>
      <c r="B809" s="1" t="s">
        <v>13</v>
      </c>
      <c r="C809" s="1" t="s">
        <v>122</v>
      </c>
      <c r="D809" s="1">
        <v>40</v>
      </c>
      <c r="E809" s="1" t="s">
        <v>149</v>
      </c>
      <c r="F809" s="1" t="s">
        <v>28</v>
      </c>
      <c r="G809" s="1" t="s">
        <v>718</v>
      </c>
      <c r="H809" s="1">
        <v>103654.54</v>
      </c>
      <c r="I809" s="1" t="s">
        <v>123</v>
      </c>
      <c r="J809" s="1">
        <v>-8595325938</v>
      </c>
      <c r="K809" s="1" t="s">
        <v>41</v>
      </c>
      <c r="L809" s="1" t="b">
        <v>0</v>
      </c>
    </row>
    <row r="810" spans="1:12" x14ac:dyDescent="0.3">
      <c r="A810" s="1" t="s">
        <v>1346</v>
      </c>
      <c r="B810" s="1" t="s">
        <v>59</v>
      </c>
      <c r="C810" s="1" t="s">
        <v>92</v>
      </c>
      <c r="D810" s="1">
        <v>30</v>
      </c>
      <c r="E810" s="1" t="s">
        <v>177</v>
      </c>
      <c r="F810" s="1" t="s">
        <v>33</v>
      </c>
      <c r="G810" s="1" t="s">
        <v>1347</v>
      </c>
      <c r="H810" s="1">
        <v>62834.720000000001</v>
      </c>
      <c r="I810" s="1" t="s">
        <v>107</v>
      </c>
      <c r="J810" s="1">
        <v>-9337970580</v>
      </c>
      <c r="K810" s="1" t="s">
        <v>30</v>
      </c>
      <c r="L810" s="1" t="b">
        <v>1</v>
      </c>
    </row>
    <row r="811" spans="1:12" x14ac:dyDescent="0.3">
      <c r="A811" s="1" t="s">
        <v>1348</v>
      </c>
      <c r="B811" s="1" t="s">
        <v>37</v>
      </c>
      <c r="C811" s="1" t="s">
        <v>26</v>
      </c>
      <c r="D811" s="1">
        <v>35</v>
      </c>
      <c r="E811" s="1" t="s">
        <v>112</v>
      </c>
      <c r="F811" s="1" t="s">
        <v>16</v>
      </c>
      <c r="G811" s="1" t="s">
        <v>1349</v>
      </c>
      <c r="H811" s="1">
        <v>83273.41</v>
      </c>
      <c r="I811" s="1" t="s">
        <v>47</v>
      </c>
      <c r="J811" s="1">
        <v>-6295187793</v>
      </c>
      <c r="K811" s="1" t="s">
        <v>23</v>
      </c>
      <c r="L811" s="1" t="b">
        <v>0</v>
      </c>
    </row>
    <row r="812" spans="1:12" x14ac:dyDescent="0.3">
      <c r="A812" s="1" t="s">
        <v>1350</v>
      </c>
      <c r="B812" s="1" t="s">
        <v>65</v>
      </c>
      <c r="C812" s="1" t="s">
        <v>38</v>
      </c>
      <c r="D812" s="1">
        <v>30</v>
      </c>
      <c r="E812" s="1" t="s">
        <v>146</v>
      </c>
      <c r="F812" s="1" t="s">
        <v>28</v>
      </c>
      <c r="G812" s="1" t="s">
        <v>1351</v>
      </c>
      <c r="H812" s="1">
        <v>58917.58</v>
      </c>
      <c r="I812" s="1" t="s">
        <v>67</v>
      </c>
      <c r="J812" s="1">
        <v>-1763425072</v>
      </c>
      <c r="K812" s="1" t="s">
        <v>30</v>
      </c>
      <c r="L812" s="1" t="b">
        <v>0</v>
      </c>
    </row>
    <row r="813" spans="1:12" x14ac:dyDescent="0.3">
      <c r="A813" s="1" t="s">
        <v>1352</v>
      </c>
      <c r="B813" s="1" t="s">
        <v>13</v>
      </c>
      <c r="C813" s="1" t="s">
        <v>38</v>
      </c>
      <c r="D813" s="1">
        <v>35</v>
      </c>
      <c r="E813" s="1" t="s">
        <v>219</v>
      </c>
      <c r="F813" s="1" t="s">
        <v>16</v>
      </c>
      <c r="G813" s="2">
        <v>45571</v>
      </c>
      <c r="H813" s="1">
        <v>71148.27</v>
      </c>
      <c r="I813" s="1" t="s">
        <v>144</v>
      </c>
      <c r="J813" s="1">
        <v>-3055978244</v>
      </c>
      <c r="K813" s="1" t="s">
        <v>23</v>
      </c>
      <c r="L813" s="1" t="b">
        <v>1</v>
      </c>
    </row>
    <row r="814" spans="1:12" x14ac:dyDescent="0.3">
      <c r="A814" s="1" t="s">
        <v>1353</v>
      </c>
      <c r="B814" s="1" t="s">
        <v>69</v>
      </c>
      <c r="C814" s="1" t="s">
        <v>122</v>
      </c>
      <c r="D814" s="1">
        <v>30</v>
      </c>
      <c r="E814" s="1" t="s">
        <v>109</v>
      </c>
      <c r="F814" s="1" t="s">
        <v>28</v>
      </c>
      <c r="G814" s="1" t="s">
        <v>1354</v>
      </c>
      <c r="H814" s="1">
        <v>118172.42</v>
      </c>
      <c r="I814" s="1" t="s">
        <v>135</v>
      </c>
      <c r="J814" s="1">
        <v>-7598339913</v>
      </c>
      <c r="K814" s="1" t="s">
        <v>41</v>
      </c>
      <c r="L814" s="1" t="b">
        <v>1</v>
      </c>
    </row>
    <row r="815" spans="1:12" x14ac:dyDescent="0.3">
      <c r="A815" s="1" t="s">
        <v>1355</v>
      </c>
      <c r="B815" s="1" t="s">
        <v>37</v>
      </c>
      <c r="C815" s="1" t="s">
        <v>20</v>
      </c>
      <c r="D815" s="1">
        <v>30</v>
      </c>
      <c r="E815" s="1" t="s">
        <v>78</v>
      </c>
      <c r="F815" s="1" t="s">
        <v>33</v>
      </c>
      <c r="G815" s="1" t="s">
        <v>994</v>
      </c>
      <c r="H815" s="1">
        <v>118614.37</v>
      </c>
      <c r="I815" s="1" t="s">
        <v>239</v>
      </c>
      <c r="J815" s="1">
        <v>-388436603</v>
      </c>
      <c r="K815" s="1" t="s">
        <v>18</v>
      </c>
      <c r="L815" s="1" t="b">
        <v>0</v>
      </c>
    </row>
    <row r="816" spans="1:12" x14ac:dyDescent="0.3">
      <c r="A816" s="1" t="s">
        <v>1356</v>
      </c>
      <c r="B816" s="1" t="s">
        <v>37</v>
      </c>
      <c r="C816" s="1" t="s">
        <v>20</v>
      </c>
      <c r="D816" s="1"/>
      <c r="E816" s="1" t="s">
        <v>56</v>
      </c>
      <c r="F816" s="1" t="s">
        <v>16</v>
      </c>
      <c r="G816" s="1" t="s">
        <v>1357</v>
      </c>
      <c r="H816" s="1">
        <v>96872.36</v>
      </c>
      <c r="I816" s="1" t="s">
        <v>239</v>
      </c>
      <c r="J816" s="1">
        <v>-4324006156</v>
      </c>
      <c r="K816" s="1" t="s">
        <v>41</v>
      </c>
      <c r="L816" s="1" t="b">
        <v>0</v>
      </c>
    </row>
    <row r="817" spans="1:12" x14ac:dyDescent="0.3">
      <c r="A817" s="1" t="s">
        <v>1358</v>
      </c>
      <c r="B817" s="1" t="s">
        <v>65</v>
      </c>
      <c r="C817" s="1" t="s">
        <v>26</v>
      </c>
      <c r="D817" s="1">
        <v>25</v>
      </c>
      <c r="E817" s="1" t="s">
        <v>98</v>
      </c>
      <c r="F817" s="1" t="s">
        <v>33</v>
      </c>
      <c r="G817" s="1" t="s">
        <v>1359</v>
      </c>
      <c r="H817" s="1">
        <v>88856.14</v>
      </c>
      <c r="I817" s="1" t="s">
        <v>319</v>
      </c>
      <c r="J817" s="1">
        <v>-2768297513</v>
      </c>
      <c r="K817" s="1" t="s">
        <v>30</v>
      </c>
      <c r="L817" s="1" t="b">
        <v>1</v>
      </c>
    </row>
    <row r="818" spans="1:12" x14ac:dyDescent="0.3">
      <c r="A818" s="1" t="s">
        <v>1360</v>
      </c>
      <c r="B818" s="1" t="s">
        <v>54</v>
      </c>
      <c r="C818" s="1" t="s">
        <v>122</v>
      </c>
      <c r="D818" s="1">
        <v>35</v>
      </c>
      <c r="E818" s="1" t="s">
        <v>21</v>
      </c>
      <c r="F818" s="1" t="s">
        <v>28</v>
      </c>
      <c r="G818" s="2">
        <v>44112</v>
      </c>
      <c r="H818" s="1">
        <v>97985.61</v>
      </c>
      <c r="I818" s="1" t="s">
        <v>194</v>
      </c>
      <c r="J818" s="1">
        <v>-7439742924</v>
      </c>
      <c r="K818" s="1" t="s">
        <v>30</v>
      </c>
      <c r="L818" s="1" t="b">
        <v>0</v>
      </c>
    </row>
    <row r="819" spans="1:12" x14ac:dyDescent="0.3">
      <c r="A819" s="1" t="s">
        <v>1361</v>
      </c>
      <c r="B819" s="1" t="s">
        <v>69</v>
      </c>
      <c r="C819" s="1" t="s">
        <v>38</v>
      </c>
      <c r="D819" s="1">
        <v>35</v>
      </c>
      <c r="E819" s="1" t="s">
        <v>100</v>
      </c>
      <c r="F819" s="1" t="s">
        <v>28</v>
      </c>
      <c r="G819" s="2">
        <v>43956</v>
      </c>
      <c r="H819" s="1">
        <v>56337.31</v>
      </c>
      <c r="I819" s="1" t="s">
        <v>71</v>
      </c>
      <c r="J819" s="1">
        <v>-105875255</v>
      </c>
      <c r="K819" s="1" t="s">
        <v>41</v>
      </c>
      <c r="L819" s="1" t="b">
        <v>1</v>
      </c>
    </row>
    <row r="820" spans="1:12" x14ac:dyDescent="0.3">
      <c r="A820" s="1" t="s">
        <v>1362</v>
      </c>
      <c r="B820" s="1" t="s">
        <v>25</v>
      </c>
      <c r="C820" s="1" t="s">
        <v>20</v>
      </c>
      <c r="D820" s="1">
        <v>30</v>
      </c>
      <c r="E820" s="1" t="s">
        <v>56</v>
      </c>
      <c r="F820" s="1" t="s">
        <v>33</v>
      </c>
      <c r="G820" s="1" t="s">
        <v>1363</v>
      </c>
      <c r="H820" s="1">
        <v>70405.23</v>
      </c>
      <c r="I820" s="1" t="s">
        <v>80</v>
      </c>
      <c r="J820" s="1">
        <v>-8065625903</v>
      </c>
      <c r="K820" s="1" t="s">
        <v>41</v>
      </c>
      <c r="L820" s="1" t="b">
        <v>1</v>
      </c>
    </row>
    <row r="821" spans="1:12" x14ac:dyDescent="0.3">
      <c r="A821" s="1" t="s">
        <v>1364</v>
      </c>
      <c r="B821" s="1" t="s">
        <v>65</v>
      </c>
      <c r="C821" s="1" t="s">
        <v>122</v>
      </c>
      <c r="D821" s="1">
        <v>30</v>
      </c>
      <c r="E821" s="1" t="s">
        <v>27</v>
      </c>
      <c r="F821" s="1" t="s">
        <v>33</v>
      </c>
      <c r="G821" s="2">
        <v>44325</v>
      </c>
      <c r="H821" s="1">
        <v>89919.35</v>
      </c>
      <c r="I821" s="1" t="s">
        <v>366</v>
      </c>
      <c r="J821" s="1">
        <v>-5990802710</v>
      </c>
      <c r="K821" s="1" t="s">
        <v>23</v>
      </c>
      <c r="L821" s="1" t="b">
        <v>1</v>
      </c>
    </row>
    <row r="822" spans="1:12" x14ac:dyDescent="0.3">
      <c r="A822" s="1" t="s">
        <v>1365</v>
      </c>
      <c r="B822" s="1" t="s">
        <v>32</v>
      </c>
      <c r="C822" s="1" t="s">
        <v>14</v>
      </c>
      <c r="D822" s="1">
        <v>40</v>
      </c>
      <c r="E822" s="1" t="s">
        <v>15</v>
      </c>
      <c r="F822" s="1" t="s">
        <v>16</v>
      </c>
      <c r="G822" s="2">
        <v>45142</v>
      </c>
      <c r="H822" s="1">
        <v>50568.35</v>
      </c>
      <c r="I822" s="1" t="s">
        <v>35</v>
      </c>
      <c r="J822" s="1">
        <v>-2218231554</v>
      </c>
      <c r="K822" s="1" t="s">
        <v>30</v>
      </c>
      <c r="L822" s="1" t="b">
        <v>1</v>
      </c>
    </row>
    <row r="823" spans="1:12" x14ac:dyDescent="0.3">
      <c r="A823" s="1" t="s">
        <v>1366</v>
      </c>
      <c r="B823" s="1" t="s">
        <v>69</v>
      </c>
      <c r="C823" s="1" t="s">
        <v>20</v>
      </c>
      <c r="D823" s="1">
        <v>30</v>
      </c>
      <c r="E823" s="1" t="s">
        <v>139</v>
      </c>
      <c r="F823" s="1" t="s">
        <v>33</v>
      </c>
      <c r="G823" s="1" t="s">
        <v>1367</v>
      </c>
      <c r="H823" s="1"/>
      <c r="I823" s="1" t="s">
        <v>201</v>
      </c>
      <c r="J823" s="1">
        <v>-1651768085</v>
      </c>
      <c r="K823" s="1" t="s">
        <v>30</v>
      </c>
      <c r="L823" s="1" t="b">
        <v>0</v>
      </c>
    </row>
    <row r="824" spans="1:12" x14ac:dyDescent="0.3">
      <c r="A824" s="1" t="s">
        <v>1368</v>
      </c>
      <c r="B824" s="1" t="s">
        <v>37</v>
      </c>
      <c r="C824" s="1" t="s">
        <v>92</v>
      </c>
      <c r="D824" s="1">
        <v>25</v>
      </c>
      <c r="E824" s="1" t="s">
        <v>139</v>
      </c>
      <c r="F824" s="1" t="s">
        <v>16</v>
      </c>
      <c r="G824" s="2">
        <v>44626</v>
      </c>
      <c r="H824" s="1">
        <v>99155.53</v>
      </c>
      <c r="I824" s="1" t="s">
        <v>110</v>
      </c>
      <c r="J824" s="1">
        <v>-6281372142</v>
      </c>
      <c r="K824" s="1" t="s">
        <v>41</v>
      </c>
      <c r="L824" s="1" t="b">
        <v>1</v>
      </c>
    </row>
    <row r="825" spans="1:12" x14ac:dyDescent="0.3">
      <c r="A825" s="1" t="s">
        <v>1369</v>
      </c>
      <c r="B825" s="1" t="s">
        <v>37</v>
      </c>
      <c r="C825" s="1" t="s">
        <v>14</v>
      </c>
      <c r="D825" s="1">
        <v>40</v>
      </c>
      <c r="E825" s="1" t="s">
        <v>112</v>
      </c>
      <c r="F825" s="1" t="s">
        <v>33</v>
      </c>
      <c r="G825" s="1" t="s">
        <v>1370</v>
      </c>
      <c r="H825" s="1">
        <v>64785.13</v>
      </c>
      <c r="I825" s="1" t="s">
        <v>52</v>
      </c>
      <c r="J825" s="1">
        <v>-3080037002</v>
      </c>
      <c r="K825" s="1" t="s">
        <v>18</v>
      </c>
      <c r="L825" s="1" t="b">
        <v>1</v>
      </c>
    </row>
    <row r="826" spans="1:12" x14ac:dyDescent="0.3">
      <c r="A826" s="1" t="s">
        <v>1371</v>
      </c>
      <c r="B826" s="1" t="s">
        <v>54</v>
      </c>
      <c r="C826" s="1" t="s">
        <v>43</v>
      </c>
      <c r="D826" s="1">
        <v>30</v>
      </c>
      <c r="E826" s="1" t="s">
        <v>74</v>
      </c>
      <c r="F826" s="1" t="s">
        <v>33</v>
      </c>
      <c r="G826" s="1" t="s">
        <v>210</v>
      </c>
      <c r="H826" s="1">
        <v>79206.48</v>
      </c>
      <c r="I826" s="1" t="s">
        <v>87</v>
      </c>
      <c r="J826" s="1">
        <v>-3228556607</v>
      </c>
      <c r="K826" s="1" t="s">
        <v>30</v>
      </c>
      <c r="L826" s="1" t="b">
        <v>0</v>
      </c>
    </row>
    <row r="827" spans="1:12" x14ac:dyDescent="0.3">
      <c r="A827" s="1" t="s">
        <v>1372</v>
      </c>
      <c r="B827" s="1" t="s">
        <v>54</v>
      </c>
      <c r="C827" s="1" t="s">
        <v>20</v>
      </c>
      <c r="D827" s="1">
        <v>30</v>
      </c>
      <c r="E827" s="1" t="s">
        <v>159</v>
      </c>
      <c r="F827" s="1" t="s">
        <v>28</v>
      </c>
      <c r="G827" s="2">
        <v>43863</v>
      </c>
      <c r="H827" s="1">
        <v>60079.71</v>
      </c>
      <c r="I827" s="1" t="s">
        <v>125</v>
      </c>
      <c r="J827" s="1">
        <v>-4706810389</v>
      </c>
      <c r="K827" s="1" t="s">
        <v>18</v>
      </c>
      <c r="L827" s="1" t="b">
        <v>1</v>
      </c>
    </row>
    <row r="828" spans="1:12" x14ac:dyDescent="0.3">
      <c r="A828" s="1" t="s">
        <v>1373</v>
      </c>
      <c r="B828" s="1" t="s">
        <v>69</v>
      </c>
      <c r="C828" s="1" t="s">
        <v>38</v>
      </c>
      <c r="D828" s="1">
        <v>30</v>
      </c>
      <c r="E828" s="1" t="s">
        <v>60</v>
      </c>
      <c r="F828" s="1" t="s">
        <v>28</v>
      </c>
      <c r="G828" s="2">
        <v>45511</v>
      </c>
      <c r="H828" s="1">
        <v>79109.88</v>
      </c>
      <c r="I828" s="1" t="s">
        <v>71</v>
      </c>
      <c r="J828" s="1">
        <v>-3397051957</v>
      </c>
      <c r="K828" s="1" t="s">
        <v>41</v>
      </c>
      <c r="L828" s="1" t="b">
        <v>0</v>
      </c>
    </row>
    <row r="829" spans="1:12" x14ac:dyDescent="0.3">
      <c r="A829" s="1" t="s">
        <v>1374</v>
      </c>
      <c r="B829" s="1" t="s">
        <v>69</v>
      </c>
      <c r="C829" s="1" t="s">
        <v>55</v>
      </c>
      <c r="D829" s="1"/>
      <c r="E829" s="1" t="s">
        <v>205</v>
      </c>
      <c r="F829" s="1" t="s">
        <v>28</v>
      </c>
      <c r="G829" s="1" t="s">
        <v>1375</v>
      </c>
      <c r="H829" s="1">
        <v>88643.5</v>
      </c>
      <c r="I829" s="1" t="s">
        <v>127</v>
      </c>
      <c r="J829" s="1">
        <v>-2632809447</v>
      </c>
      <c r="K829" s="1" t="s">
        <v>41</v>
      </c>
      <c r="L829" s="1" t="b">
        <v>0</v>
      </c>
    </row>
    <row r="830" spans="1:12" x14ac:dyDescent="0.3">
      <c r="A830" s="1" t="s">
        <v>1376</v>
      </c>
      <c r="B830" s="1" t="s">
        <v>37</v>
      </c>
      <c r="C830" s="1" t="s">
        <v>14</v>
      </c>
      <c r="D830" s="1">
        <v>30</v>
      </c>
      <c r="E830" s="1" t="s">
        <v>205</v>
      </c>
      <c r="F830" s="1" t="s">
        <v>28</v>
      </c>
      <c r="G830" s="1" t="s">
        <v>1377</v>
      </c>
      <c r="H830" s="1">
        <v>90455.7</v>
      </c>
      <c r="I830" s="1" t="s">
        <v>52</v>
      </c>
      <c r="J830" s="1">
        <v>-5862394534</v>
      </c>
      <c r="K830" s="1" t="s">
        <v>23</v>
      </c>
      <c r="L830" s="1" t="b">
        <v>0</v>
      </c>
    </row>
    <row r="831" spans="1:12" x14ac:dyDescent="0.3">
      <c r="A831" s="1" t="s">
        <v>1378</v>
      </c>
      <c r="B831" s="1" t="s">
        <v>59</v>
      </c>
      <c r="C831" s="1" t="s">
        <v>43</v>
      </c>
      <c r="D831" s="1"/>
      <c r="E831" s="1" t="s">
        <v>212</v>
      </c>
      <c r="F831" s="1" t="s">
        <v>28</v>
      </c>
      <c r="G831" s="1" t="s">
        <v>1379</v>
      </c>
      <c r="H831" s="1">
        <v>75687.899999999994</v>
      </c>
      <c r="I831" s="1" t="s">
        <v>101</v>
      </c>
      <c r="J831" s="1">
        <v>-4614707985</v>
      </c>
      <c r="K831" s="1" t="s">
        <v>30</v>
      </c>
      <c r="L831" s="1" t="b">
        <v>1</v>
      </c>
    </row>
    <row r="832" spans="1:12" x14ac:dyDescent="0.3">
      <c r="A832" s="1" t="s">
        <v>1380</v>
      </c>
      <c r="B832" s="1" t="s">
        <v>65</v>
      </c>
      <c r="C832" s="1" t="s">
        <v>26</v>
      </c>
      <c r="D832" s="1">
        <v>35</v>
      </c>
      <c r="E832" s="1" t="s">
        <v>95</v>
      </c>
      <c r="F832" s="1" t="s">
        <v>33</v>
      </c>
      <c r="G832" s="1" t="s">
        <v>266</v>
      </c>
      <c r="H832" s="1">
        <v>55604.42</v>
      </c>
      <c r="I832" s="1" t="s">
        <v>319</v>
      </c>
      <c r="J832" s="1">
        <v>-3210613393</v>
      </c>
      <c r="K832" s="1" t="s">
        <v>18</v>
      </c>
      <c r="L832" s="1" t="b">
        <v>0</v>
      </c>
    </row>
    <row r="833" spans="1:12" x14ac:dyDescent="0.3">
      <c r="A833" s="1" t="s">
        <v>1381</v>
      </c>
      <c r="B833" s="1" t="s">
        <v>32</v>
      </c>
      <c r="C833" s="1" t="s">
        <v>26</v>
      </c>
      <c r="D833" s="1">
        <v>40</v>
      </c>
      <c r="E833" s="1" t="s">
        <v>44</v>
      </c>
      <c r="F833" s="1" t="s">
        <v>28</v>
      </c>
      <c r="G833" s="1" t="s">
        <v>1205</v>
      </c>
      <c r="H833" s="1">
        <v>92704.94</v>
      </c>
      <c r="I833" s="1" t="s">
        <v>277</v>
      </c>
      <c r="J833" s="1">
        <v>-3945703942</v>
      </c>
      <c r="K833" s="1" t="s">
        <v>23</v>
      </c>
      <c r="L833" s="1" t="b">
        <v>0</v>
      </c>
    </row>
    <row r="834" spans="1:12" x14ac:dyDescent="0.3">
      <c r="A834" s="1" t="s">
        <v>1382</v>
      </c>
      <c r="B834" s="1" t="s">
        <v>13</v>
      </c>
      <c r="C834" s="1" t="s">
        <v>38</v>
      </c>
      <c r="D834" s="1"/>
      <c r="E834" s="1" t="s">
        <v>177</v>
      </c>
      <c r="F834" s="1" t="s">
        <v>28</v>
      </c>
      <c r="G834" s="1" t="s">
        <v>1249</v>
      </c>
      <c r="H834" s="1">
        <v>113250.97</v>
      </c>
      <c r="I834" s="1" t="s">
        <v>144</v>
      </c>
      <c r="J834" s="1">
        <v>-8040325375</v>
      </c>
      <c r="K834" s="1" t="s">
        <v>30</v>
      </c>
      <c r="L834" s="1" t="b">
        <v>1</v>
      </c>
    </row>
    <row r="835" spans="1:12" x14ac:dyDescent="0.3">
      <c r="A835" s="1" t="s">
        <v>1383</v>
      </c>
      <c r="B835" s="1" t="s">
        <v>25</v>
      </c>
      <c r="C835" s="1" t="s">
        <v>20</v>
      </c>
      <c r="D835" s="1">
        <v>40</v>
      </c>
      <c r="E835" s="1" t="s">
        <v>265</v>
      </c>
      <c r="F835" s="1" t="s">
        <v>33</v>
      </c>
      <c r="G835" s="1" t="s">
        <v>1384</v>
      </c>
      <c r="H835" s="1">
        <v>101367.02</v>
      </c>
      <c r="I835" s="1" t="s">
        <v>80</v>
      </c>
      <c r="J835" s="1">
        <v>-5769277893</v>
      </c>
      <c r="K835" s="1" t="s">
        <v>23</v>
      </c>
      <c r="L835" s="1" t="b">
        <v>0</v>
      </c>
    </row>
    <row r="836" spans="1:12" x14ac:dyDescent="0.3">
      <c r="A836" s="1" t="s">
        <v>1385</v>
      </c>
      <c r="B836" s="1" t="s">
        <v>32</v>
      </c>
      <c r="C836" s="1" t="s">
        <v>122</v>
      </c>
      <c r="D836" s="1">
        <v>35</v>
      </c>
      <c r="E836" s="1" t="s">
        <v>103</v>
      </c>
      <c r="F836" s="1" t="s">
        <v>28</v>
      </c>
      <c r="G836" s="2">
        <v>45143</v>
      </c>
      <c r="H836" s="1">
        <v>102459.77</v>
      </c>
      <c r="I836" s="1" t="s">
        <v>521</v>
      </c>
      <c r="J836" s="1">
        <v>-3191009003</v>
      </c>
      <c r="K836" s="1" t="s">
        <v>41</v>
      </c>
      <c r="L836" s="1" t="b">
        <v>0</v>
      </c>
    </row>
    <row r="837" spans="1:12" x14ac:dyDescent="0.3">
      <c r="A837" s="1" t="s">
        <v>1386</v>
      </c>
      <c r="B837" s="1" t="s">
        <v>32</v>
      </c>
      <c r="C837" s="1" t="s">
        <v>20</v>
      </c>
      <c r="D837" s="1">
        <v>25</v>
      </c>
      <c r="E837" s="1" t="s">
        <v>230</v>
      </c>
      <c r="F837" s="1" t="s">
        <v>28</v>
      </c>
      <c r="G837" s="2">
        <v>44177</v>
      </c>
      <c r="H837" s="1">
        <v>90100.2</v>
      </c>
      <c r="I837" s="1" t="s">
        <v>155</v>
      </c>
      <c r="J837" s="1">
        <v>-476921052</v>
      </c>
      <c r="K837" s="1" t="s">
        <v>30</v>
      </c>
      <c r="L837" s="1" t="b">
        <v>0</v>
      </c>
    </row>
    <row r="838" spans="1:12" x14ac:dyDescent="0.3">
      <c r="A838" s="1" t="s">
        <v>1387</v>
      </c>
      <c r="B838" s="1" t="s">
        <v>32</v>
      </c>
      <c r="C838" s="1" t="s">
        <v>38</v>
      </c>
      <c r="D838" s="1"/>
      <c r="E838" s="1" t="s">
        <v>268</v>
      </c>
      <c r="F838" s="1" t="s">
        <v>33</v>
      </c>
      <c r="G838" s="1" t="s">
        <v>1388</v>
      </c>
      <c r="H838" s="1">
        <v>58877.49</v>
      </c>
      <c r="I838" s="1" t="s">
        <v>141</v>
      </c>
      <c r="J838" s="1">
        <v>-3651460400</v>
      </c>
      <c r="K838" s="1" t="s">
        <v>23</v>
      </c>
      <c r="L838" s="1" t="b">
        <v>0</v>
      </c>
    </row>
    <row r="839" spans="1:12" x14ac:dyDescent="0.3">
      <c r="A839" s="1" t="s">
        <v>1389</v>
      </c>
      <c r="B839" s="1" t="s">
        <v>32</v>
      </c>
      <c r="C839" s="1" t="s">
        <v>26</v>
      </c>
      <c r="D839" s="1">
        <v>35</v>
      </c>
      <c r="E839" s="1" t="s">
        <v>89</v>
      </c>
      <c r="F839" s="1" t="s">
        <v>33</v>
      </c>
      <c r="G839" s="1" t="s">
        <v>1390</v>
      </c>
      <c r="H839" s="1"/>
      <c r="I839" s="1" t="s">
        <v>277</v>
      </c>
      <c r="J839" s="1">
        <v>-4247310719</v>
      </c>
      <c r="K839" s="1" t="s">
        <v>23</v>
      </c>
      <c r="L839" s="1" t="b">
        <v>0</v>
      </c>
    </row>
    <row r="840" spans="1:12" x14ac:dyDescent="0.3">
      <c r="A840" s="1" t="s">
        <v>1391</v>
      </c>
      <c r="B840" s="1" t="s">
        <v>13</v>
      </c>
      <c r="C840" s="1" t="s">
        <v>20</v>
      </c>
      <c r="D840" s="1"/>
      <c r="E840" s="1" t="s">
        <v>89</v>
      </c>
      <c r="F840" s="1" t="s">
        <v>28</v>
      </c>
      <c r="G840" s="2">
        <v>43962</v>
      </c>
      <c r="H840" s="1">
        <v>96140.89</v>
      </c>
      <c r="I840" s="1" t="s">
        <v>22</v>
      </c>
      <c r="J840" s="1">
        <v>-1137984408</v>
      </c>
      <c r="K840" s="1" t="s">
        <v>18</v>
      </c>
      <c r="L840" s="1" t="b">
        <v>1</v>
      </c>
    </row>
    <row r="841" spans="1:12" x14ac:dyDescent="0.3">
      <c r="A841" s="1" t="s">
        <v>1392</v>
      </c>
      <c r="B841" s="1" t="s">
        <v>54</v>
      </c>
      <c r="C841" s="1" t="s">
        <v>26</v>
      </c>
      <c r="D841" s="1">
        <v>35</v>
      </c>
      <c r="E841" s="1" t="s">
        <v>56</v>
      </c>
      <c r="F841" s="1" t="s">
        <v>33</v>
      </c>
      <c r="G841" s="2">
        <v>44317</v>
      </c>
      <c r="H841" s="1">
        <v>105956.04</v>
      </c>
      <c r="I841" s="1" t="s">
        <v>120</v>
      </c>
      <c r="J841" s="1">
        <v>-7123166006</v>
      </c>
      <c r="K841" s="1" t="s">
        <v>23</v>
      </c>
      <c r="L841" s="1" t="b">
        <v>0</v>
      </c>
    </row>
    <row r="842" spans="1:12" x14ac:dyDescent="0.3">
      <c r="A842" s="1" t="s">
        <v>1393</v>
      </c>
      <c r="B842" s="1" t="s">
        <v>37</v>
      </c>
      <c r="C842" s="1" t="s">
        <v>14</v>
      </c>
      <c r="D842" s="1">
        <v>25</v>
      </c>
      <c r="E842" s="1" t="s">
        <v>89</v>
      </c>
      <c r="F842" s="1" t="s">
        <v>16</v>
      </c>
      <c r="G842" s="2">
        <v>45605</v>
      </c>
      <c r="H842" s="1">
        <v>84716.38</v>
      </c>
      <c r="I842" s="1" t="s">
        <v>52</v>
      </c>
      <c r="J842" s="1">
        <v>-6762090143</v>
      </c>
      <c r="K842" s="1" t="s">
        <v>30</v>
      </c>
      <c r="L842" s="1" t="b">
        <v>0</v>
      </c>
    </row>
    <row r="843" spans="1:12" x14ac:dyDescent="0.3">
      <c r="A843" s="1" t="s">
        <v>1394</v>
      </c>
      <c r="B843" s="1" t="s">
        <v>69</v>
      </c>
      <c r="C843" s="1" t="s">
        <v>43</v>
      </c>
      <c r="D843" s="1">
        <v>30</v>
      </c>
      <c r="E843" s="1" t="s">
        <v>230</v>
      </c>
      <c r="F843" s="1" t="s">
        <v>28</v>
      </c>
      <c r="G843" s="1" t="s">
        <v>792</v>
      </c>
      <c r="H843" s="1">
        <v>61709.83</v>
      </c>
      <c r="I843" s="1" t="s">
        <v>83</v>
      </c>
      <c r="J843" s="1">
        <v>-7340433699</v>
      </c>
      <c r="K843" s="1" t="s">
        <v>30</v>
      </c>
      <c r="L843" s="1" t="b">
        <v>1</v>
      </c>
    </row>
    <row r="844" spans="1:12" x14ac:dyDescent="0.3">
      <c r="A844" s="1" t="s">
        <v>1395</v>
      </c>
      <c r="B844" s="1" t="s">
        <v>37</v>
      </c>
      <c r="C844" s="1" t="s">
        <v>122</v>
      </c>
      <c r="D844" s="1">
        <v>25</v>
      </c>
      <c r="E844" s="1" t="s">
        <v>15</v>
      </c>
      <c r="F844" s="1" t="s">
        <v>16</v>
      </c>
      <c r="G844" s="1" t="s">
        <v>1396</v>
      </c>
      <c r="H844" s="1">
        <v>61732.03</v>
      </c>
      <c r="I844" s="1" t="s">
        <v>137</v>
      </c>
      <c r="J844" s="1">
        <v>-9687304518</v>
      </c>
      <c r="K844" s="1" t="s">
        <v>18</v>
      </c>
      <c r="L844" s="1" t="b">
        <v>1</v>
      </c>
    </row>
    <row r="845" spans="1:12" x14ac:dyDescent="0.3">
      <c r="A845" s="1" t="s">
        <v>1397</v>
      </c>
      <c r="B845" s="1" t="s">
        <v>32</v>
      </c>
      <c r="C845" s="1" t="s">
        <v>14</v>
      </c>
      <c r="D845" s="1">
        <v>40</v>
      </c>
      <c r="E845" s="1" t="s">
        <v>78</v>
      </c>
      <c r="F845" s="1" t="s">
        <v>16</v>
      </c>
      <c r="G845" s="1" t="s">
        <v>1398</v>
      </c>
      <c r="H845" s="1">
        <v>97845.7</v>
      </c>
      <c r="I845" s="1" t="s">
        <v>35</v>
      </c>
      <c r="J845" s="1">
        <v>-5778255881</v>
      </c>
      <c r="K845" s="1" t="s">
        <v>30</v>
      </c>
      <c r="L845" s="1" t="b">
        <v>1</v>
      </c>
    </row>
    <row r="846" spans="1:12" x14ac:dyDescent="0.3">
      <c r="A846" s="1" t="s">
        <v>1399</v>
      </c>
      <c r="B846" s="1" t="s">
        <v>32</v>
      </c>
      <c r="C846" s="1" t="s">
        <v>26</v>
      </c>
      <c r="D846" s="1">
        <v>30</v>
      </c>
      <c r="E846" s="1" t="s">
        <v>74</v>
      </c>
      <c r="F846" s="1" t="s">
        <v>16</v>
      </c>
      <c r="G846" s="1" t="s">
        <v>1400</v>
      </c>
      <c r="H846" s="1">
        <v>114905.58</v>
      </c>
      <c r="I846" s="1" t="s">
        <v>277</v>
      </c>
      <c r="J846" s="1">
        <v>-5562965753</v>
      </c>
      <c r="K846" s="1" t="s">
        <v>41</v>
      </c>
      <c r="L846" s="1" t="b">
        <v>0</v>
      </c>
    </row>
    <row r="847" spans="1:12" x14ac:dyDescent="0.3">
      <c r="A847" s="1" t="s">
        <v>1401</v>
      </c>
      <c r="B847" s="1" t="s">
        <v>37</v>
      </c>
      <c r="C847" s="1" t="s">
        <v>26</v>
      </c>
      <c r="D847" s="1"/>
      <c r="E847" s="1" t="s">
        <v>237</v>
      </c>
      <c r="F847" s="1" t="s">
        <v>16</v>
      </c>
      <c r="G847" s="1" t="s">
        <v>1363</v>
      </c>
      <c r="H847" s="1">
        <v>94619.69</v>
      </c>
      <c r="I847" s="1" t="s">
        <v>47</v>
      </c>
      <c r="J847" s="1">
        <v>-2786561941</v>
      </c>
      <c r="K847" s="1" t="s">
        <v>30</v>
      </c>
      <c r="L847" s="1" t="b">
        <v>1</v>
      </c>
    </row>
    <row r="848" spans="1:12" x14ac:dyDescent="0.3">
      <c r="A848" s="1" t="s">
        <v>1402</v>
      </c>
      <c r="B848" s="1" t="s">
        <v>69</v>
      </c>
      <c r="C848" s="1" t="s">
        <v>55</v>
      </c>
      <c r="D848" s="1"/>
      <c r="E848" s="1" t="s">
        <v>15</v>
      </c>
      <c r="F848" s="1" t="s">
        <v>33</v>
      </c>
      <c r="G848" s="2">
        <v>44384</v>
      </c>
      <c r="H848" s="1">
        <v>68696.149999999994</v>
      </c>
      <c r="I848" s="1" t="s">
        <v>127</v>
      </c>
      <c r="J848" s="1">
        <v>-5577820581</v>
      </c>
      <c r="K848" s="1" t="s">
        <v>30</v>
      </c>
      <c r="L848" s="1" t="b">
        <v>0</v>
      </c>
    </row>
    <row r="849" spans="1:12" x14ac:dyDescent="0.3">
      <c r="A849" s="1" t="s">
        <v>1403</v>
      </c>
      <c r="B849" s="1" t="s">
        <v>69</v>
      </c>
      <c r="C849" s="1" t="s">
        <v>55</v>
      </c>
      <c r="D849" s="1">
        <v>40</v>
      </c>
      <c r="E849" s="1" t="s">
        <v>328</v>
      </c>
      <c r="F849" s="1" t="s">
        <v>16</v>
      </c>
      <c r="G849" s="2">
        <v>45628</v>
      </c>
      <c r="H849" s="1">
        <v>97032.29</v>
      </c>
      <c r="I849" s="1" t="s">
        <v>127</v>
      </c>
      <c r="J849" s="1">
        <v>-9582923615</v>
      </c>
      <c r="K849" s="1" t="s">
        <v>23</v>
      </c>
      <c r="L849" s="1" t="b">
        <v>0</v>
      </c>
    </row>
    <row r="850" spans="1:12" x14ac:dyDescent="0.3">
      <c r="A850" s="1" t="s">
        <v>1404</v>
      </c>
      <c r="B850" s="1" t="s">
        <v>37</v>
      </c>
      <c r="C850" s="1" t="s">
        <v>14</v>
      </c>
      <c r="D850" s="1">
        <v>30</v>
      </c>
      <c r="E850" s="1" t="s">
        <v>192</v>
      </c>
      <c r="F850" s="1" t="s">
        <v>16</v>
      </c>
      <c r="G850" s="2">
        <v>45179</v>
      </c>
      <c r="H850" s="1">
        <v>50593.33</v>
      </c>
      <c r="I850" s="1" t="s">
        <v>52</v>
      </c>
      <c r="J850" s="1">
        <v>-1880819047</v>
      </c>
      <c r="K850" s="1" t="s">
        <v>23</v>
      </c>
      <c r="L850" s="1" t="b">
        <v>1</v>
      </c>
    </row>
    <row r="851" spans="1:12" x14ac:dyDescent="0.3">
      <c r="A851" s="1" t="s">
        <v>1405</v>
      </c>
      <c r="B851" s="1" t="s">
        <v>69</v>
      </c>
      <c r="C851" s="1" t="s">
        <v>92</v>
      </c>
      <c r="D851" s="1">
        <v>25</v>
      </c>
      <c r="E851" s="1" t="s">
        <v>44</v>
      </c>
      <c r="F851" s="1" t="s">
        <v>28</v>
      </c>
      <c r="G851" s="2">
        <v>44599</v>
      </c>
      <c r="H851" s="1">
        <v>74606.149999999994</v>
      </c>
      <c r="I851" s="1" t="s">
        <v>168</v>
      </c>
      <c r="J851" s="1">
        <v>-2357155867</v>
      </c>
      <c r="K851" s="1" t="s">
        <v>30</v>
      </c>
      <c r="L851" s="1" t="b">
        <v>1</v>
      </c>
    </row>
    <row r="852" spans="1:12" x14ac:dyDescent="0.3">
      <c r="A852" s="1" t="s">
        <v>1406</v>
      </c>
      <c r="B852" s="1" t="s">
        <v>32</v>
      </c>
      <c r="C852" s="1" t="s">
        <v>14</v>
      </c>
      <c r="D852" s="1">
        <v>30</v>
      </c>
      <c r="E852" s="1" t="s">
        <v>159</v>
      </c>
      <c r="F852" s="1" t="s">
        <v>28</v>
      </c>
      <c r="G852" s="2">
        <v>44019</v>
      </c>
      <c r="H852" s="1">
        <v>53981.73</v>
      </c>
      <c r="I852" s="1" t="s">
        <v>35</v>
      </c>
      <c r="J852" s="1">
        <v>-6395613722</v>
      </c>
      <c r="K852" s="1" t="s">
        <v>18</v>
      </c>
      <c r="L852" s="1" t="b">
        <v>0</v>
      </c>
    </row>
    <row r="853" spans="1:12" x14ac:dyDescent="0.3">
      <c r="A853" s="1" t="s">
        <v>1407</v>
      </c>
      <c r="B853" s="1" t="s">
        <v>59</v>
      </c>
      <c r="C853" s="1" t="s">
        <v>55</v>
      </c>
      <c r="D853" s="1"/>
      <c r="E853" s="1" t="s">
        <v>237</v>
      </c>
      <c r="F853" s="1" t="s">
        <v>28</v>
      </c>
      <c r="G853" s="2">
        <v>43870</v>
      </c>
      <c r="H853" s="1">
        <v>56047.05</v>
      </c>
      <c r="I853" s="1" t="s">
        <v>217</v>
      </c>
      <c r="J853" s="1">
        <v>-817214363</v>
      </c>
      <c r="K853" s="1" t="s">
        <v>23</v>
      </c>
      <c r="L853" s="1" t="b">
        <v>1</v>
      </c>
    </row>
    <row r="854" spans="1:12" x14ac:dyDescent="0.3">
      <c r="A854" s="1" t="s">
        <v>1408</v>
      </c>
      <c r="B854" s="1" t="s">
        <v>69</v>
      </c>
      <c r="C854" s="1" t="s">
        <v>26</v>
      </c>
      <c r="D854" s="1"/>
      <c r="E854" s="1" t="s">
        <v>103</v>
      </c>
      <c r="F854" s="1" t="s">
        <v>28</v>
      </c>
      <c r="G854" s="2">
        <v>44531</v>
      </c>
      <c r="H854" s="1">
        <v>67733.5</v>
      </c>
      <c r="I854" s="1" t="s">
        <v>76</v>
      </c>
      <c r="J854" s="1">
        <v>-3813000412</v>
      </c>
      <c r="K854" s="1" t="s">
        <v>18</v>
      </c>
      <c r="L854" s="1" t="b">
        <v>0</v>
      </c>
    </row>
    <row r="855" spans="1:12" x14ac:dyDescent="0.3">
      <c r="A855" s="1" t="s">
        <v>1409</v>
      </c>
      <c r="B855" s="1" t="s">
        <v>13</v>
      </c>
      <c r="C855" s="1" t="s">
        <v>38</v>
      </c>
      <c r="D855" s="1">
        <v>40</v>
      </c>
      <c r="E855" s="1" t="s">
        <v>212</v>
      </c>
      <c r="F855" s="1" t="s">
        <v>28</v>
      </c>
      <c r="G855" s="1" t="s">
        <v>591</v>
      </c>
      <c r="H855" s="1">
        <v>103891.64</v>
      </c>
      <c r="I855" s="1" t="s">
        <v>144</v>
      </c>
      <c r="J855" s="1">
        <v>-2114716559</v>
      </c>
      <c r="K855" s="1" t="s">
        <v>30</v>
      </c>
      <c r="L855" s="1" t="b">
        <v>1</v>
      </c>
    </row>
    <row r="856" spans="1:12" x14ac:dyDescent="0.3">
      <c r="A856" s="1" t="s">
        <v>1410</v>
      </c>
      <c r="B856" s="1" t="s">
        <v>54</v>
      </c>
      <c r="C856" s="1" t="s">
        <v>14</v>
      </c>
      <c r="D856" s="1">
        <v>25</v>
      </c>
      <c r="E856" s="1" t="s">
        <v>139</v>
      </c>
      <c r="F856" s="1" t="s">
        <v>33</v>
      </c>
      <c r="G856" s="2">
        <v>44715</v>
      </c>
      <c r="H856" s="1">
        <v>73285.83</v>
      </c>
      <c r="I856" s="1" t="s">
        <v>170</v>
      </c>
      <c r="J856" s="1">
        <v>-9456534698</v>
      </c>
      <c r="K856" s="1" t="s">
        <v>30</v>
      </c>
      <c r="L856" s="1" t="b">
        <v>1</v>
      </c>
    </row>
    <row r="857" spans="1:12" x14ac:dyDescent="0.3">
      <c r="A857" s="1" t="s">
        <v>1411</v>
      </c>
      <c r="B857" s="1" t="s">
        <v>32</v>
      </c>
      <c r="C857" s="1" t="s">
        <v>26</v>
      </c>
      <c r="D857" s="1">
        <v>30</v>
      </c>
      <c r="E857" s="1" t="s">
        <v>21</v>
      </c>
      <c r="F857" s="1" t="s">
        <v>33</v>
      </c>
      <c r="G857" s="1" t="s">
        <v>1412</v>
      </c>
      <c r="H857" s="1">
        <v>92721.13</v>
      </c>
      <c r="I857" s="1" t="s">
        <v>277</v>
      </c>
      <c r="J857" s="1">
        <v>-7990707549</v>
      </c>
      <c r="K857" s="1" t="s">
        <v>41</v>
      </c>
      <c r="L857" s="1" t="b">
        <v>1</v>
      </c>
    </row>
    <row r="858" spans="1:12" x14ac:dyDescent="0.3">
      <c r="A858" s="1" t="s">
        <v>1413</v>
      </c>
      <c r="B858" s="1" t="s">
        <v>65</v>
      </c>
      <c r="C858" s="1" t="s">
        <v>38</v>
      </c>
      <c r="D858" s="1">
        <v>25</v>
      </c>
      <c r="E858" s="1" t="s">
        <v>89</v>
      </c>
      <c r="F858" s="1" t="s">
        <v>33</v>
      </c>
      <c r="G858" s="1" t="s">
        <v>648</v>
      </c>
      <c r="H858" s="1">
        <v>92977.64</v>
      </c>
      <c r="I858" s="1" t="s">
        <v>67</v>
      </c>
      <c r="J858" s="1">
        <v>-4768169956</v>
      </c>
      <c r="K858" s="1" t="s">
        <v>23</v>
      </c>
      <c r="L858" s="1" t="b">
        <v>0</v>
      </c>
    </row>
    <row r="859" spans="1:12" x14ac:dyDescent="0.3">
      <c r="A859" s="1" t="s">
        <v>1414</v>
      </c>
      <c r="B859" s="1" t="s">
        <v>65</v>
      </c>
      <c r="C859" s="1" t="s">
        <v>38</v>
      </c>
      <c r="D859" s="1">
        <v>35</v>
      </c>
      <c r="E859" s="1" t="s">
        <v>159</v>
      </c>
      <c r="F859" s="1" t="s">
        <v>16</v>
      </c>
      <c r="G859" s="1" t="s">
        <v>1415</v>
      </c>
      <c r="H859" s="1">
        <v>89994.12</v>
      </c>
      <c r="I859" s="1" t="s">
        <v>67</v>
      </c>
      <c r="J859" s="1">
        <v>-607174810</v>
      </c>
      <c r="K859" s="1" t="s">
        <v>30</v>
      </c>
      <c r="L859" s="1" t="b">
        <v>1</v>
      </c>
    </row>
    <row r="860" spans="1:12" x14ac:dyDescent="0.3">
      <c r="A860" s="1" t="s">
        <v>1416</v>
      </c>
      <c r="B860" s="1" t="s">
        <v>65</v>
      </c>
      <c r="C860" s="1" t="s">
        <v>55</v>
      </c>
      <c r="D860" s="1">
        <v>25</v>
      </c>
      <c r="E860" s="1" t="s">
        <v>227</v>
      </c>
      <c r="F860" s="1" t="s">
        <v>28</v>
      </c>
      <c r="G860" s="2">
        <v>45024</v>
      </c>
      <c r="H860" s="1">
        <v>50060.73</v>
      </c>
      <c r="I860" s="1" t="s">
        <v>113</v>
      </c>
      <c r="J860" s="1">
        <v>-3176539704</v>
      </c>
      <c r="K860" s="1" t="s">
        <v>41</v>
      </c>
      <c r="L860" s="1" t="b">
        <v>0</v>
      </c>
    </row>
    <row r="861" spans="1:12" x14ac:dyDescent="0.3">
      <c r="A861" s="1" t="s">
        <v>1417</v>
      </c>
      <c r="B861" s="1" t="s">
        <v>69</v>
      </c>
      <c r="C861" s="1" t="s">
        <v>14</v>
      </c>
      <c r="D861" s="1">
        <v>35</v>
      </c>
      <c r="E861" s="1" t="s">
        <v>27</v>
      </c>
      <c r="F861" s="1" t="s">
        <v>33</v>
      </c>
      <c r="G861" s="2">
        <v>44898</v>
      </c>
      <c r="H861" s="1">
        <v>90224.82</v>
      </c>
      <c r="I861" s="1" t="s">
        <v>235</v>
      </c>
      <c r="J861" s="1">
        <v>-4873961028</v>
      </c>
      <c r="K861" s="1" t="s">
        <v>23</v>
      </c>
      <c r="L861" s="1" t="b">
        <v>0</v>
      </c>
    </row>
    <row r="862" spans="1:12" x14ac:dyDescent="0.3">
      <c r="A862" s="1" t="s">
        <v>1418</v>
      </c>
      <c r="B862" s="1" t="s">
        <v>65</v>
      </c>
      <c r="C862" s="1" t="s">
        <v>20</v>
      </c>
      <c r="D862" s="1">
        <v>40</v>
      </c>
      <c r="E862" s="1" t="s">
        <v>112</v>
      </c>
      <c r="F862" s="1" t="s">
        <v>28</v>
      </c>
      <c r="G862" s="1" t="s">
        <v>1419</v>
      </c>
      <c r="H862" s="1">
        <v>106859.3</v>
      </c>
      <c r="I862" s="1" t="s">
        <v>403</v>
      </c>
      <c r="J862" s="1">
        <v>-871827495</v>
      </c>
      <c r="K862" s="1" t="s">
        <v>30</v>
      </c>
      <c r="L862" s="1" t="b">
        <v>0</v>
      </c>
    </row>
    <row r="863" spans="1:12" x14ac:dyDescent="0.3">
      <c r="A863" s="1" t="s">
        <v>1420</v>
      </c>
      <c r="B863" s="1" t="s">
        <v>59</v>
      </c>
      <c r="C863" s="1" t="s">
        <v>122</v>
      </c>
      <c r="D863" s="1">
        <v>25</v>
      </c>
      <c r="E863" s="1" t="s">
        <v>100</v>
      </c>
      <c r="F863" s="1" t="s">
        <v>33</v>
      </c>
      <c r="G863" s="2">
        <v>43960</v>
      </c>
      <c r="H863" s="1">
        <v>89707.07</v>
      </c>
      <c r="I863" s="1" t="s">
        <v>340</v>
      </c>
      <c r="J863" s="1">
        <v>-8049187273</v>
      </c>
      <c r="K863" s="1" t="s">
        <v>30</v>
      </c>
      <c r="L863" s="1" t="b">
        <v>0</v>
      </c>
    </row>
    <row r="864" spans="1:12" x14ac:dyDescent="0.3">
      <c r="A864" s="1" t="s">
        <v>1421</v>
      </c>
      <c r="B864" s="1" t="s">
        <v>37</v>
      </c>
      <c r="C864" s="1" t="s">
        <v>55</v>
      </c>
      <c r="D864" s="1">
        <v>35</v>
      </c>
      <c r="E864" s="1" t="s">
        <v>15</v>
      </c>
      <c r="F864" s="1" t="s">
        <v>33</v>
      </c>
      <c r="G864" s="1" t="s">
        <v>776</v>
      </c>
      <c r="H864" s="1">
        <v>94259.08</v>
      </c>
      <c r="I864" s="1" t="s">
        <v>271</v>
      </c>
      <c r="J864" s="1">
        <v>-2049561212</v>
      </c>
      <c r="K864" s="1" t="s">
        <v>23</v>
      </c>
      <c r="L864" s="1" t="b">
        <v>1</v>
      </c>
    </row>
    <row r="865" spans="1:12" x14ac:dyDescent="0.3">
      <c r="A865" s="1" t="s">
        <v>1422</v>
      </c>
      <c r="B865" s="1" t="s">
        <v>13</v>
      </c>
      <c r="C865" s="1" t="s">
        <v>55</v>
      </c>
      <c r="D865" s="1">
        <v>35</v>
      </c>
      <c r="E865" s="1" t="s">
        <v>177</v>
      </c>
      <c r="F865" s="1" t="s">
        <v>16</v>
      </c>
      <c r="G865" s="1" t="s">
        <v>1423</v>
      </c>
      <c r="H865" s="1">
        <v>82174.75</v>
      </c>
      <c r="I865" s="1" t="s">
        <v>199</v>
      </c>
      <c r="J865" s="1">
        <v>-7730626041</v>
      </c>
      <c r="K865" s="1" t="s">
        <v>23</v>
      </c>
      <c r="L865" s="1" t="b">
        <v>0</v>
      </c>
    </row>
    <row r="866" spans="1:12" x14ac:dyDescent="0.3">
      <c r="A866" s="1" t="s">
        <v>1424</v>
      </c>
      <c r="B866" s="1" t="s">
        <v>59</v>
      </c>
      <c r="C866" s="1" t="s">
        <v>20</v>
      </c>
      <c r="D866" s="1">
        <v>30</v>
      </c>
      <c r="E866" s="1" t="s">
        <v>44</v>
      </c>
      <c r="F866" s="1" t="s">
        <v>33</v>
      </c>
      <c r="G866" s="1" t="s">
        <v>490</v>
      </c>
      <c r="H866" s="1">
        <v>63370.22</v>
      </c>
      <c r="I866" s="1" t="s">
        <v>225</v>
      </c>
      <c r="J866" s="1">
        <v>-3597371121</v>
      </c>
      <c r="K866" s="1" t="s">
        <v>23</v>
      </c>
      <c r="L866" s="1" t="b">
        <v>0</v>
      </c>
    </row>
    <row r="867" spans="1:12" x14ac:dyDescent="0.3">
      <c r="A867" s="1" t="s">
        <v>1425</v>
      </c>
      <c r="B867" s="1" t="s">
        <v>13</v>
      </c>
      <c r="C867" s="1" t="s">
        <v>122</v>
      </c>
      <c r="D867" s="1">
        <v>35</v>
      </c>
      <c r="E867" s="1" t="s">
        <v>21</v>
      </c>
      <c r="F867" s="1" t="s">
        <v>28</v>
      </c>
      <c r="G867" s="1" t="s">
        <v>1426</v>
      </c>
      <c r="H867" s="1">
        <v>101472.69</v>
      </c>
      <c r="I867" s="1" t="s">
        <v>123</v>
      </c>
      <c r="J867" s="1">
        <v>-2990775607</v>
      </c>
      <c r="K867" s="1" t="s">
        <v>30</v>
      </c>
      <c r="L867" s="1" t="b">
        <v>1</v>
      </c>
    </row>
    <row r="868" spans="1:12" x14ac:dyDescent="0.3">
      <c r="A868" s="1" t="s">
        <v>1427</v>
      </c>
      <c r="B868" s="1" t="s">
        <v>59</v>
      </c>
      <c r="C868" s="1" t="s">
        <v>26</v>
      </c>
      <c r="D868" s="1">
        <v>25</v>
      </c>
      <c r="E868" s="1" t="s">
        <v>78</v>
      </c>
      <c r="F868" s="1" t="s">
        <v>16</v>
      </c>
      <c r="G868" s="1" t="s">
        <v>1428</v>
      </c>
      <c r="H868" s="1">
        <v>77213.73</v>
      </c>
      <c r="I868" s="1" t="s">
        <v>242</v>
      </c>
      <c r="J868" s="1">
        <v>-5816704685</v>
      </c>
      <c r="K868" s="1" t="s">
        <v>30</v>
      </c>
      <c r="L868" s="1" t="b">
        <v>0</v>
      </c>
    </row>
    <row r="869" spans="1:12" x14ac:dyDescent="0.3">
      <c r="A869" s="1" t="s">
        <v>1429</v>
      </c>
      <c r="B869" s="1" t="s">
        <v>32</v>
      </c>
      <c r="C869" s="1" t="s">
        <v>92</v>
      </c>
      <c r="D869" s="1">
        <v>40</v>
      </c>
      <c r="E869" s="1" t="s">
        <v>74</v>
      </c>
      <c r="F869" s="1" t="s">
        <v>16</v>
      </c>
      <c r="G869" s="1" t="s">
        <v>308</v>
      </c>
      <c r="H869" s="1">
        <v>73749.960000000006</v>
      </c>
      <c r="I869" s="1" t="s">
        <v>263</v>
      </c>
      <c r="J869" s="1">
        <v>-1114576831</v>
      </c>
      <c r="K869" s="1" t="s">
        <v>41</v>
      </c>
      <c r="L869" s="1" t="b">
        <v>1</v>
      </c>
    </row>
    <row r="870" spans="1:12" x14ac:dyDescent="0.3">
      <c r="A870" s="1" t="s">
        <v>1430</v>
      </c>
      <c r="B870" s="1" t="s">
        <v>25</v>
      </c>
      <c r="C870" s="1" t="s">
        <v>14</v>
      </c>
      <c r="D870" s="1">
        <v>40</v>
      </c>
      <c r="E870" s="1" t="s">
        <v>60</v>
      </c>
      <c r="F870" s="1" t="s">
        <v>28</v>
      </c>
      <c r="G870" s="1" t="s">
        <v>1431</v>
      </c>
      <c r="H870" s="1">
        <v>86618.37</v>
      </c>
      <c r="I870" s="1" t="s">
        <v>163</v>
      </c>
      <c r="J870" s="1">
        <v>-1021923784</v>
      </c>
      <c r="K870" s="1" t="s">
        <v>18</v>
      </c>
      <c r="L870" s="1" t="b">
        <v>0</v>
      </c>
    </row>
    <row r="871" spans="1:12" x14ac:dyDescent="0.3">
      <c r="A871" s="1" t="s">
        <v>1432</v>
      </c>
      <c r="B871" s="1" t="s">
        <v>54</v>
      </c>
      <c r="C871" s="1" t="s">
        <v>92</v>
      </c>
      <c r="D871" s="1"/>
      <c r="E871" s="1" t="s">
        <v>103</v>
      </c>
      <c r="F871" s="1" t="s">
        <v>16</v>
      </c>
      <c r="G871" s="1" t="s">
        <v>1116</v>
      </c>
      <c r="H871" s="1">
        <v>59911.33</v>
      </c>
      <c r="I871" s="1" t="s">
        <v>501</v>
      </c>
      <c r="J871" s="1">
        <v>-8471296179</v>
      </c>
      <c r="K871" s="1" t="s">
        <v>23</v>
      </c>
      <c r="L871" s="1" t="b">
        <v>1</v>
      </c>
    </row>
    <row r="872" spans="1:12" x14ac:dyDescent="0.3">
      <c r="A872" s="1" t="s">
        <v>1433</v>
      </c>
      <c r="B872" s="1" t="s">
        <v>65</v>
      </c>
      <c r="C872" s="1" t="s">
        <v>26</v>
      </c>
      <c r="D872" s="1"/>
      <c r="E872" s="1" t="s">
        <v>60</v>
      </c>
      <c r="F872" s="1" t="s">
        <v>28</v>
      </c>
      <c r="G872" s="1" t="s">
        <v>638</v>
      </c>
      <c r="H872" s="1">
        <v>59137.64</v>
      </c>
      <c r="I872" s="1" t="s">
        <v>319</v>
      </c>
      <c r="J872" s="1">
        <v>-3324260507</v>
      </c>
      <c r="K872" s="1" t="s">
        <v>30</v>
      </c>
      <c r="L872" s="1" t="b">
        <v>0</v>
      </c>
    </row>
    <row r="873" spans="1:12" x14ac:dyDescent="0.3">
      <c r="A873" s="1" t="s">
        <v>1434</v>
      </c>
      <c r="B873" s="1" t="s">
        <v>25</v>
      </c>
      <c r="C873" s="1" t="s">
        <v>43</v>
      </c>
      <c r="D873" s="1">
        <v>35</v>
      </c>
      <c r="E873" s="1" t="s">
        <v>39</v>
      </c>
      <c r="F873" s="1" t="s">
        <v>28</v>
      </c>
      <c r="G873" s="1" t="s">
        <v>949</v>
      </c>
      <c r="H873" s="1">
        <v>108474.65</v>
      </c>
      <c r="I873" s="1" t="s">
        <v>45</v>
      </c>
      <c r="J873" s="1">
        <v>-184980424</v>
      </c>
      <c r="K873" s="1" t="s">
        <v>30</v>
      </c>
      <c r="L873" s="1" t="b">
        <v>1</v>
      </c>
    </row>
    <row r="874" spans="1:12" x14ac:dyDescent="0.3">
      <c r="A874" s="1" t="s">
        <v>1435</v>
      </c>
      <c r="B874" s="1" t="s">
        <v>13</v>
      </c>
      <c r="C874" s="1" t="s">
        <v>55</v>
      </c>
      <c r="D874" s="1">
        <v>25</v>
      </c>
      <c r="E874" s="1" t="s">
        <v>265</v>
      </c>
      <c r="F874" s="1" t="s">
        <v>28</v>
      </c>
      <c r="G874" s="1" t="s">
        <v>414</v>
      </c>
      <c r="H874" s="1">
        <v>54417.71</v>
      </c>
      <c r="I874" s="1" t="s">
        <v>199</v>
      </c>
      <c r="J874" s="1">
        <v>-3733777311</v>
      </c>
      <c r="K874" s="1" t="s">
        <v>23</v>
      </c>
      <c r="L874" s="1" t="b">
        <v>0</v>
      </c>
    </row>
    <row r="875" spans="1:12" x14ac:dyDescent="0.3">
      <c r="A875" s="1" t="s">
        <v>1436</v>
      </c>
      <c r="B875" s="1" t="s">
        <v>37</v>
      </c>
      <c r="C875" s="1" t="s">
        <v>122</v>
      </c>
      <c r="D875" s="1">
        <v>40</v>
      </c>
      <c r="E875" s="1" t="s">
        <v>139</v>
      </c>
      <c r="F875" s="1" t="s">
        <v>28</v>
      </c>
      <c r="G875" s="1" t="s">
        <v>1437</v>
      </c>
      <c r="H875" s="1">
        <v>88211.94</v>
      </c>
      <c r="I875" s="1" t="s">
        <v>137</v>
      </c>
      <c r="J875" s="1">
        <v>-6881228216</v>
      </c>
      <c r="K875" s="1" t="s">
        <v>18</v>
      </c>
      <c r="L875" s="1" t="b">
        <v>0</v>
      </c>
    </row>
    <row r="876" spans="1:12" x14ac:dyDescent="0.3">
      <c r="A876" s="1" t="s">
        <v>1438</v>
      </c>
      <c r="B876" s="1" t="s">
        <v>59</v>
      </c>
      <c r="C876" s="1" t="s">
        <v>55</v>
      </c>
      <c r="D876" s="1">
        <v>25</v>
      </c>
      <c r="E876" s="1" t="s">
        <v>109</v>
      </c>
      <c r="F876" s="1" t="s">
        <v>33</v>
      </c>
      <c r="G876" s="2">
        <v>44079</v>
      </c>
      <c r="H876" s="1">
        <v>58452.18</v>
      </c>
      <c r="I876" s="1" t="s">
        <v>217</v>
      </c>
      <c r="J876" s="1">
        <v>-8192365345</v>
      </c>
      <c r="K876" s="1" t="s">
        <v>23</v>
      </c>
      <c r="L876" s="1" t="b">
        <v>1</v>
      </c>
    </row>
    <row r="877" spans="1:12" x14ac:dyDescent="0.3">
      <c r="A877" s="1" t="s">
        <v>1439</v>
      </c>
      <c r="B877" s="1" t="s">
        <v>69</v>
      </c>
      <c r="C877" s="1" t="s">
        <v>38</v>
      </c>
      <c r="D877" s="1">
        <v>30</v>
      </c>
      <c r="E877" s="1" t="s">
        <v>15</v>
      </c>
      <c r="F877" s="1" t="s">
        <v>28</v>
      </c>
      <c r="G877" s="2">
        <v>43902</v>
      </c>
      <c r="H877" s="1">
        <v>80706.28</v>
      </c>
      <c r="I877" s="1" t="s">
        <v>71</v>
      </c>
      <c r="J877" s="1">
        <v>-605603566</v>
      </c>
      <c r="K877" s="1" t="s">
        <v>18</v>
      </c>
      <c r="L877" s="1" t="b">
        <v>1</v>
      </c>
    </row>
    <row r="878" spans="1:12" x14ac:dyDescent="0.3">
      <c r="A878" s="1" t="s">
        <v>1440</v>
      </c>
      <c r="B878" s="1" t="s">
        <v>25</v>
      </c>
      <c r="C878" s="1" t="s">
        <v>55</v>
      </c>
      <c r="D878" s="1">
        <v>30</v>
      </c>
      <c r="E878" s="1" t="s">
        <v>85</v>
      </c>
      <c r="F878" s="1" t="s">
        <v>28</v>
      </c>
      <c r="G878" s="2">
        <v>44806</v>
      </c>
      <c r="H878" s="1"/>
      <c r="I878" s="1" t="s">
        <v>150</v>
      </c>
      <c r="J878" s="1">
        <v>-9327986238</v>
      </c>
      <c r="K878" s="1" t="s">
        <v>30</v>
      </c>
      <c r="L878" s="1" t="b">
        <v>1</v>
      </c>
    </row>
    <row r="879" spans="1:12" x14ac:dyDescent="0.3">
      <c r="A879" s="1" t="s">
        <v>1441</v>
      </c>
      <c r="B879" s="1" t="s">
        <v>65</v>
      </c>
      <c r="C879" s="1" t="s">
        <v>55</v>
      </c>
      <c r="D879" s="1">
        <v>25</v>
      </c>
      <c r="E879" s="1" t="s">
        <v>159</v>
      </c>
      <c r="F879" s="1" t="s">
        <v>16</v>
      </c>
      <c r="G879" s="2">
        <v>43837</v>
      </c>
      <c r="H879" s="1">
        <v>99471.89</v>
      </c>
      <c r="I879" s="1" t="s">
        <v>113</v>
      </c>
      <c r="J879" s="1">
        <v>-8471690617</v>
      </c>
      <c r="K879" s="1" t="s">
        <v>18</v>
      </c>
      <c r="L879" s="1" t="b">
        <v>1</v>
      </c>
    </row>
    <row r="880" spans="1:12" x14ac:dyDescent="0.3">
      <c r="A880" s="1" t="s">
        <v>1442</v>
      </c>
      <c r="B880" s="1" t="s">
        <v>32</v>
      </c>
      <c r="C880" s="1" t="s">
        <v>26</v>
      </c>
      <c r="D880" s="1">
        <v>40</v>
      </c>
      <c r="E880" s="1" t="s">
        <v>230</v>
      </c>
      <c r="F880" s="1" t="s">
        <v>28</v>
      </c>
      <c r="G880" s="1" t="s">
        <v>1443</v>
      </c>
      <c r="H880" s="1">
        <v>64431.22</v>
      </c>
      <c r="I880" s="1" t="s">
        <v>277</v>
      </c>
      <c r="J880" s="1">
        <v>-1205464753</v>
      </c>
      <c r="K880" s="1" t="s">
        <v>41</v>
      </c>
      <c r="L880" s="1" t="b">
        <v>0</v>
      </c>
    </row>
    <row r="881" spans="1:12" x14ac:dyDescent="0.3">
      <c r="A881" s="1" t="s">
        <v>1444</v>
      </c>
      <c r="B881" s="1" t="s">
        <v>65</v>
      </c>
      <c r="C881" s="1" t="s">
        <v>26</v>
      </c>
      <c r="D881" s="1">
        <v>40</v>
      </c>
      <c r="E881" s="1" t="s">
        <v>196</v>
      </c>
      <c r="F881" s="1" t="s">
        <v>28</v>
      </c>
      <c r="G881" s="1" t="s">
        <v>1292</v>
      </c>
      <c r="H881" s="1">
        <v>52633.48</v>
      </c>
      <c r="I881" s="1" t="s">
        <v>319</v>
      </c>
      <c r="J881" s="1">
        <v>-8954787697</v>
      </c>
      <c r="K881" s="1" t="s">
        <v>30</v>
      </c>
      <c r="L881" s="1" t="b">
        <v>0</v>
      </c>
    </row>
    <row r="882" spans="1:12" x14ac:dyDescent="0.3">
      <c r="A882" s="1" t="s">
        <v>1445</v>
      </c>
      <c r="B882" s="1" t="s">
        <v>65</v>
      </c>
      <c r="C882" s="1" t="s">
        <v>26</v>
      </c>
      <c r="D882" s="1"/>
      <c r="E882" s="1" t="s">
        <v>85</v>
      </c>
      <c r="F882" s="1" t="s">
        <v>33</v>
      </c>
      <c r="G882" s="1" t="s">
        <v>1446</v>
      </c>
      <c r="H882" s="1">
        <v>79315.009999999995</v>
      </c>
      <c r="I882" s="1" t="s">
        <v>319</v>
      </c>
      <c r="J882" s="1">
        <v>-9992751757</v>
      </c>
      <c r="K882" s="1" t="s">
        <v>41</v>
      </c>
      <c r="L882" s="1" t="b">
        <v>1</v>
      </c>
    </row>
    <row r="883" spans="1:12" x14ac:dyDescent="0.3">
      <c r="A883" s="1" t="s">
        <v>1447</v>
      </c>
      <c r="B883" s="1" t="s">
        <v>59</v>
      </c>
      <c r="C883" s="1" t="s">
        <v>92</v>
      </c>
      <c r="D883" s="1">
        <v>25</v>
      </c>
      <c r="E883" s="1" t="s">
        <v>44</v>
      </c>
      <c r="F883" s="1" t="s">
        <v>28</v>
      </c>
      <c r="G883" s="2">
        <v>44866</v>
      </c>
      <c r="H883" s="1">
        <v>110391.17</v>
      </c>
      <c r="I883" s="1" t="s">
        <v>107</v>
      </c>
      <c r="J883" s="1">
        <v>-8914444982</v>
      </c>
      <c r="K883" s="1" t="s">
        <v>23</v>
      </c>
      <c r="L883" s="1" t="b">
        <v>0</v>
      </c>
    </row>
    <row r="884" spans="1:12" x14ac:dyDescent="0.3">
      <c r="A884" s="1" t="s">
        <v>1448</v>
      </c>
      <c r="B884" s="1" t="s">
        <v>59</v>
      </c>
      <c r="C884" s="1" t="s">
        <v>38</v>
      </c>
      <c r="D884" s="1">
        <v>40</v>
      </c>
      <c r="E884" s="1" t="s">
        <v>328</v>
      </c>
      <c r="F884" s="1" t="s">
        <v>16</v>
      </c>
      <c r="G884" s="1" t="s">
        <v>1449</v>
      </c>
      <c r="H884" s="1">
        <v>53714.83</v>
      </c>
      <c r="I884" s="1" t="s">
        <v>61</v>
      </c>
      <c r="J884" s="1">
        <v>-5539354357</v>
      </c>
      <c r="K884" s="1" t="s">
        <v>23</v>
      </c>
      <c r="L884" s="1" t="b">
        <v>1</v>
      </c>
    </row>
    <row r="885" spans="1:12" x14ac:dyDescent="0.3">
      <c r="A885" s="1" t="s">
        <v>1450</v>
      </c>
      <c r="B885" s="1" t="s">
        <v>54</v>
      </c>
      <c r="C885" s="1" t="s">
        <v>43</v>
      </c>
      <c r="D885" s="1">
        <v>40</v>
      </c>
      <c r="E885" s="1" t="s">
        <v>227</v>
      </c>
      <c r="F885" s="1" t="s">
        <v>16</v>
      </c>
      <c r="G885" s="2">
        <v>45026</v>
      </c>
      <c r="H885" s="1">
        <v>114587.11</v>
      </c>
      <c r="I885" s="1" t="s">
        <v>87</v>
      </c>
      <c r="J885" s="1">
        <v>-6449639242</v>
      </c>
      <c r="K885" s="1" t="s">
        <v>23</v>
      </c>
      <c r="L885" s="1" t="b">
        <v>1</v>
      </c>
    </row>
    <row r="886" spans="1:12" x14ac:dyDescent="0.3">
      <c r="A886" s="1" t="s">
        <v>1451</v>
      </c>
      <c r="B886" s="1" t="s">
        <v>37</v>
      </c>
      <c r="C886" s="1" t="s">
        <v>43</v>
      </c>
      <c r="D886" s="1">
        <v>35</v>
      </c>
      <c r="E886" s="1" t="s">
        <v>205</v>
      </c>
      <c r="F886" s="1" t="s">
        <v>33</v>
      </c>
      <c r="G886" s="1" t="s">
        <v>1452</v>
      </c>
      <c r="H886" s="1">
        <v>93177.35</v>
      </c>
      <c r="I886" s="1" t="s">
        <v>180</v>
      </c>
      <c r="J886" s="1">
        <v>-5885379820</v>
      </c>
      <c r="K886" s="1" t="s">
        <v>18</v>
      </c>
      <c r="L886" s="1" t="b">
        <v>0</v>
      </c>
    </row>
    <row r="887" spans="1:12" x14ac:dyDescent="0.3">
      <c r="A887" s="1" t="s">
        <v>1453</v>
      </c>
      <c r="B887" s="1" t="s">
        <v>65</v>
      </c>
      <c r="C887" s="1" t="s">
        <v>26</v>
      </c>
      <c r="D887" s="1">
        <v>25</v>
      </c>
      <c r="E887" s="1" t="s">
        <v>85</v>
      </c>
      <c r="F887" s="1" t="s">
        <v>16</v>
      </c>
      <c r="G887" s="2">
        <v>45047</v>
      </c>
      <c r="H887" s="1">
        <v>62312.13</v>
      </c>
      <c r="I887" s="1" t="s">
        <v>319</v>
      </c>
      <c r="J887" s="1">
        <v>-4339527535</v>
      </c>
      <c r="K887" s="1" t="s">
        <v>30</v>
      </c>
      <c r="L887" s="1" t="b">
        <v>0</v>
      </c>
    </row>
    <row r="888" spans="1:12" x14ac:dyDescent="0.3">
      <c r="A888" s="1" t="s">
        <v>1454</v>
      </c>
      <c r="B888" s="1" t="s">
        <v>65</v>
      </c>
      <c r="C888" s="1" t="s">
        <v>122</v>
      </c>
      <c r="D888" s="1"/>
      <c r="E888" s="1" t="s">
        <v>159</v>
      </c>
      <c r="F888" s="1" t="s">
        <v>16</v>
      </c>
      <c r="G888" s="1" t="s">
        <v>1455</v>
      </c>
      <c r="H888" s="1">
        <v>81137.460000000006</v>
      </c>
      <c r="I888" s="1" t="s">
        <v>366</v>
      </c>
      <c r="J888" s="1">
        <v>-7497852490</v>
      </c>
      <c r="K888" s="1" t="s">
        <v>23</v>
      </c>
      <c r="L888" s="1" t="b">
        <v>0</v>
      </c>
    </row>
    <row r="889" spans="1:12" x14ac:dyDescent="0.3">
      <c r="A889" s="1" t="s">
        <v>1456</v>
      </c>
      <c r="B889" s="1" t="s">
        <v>69</v>
      </c>
      <c r="C889" s="1" t="s">
        <v>92</v>
      </c>
      <c r="D889" s="1">
        <v>30</v>
      </c>
      <c r="E889" s="1" t="s">
        <v>328</v>
      </c>
      <c r="F889" s="1" t="s">
        <v>33</v>
      </c>
      <c r="G889" s="1" t="s">
        <v>1457</v>
      </c>
      <c r="H889" s="1">
        <v>104528.27</v>
      </c>
      <c r="I889" s="1" t="s">
        <v>168</v>
      </c>
      <c r="J889" s="1">
        <v>-4168601346</v>
      </c>
      <c r="K889" s="1" t="s">
        <v>23</v>
      </c>
      <c r="L889" s="1" t="b">
        <v>0</v>
      </c>
    </row>
    <row r="890" spans="1:12" x14ac:dyDescent="0.3">
      <c r="A890" s="1" t="s">
        <v>1458</v>
      </c>
      <c r="B890" s="1" t="s">
        <v>13</v>
      </c>
      <c r="C890" s="1" t="s">
        <v>20</v>
      </c>
      <c r="D890" s="1">
        <v>30</v>
      </c>
      <c r="E890" s="1" t="s">
        <v>230</v>
      </c>
      <c r="F890" s="1" t="s">
        <v>16</v>
      </c>
      <c r="G890" s="2">
        <v>44775</v>
      </c>
      <c r="H890" s="1">
        <v>112395.56</v>
      </c>
      <c r="I890" s="1" t="s">
        <v>22</v>
      </c>
      <c r="J890" s="1">
        <v>-7894896339</v>
      </c>
      <c r="K890" s="1" t="s">
        <v>30</v>
      </c>
      <c r="L890" s="1" t="b">
        <v>0</v>
      </c>
    </row>
    <row r="891" spans="1:12" x14ac:dyDescent="0.3">
      <c r="A891" s="1" t="s">
        <v>1459</v>
      </c>
      <c r="B891" s="1" t="s">
        <v>65</v>
      </c>
      <c r="C891" s="1" t="s">
        <v>122</v>
      </c>
      <c r="D891" s="1">
        <v>25</v>
      </c>
      <c r="E891" s="1" t="s">
        <v>227</v>
      </c>
      <c r="F891" s="1" t="s">
        <v>16</v>
      </c>
      <c r="G891" s="2">
        <v>44963</v>
      </c>
      <c r="H891" s="1">
        <v>81849.36</v>
      </c>
      <c r="I891" s="1" t="s">
        <v>366</v>
      </c>
      <c r="J891" s="1">
        <v>-6791766511</v>
      </c>
      <c r="K891" s="1" t="s">
        <v>23</v>
      </c>
      <c r="L891" s="1" t="b">
        <v>0</v>
      </c>
    </row>
    <row r="892" spans="1:12" x14ac:dyDescent="0.3">
      <c r="A892" s="1" t="s">
        <v>1460</v>
      </c>
      <c r="B892" s="1" t="s">
        <v>54</v>
      </c>
      <c r="C892" s="1" t="s">
        <v>14</v>
      </c>
      <c r="D892" s="1">
        <v>40</v>
      </c>
      <c r="E892" s="1" t="s">
        <v>56</v>
      </c>
      <c r="F892" s="1" t="s">
        <v>28</v>
      </c>
      <c r="G892" s="2">
        <v>44652</v>
      </c>
      <c r="H892" s="1">
        <v>118288.91</v>
      </c>
      <c r="I892" s="1" t="s">
        <v>170</v>
      </c>
      <c r="J892" s="1">
        <v>-2150014187</v>
      </c>
      <c r="K892" s="1" t="s">
        <v>41</v>
      </c>
      <c r="L892" s="1" t="b">
        <v>0</v>
      </c>
    </row>
    <row r="893" spans="1:12" x14ac:dyDescent="0.3">
      <c r="A893" s="1" t="s">
        <v>1461</v>
      </c>
      <c r="B893" s="1" t="s">
        <v>54</v>
      </c>
      <c r="C893" s="1" t="s">
        <v>14</v>
      </c>
      <c r="D893" s="1">
        <v>25</v>
      </c>
      <c r="E893" s="1" t="s">
        <v>78</v>
      </c>
      <c r="F893" s="1" t="s">
        <v>16</v>
      </c>
      <c r="G893" s="1" t="s">
        <v>685</v>
      </c>
      <c r="H893" s="1">
        <v>59555.1</v>
      </c>
      <c r="I893" s="1" t="s">
        <v>170</v>
      </c>
      <c r="J893" s="1">
        <v>-4216309000</v>
      </c>
      <c r="K893" s="1" t="s">
        <v>30</v>
      </c>
      <c r="L893" s="1" t="b">
        <v>1</v>
      </c>
    </row>
    <row r="894" spans="1:12" x14ac:dyDescent="0.3">
      <c r="A894" s="1" t="s">
        <v>1462</v>
      </c>
      <c r="B894" s="1" t="s">
        <v>65</v>
      </c>
      <c r="C894" s="1" t="s">
        <v>122</v>
      </c>
      <c r="D894" s="1">
        <v>40</v>
      </c>
      <c r="E894" s="1" t="s">
        <v>118</v>
      </c>
      <c r="F894" s="1" t="s">
        <v>16</v>
      </c>
      <c r="G894" s="1" t="s">
        <v>1042</v>
      </c>
      <c r="H894" s="1">
        <v>70661.31</v>
      </c>
      <c r="I894" s="1" t="s">
        <v>366</v>
      </c>
      <c r="J894" s="1">
        <v>-5944633398</v>
      </c>
      <c r="K894" s="1" t="s">
        <v>30</v>
      </c>
      <c r="L894" s="1" t="b">
        <v>1</v>
      </c>
    </row>
    <row r="895" spans="1:12" x14ac:dyDescent="0.3">
      <c r="A895" s="1" t="s">
        <v>1463</v>
      </c>
      <c r="B895" s="1" t="s">
        <v>54</v>
      </c>
      <c r="C895" s="1" t="s">
        <v>26</v>
      </c>
      <c r="D895" s="1"/>
      <c r="E895" s="1" t="s">
        <v>109</v>
      </c>
      <c r="F895" s="1" t="s">
        <v>16</v>
      </c>
      <c r="G895" s="1" t="s">
        <v>753</v>
      </c>
      <c r="H895" s="1">
        <v>109988.16</v>
      </c>
      <c r="I895" s="1" t="s">
        <v>120</v>
      </c>
      <c r="J895" s="1">
        <v>-9485320894</v>
      </c>
      <c r="K895" s="1" t="s">
        <v>30</v>
      </c>
      <c r="L895" s="1" t="b">
        <v>1</v>
      </c>
    </row>
    <row r="896" spans="1:12" x14ac:dyDescent="0.3">
      <c r="A896" s="1" t="s">
        <v>1464</v>
      </c>
      <c r="B896" s="1" t="s">
        <v>59</v>
      </c>
      <c r="C896" s="1" t="s">
        <v>20</v>
      </c>
      <c r="D896" s="1"/>
      <c r="E896" s="1" t="s">
        <v>112</v>
      </c>
      <c r="F896" s="1" t="s">
        <v>33</v>
      </c>
      <c r="G896" s="1" t="s">
        <v>1465</v>
      </c>
      <c r="H896" s="1">
        <v>101101.24</v>
      </c>
      <c r="I896" s="1" t="s">
        <v>225</v>
      </c>
      <c r="J896" s="1">
        <v>-3263890218</v>
      </c>
      <c r="K896" s="1" t="s">
        <v>41</v>
      </c>
      <c r="L896" s="1" t="b">
        <v>1</v>
      </c>
    </row>
    <row r="897" spans="1:12" x14ac:dyDescent="0.3">
      <c r="A897" s="1" t="s">
        <v>1466</v>
      </c>
      <c r="B897" s="1" t="s">
        <v>59</v>
      </c>
      <c r="C897" s="1" t="s">
        <v>20</v>
      </c>
      <c r="D897" s="1">
        <v>30</v>
      </c>
      <c r="E897" s="1" t="s">
        <v>212</v>
      </c>
      <c r="F897" s="1" t="s">
        <v>28</v>
      </c>
      <c r="G897" s="1" t="s">
        <v>1467</v>
      </c>
      <c r="H897" s="1">
        <v>112427.58</v>
      </c>
      <c r="I897" s="1" t="s">
        <v>225</v>
      </c>
      <c r="J897" s="1">
        <v>-9471136336</v>
      </c>
      <c r="K897" s="1" t="s">
        <v>30</v>
      </c>
      <c r="L897" s="1" t="b">
        <v>1</v>
      </c>
    </row>
    <row r="898" spans="1:12" x14ac:dyDescent="0.3">
      <c r="A898" s="1" t="s">
        <v>1468</v>
      </c>
      <c r="B898" s="1" t="s">
        <v>54</v>
      </c>
      <c r="C898" s="1" t="s">
        <v>92</v>
      </c>
      <c r="D898" s="1"/>
      <c r="E898" s="1" t="s">
        <v>39</v>
      </c>
      <c r="F898" s="1" t="s">
        <v>16</v>
      </c>
      <c r="G898" s="1" t="s">
        <v>238</v>
      </c>
      <c r="H898" s="1">
        <v>119389.15</v>
      </c>
      <c r="I898" s="1" t="s">
        <v>501</v>
      </c>
      <c r="J898" s="1">
        <v>-9223410345</v>
      </c>
      <c r="K898" s="1" t="s">
        <v>41</v>
      </c>
      <c r="L898" s="1" t="b">
        <v>0</v>
      </c>
    </row>
    <row r="899" spans="1:12" x14ac:dyDescent="0.3">
      <c r="A899" s="1" t="s">
        <v>1469</v>
      </c>
      <c r="B899" s="1" t="s">
        <v>25</v>
      </c>
      <c r="C899" s="1" t="s">
        <v>20</v>
      </c>
      <c r="D899" s="1">
        <v>40</v>
      </c>
      <c r="E899" s="1" t="s">
        <v>74</v>
      </c>
      <c r="F899" s="1" t="s">
        <v>33</v>
      </c>
      <c r="G899" s="1" t="s">
        <v>1470</v>
      </c>
      <c r="H899" s="1">
        <v>105861.23</v>
      </c>
      <c r="I899" s="1" t="s">
        <v>80</v>
      </c>
      <c r="J899" s="1">
        <v>-9967331166</v>
      </c>
      <c r="K899" s="1" t="s">
        <v>30</v>
      </c>
      <c r="L899" s="1" t="b">
        <v>1</v>
      </c>
    </row>
    <row r="900" spans="1:12" x14ac:dyDescent="0.3">
      <c r="A900" s="1" t="s">
        <v>1471</v>
      </c>
      <c r="B900" s="1" t="s">
        <v>65</v>
      </c>
      <c r="C900" s="1" t="s">
        <v>14</v>
      </c>
      <c r="D900" s="1">
        <v>40</v>
      </c>
      <c r="E900" s="1" t="s">
        <v>103</v>
      </c>
      <c r="F900" s="1" t="s">
        <v>28</v>
      </c>
      <c r="G900" s="1" t="s">
        <v>482</v>
      </c>
      <c r="H900" s="1">
        <v>50869.61</v>
      </c>
      <c r="I900" s="1" t="s">
        <v>394</v>
      </c>
      <c r="J900" s="1">
        <v>-7269608436</v>
      </c>
      <c r="K900" s="1" t="s">
        <v>18</v>
      </c>
      <c r="L900" s="1" t="b">
        <v>1</v>
      </c>
    </row>
    <row r="901" spans="1:12" x14ac:dyDescent="0.3">
      <c r="A901" s="1" t="s">
        <v>1472</v>
      </c>
      <c r="B901" s="1" t="s">
        <v>59</v>
      </c>
      <c r="C901" s="1" t="s">
        <v>38</v>
      </c>
      <c r="D901" s="1">
        <v>30</v>
      </c>
      <c r="E901" s="1" t="s">
        <v>146</v>
      </c>
      <c r="F901" s="1" t="s">
        <v>16</v>
      </c>
      <c r="G901" s="1" t="s">
        <v>1026</v>
      </c>
      <c r="H901" s="1"/>
      <c r="I901" s="1" t="s">
        <v>61</v>
      </c>
      <c r="J901" s="1">
        <v>-6855078966</v>
      </c>
      <c r="K901" s="1" t="s">
        <v>23</v>
      </c>
      <c r="L901" s="1" t="b">
        <v>1</v>
      </c>
    </row>
    <row r="902" spans="1:12" x14ac:dyDescent="0.3">
      <c r="A902" s="1" t="s">
        <v>1473</v>
      </c>
      <c r="B902" s="1" t="s">
        <v>32</v>
      </c>
      <c r="C902" s="1" t="s">
        <v>26</v>
      </c>
      <c r="D902" s="1">
        <v>30</v>
      </c>
      <c r="E902" s="1" t="s">
        <v>230</v>
      </c>
      <c r="F902" s="1" t="s">
        <v>28</v>
      </c>
      <c r="G902" s="2">
        <v>45568</v>
      </c>
      <c r="H902" s="1">
        <v>90856.21</v>
      </c>
      <c r="I902" s="1" t="s">
        <v>277</v>
      </c>
      <c r="J902" s="1">
        <v>-9352196262</v>
      </c>
      <c r="K902" s="1" t="s">
        <v>18</v>
      </c>
      <c r="L902" s="1" t="b">
        <v>1</v>
      </c>
    </row>
    <row r="903" spans="1:12" x14ac:dyDescent="0.3">
      <c r="A903" s="1" t="s">
        <v>1474</v>
      </c>
      <c r="B903" s="1" t="s">
        <v>65</v>
      </c>
      <c r="C903" s="1" t="s">
        <v>20</v>
      </c>
      <c r="D903" s="1">
        <v>30</v>
      </c>
      <c r="E903" s="1" t="s">
        <v>230</v>
      </c>
      <c r="F903" s="1" t="s">
        <v>16</v>
      </c>
      <c r="G903" s="2">
        <v>45418</v>
      </c>
      <c r="H903" s="1">
        <v>111008.63</v>
      </c>
      <c r="I903" s="1" t="s">
        <v>403</v>
      </c>
      <c r="J903" s="1">
        <v>-3556434368</v>
      </c>
      <c r="K903" s="1" t="s">
        <v>23</v>
      </c>
      <c r="L903" s="1" t="b">
        <v>1</v>
      </c>
    </row>
    <row r="904" spans="1:12" x14ac:dyDescent="0.3">
      <c r="A904" s="1" t="s">
        <v>1475</v>
      </c>
      <c r="B904" s="1" t="s">
        <v>25</v>
      </c>
      <c r="C904" s="1" t="s">
        <v>92</v>
      </c>
      <c r="D904" s="1">
        <v>25</v>
      </c>
      <c r="E904" s="1" t="s">
        <v>100</v>
      </c>
      <c r="F904" s="1" t="s">
        <v>33</v>
      </c>
      <c r="G904" s="1" t="s">
        <v>206</v>
      </c>
      <c r="H904" s="1">
        <v>52289.99</v>
      </c>
      <c r="I904" s="1" t="s">
        <v>166</v>
      </c>
      <c r="J904" s="1">
        <v>-7093170694</v>
      </c>
      <c r="K904" s="1" t="s">
        <v>41</v>
      </c>
      <c r="L904" s="1" t="b">
        <v>1</v>
      </c>
    </row>
    <row r="905" spans="1:12" x14ac:dyDescent="0.3">
      <c r="A905" s="1" t="s">
        <v>1476</v>
      </c>
      <c r="B905" s="1" t="s">
        <v>32</v>
      </c>
      <c r="C905" s="1" t="s">
        <v>14</v>
      </c>
      <c r="D905" s="1"/>
      <c r="E905" s="1" t="s">
        <v>98</v>
      </c>
      <c r="F905" s="1" t="s">
        <v>16</v>
      </c>
      <c r="G905" s="2">
        <v>45297</v>
      </c>
      <c r="H905" s="1">
        <v>97926.56</v>
      </c>
      <c r="I905" s="1" t="s">
        <v>35</v>
      </c>
      <c r="J905" s="1">
        <v>-5607676163</v>
      </c>
      <c r="K905" s="1" t="s">
        <v>18</v>
      </c>
      <c r="L905" s="1" t="b">
        <v>1</v>
      </c>
    </row>
    <row r="906" spans="1:12" x14ac:dyDescent="0.3">
      <c r="A906" s="1" t="s">
        <v>1477</v>
      </c>
      <c r="B906" s="1" t="s">
        <v>37</v>
      </c>
      <c r="C906" s="1" t="s">
        <v>38</v>
      </c>
      <c r="D906" s="1">
        <v>25</v>
      </c>
      <c r="E906" s="1" t="s">
        <v>219</v>
      </c>
      <c r="F906" s="1" t="s">
        <v>33</v>
      </c>
      <c r="G906" s="1" t="s">
        <v>1478</v>
      </c>
      <c r="H906" s="1">
        <v>53609.38</v>
      </c>
      <c r="I906" s="1" t="s">
        <v>40</v>
      </c>
      <c r="J906" s="1">
        <v>-5345472238</v>
      </c>
      <c r="K906" s="1" t="s">
        <v>30</v>
      </c>
      <c r="L906" s="1" t="b">
        <v>0</v>
      </c>
    </row>
    <row r="907" spans="1:12" x14ac:dyDescent="0.3">
      <c r="A907" s="1" t="s">
        <v>1479</v>
      </c>
      <c r="B907" s="1" t="s">
        <v>65</v>
      </c>
      <c r="C907" s="1" t="s">
        <v>55</v>
      </c>
      <c r="D907" s="1"/>
      <c r="E907" s="1" t="s">
        <v>268</v>
      </c>
      <c r="F907" s="1" t="s">
        <v>33</v>
      </c>
      <c r="G907" s="1" t="s">
        <v>576</v>
      </c>
      <c r="H907" s="1">
        <v>95372.09</v>
      </c>
      <c r="I907" s="1" t="s">
        <v>113</v>
      </c>
      <c r="J907" s="1">
        <v>-8983065030</v>
      </c>
      <c r="K907" s="1" t="s">
        <v>23</v>
      </c>
      <c r="L907" s="1" t="b">
        <v>0</v>
      </c>
    </row>
    <row r="908" spans="1:12" x14ac:dyDescent="0.3">
      <c r="A908" s="1" t="s">
        <v>1480</v>
      </c>
      <c r="B908" s="1" t="s">
        <v>59</v>
      </c>
      <c r="C908" s="1" t="s">
        <v>55</v>
      </c>
      <c r="D908" s="1">
        <v>30</v>
      </c>
      <c r="E908" s="1" t="s">
        <v>66</v>
      </c>
      <c r="F908" s="1" t="s">
        <v>28</v>
      </c>
      <c r="G908" s="1" t="s">
        <v>1061</v>
      </c>
      <c r="H908" s="1">
        <v>95432.69</v>
      </c>
      <c r="I908" s="1" t="s">
        <v>217</v>
      </c>
      <c r="J908" s="1">
        <v>-2198041846</v>
      </c>
      <c r="K908" s="1" t="s">
        <v>23</v>
      </c>
      <c r="L908" s="1" t="b">
        <v>1</v>
      </c>
    </row>
    <row r="909" spans="1:12" x14ac:dyDescent="0.3">
      <c r="A909" s="1" t="s">
        <v>1481</v>
      </c>
      <c r="B909" s="1" t="s">
        <v>59</v>
      </c>
      <c r="C909" s="1" t="s">
        <v>38</v>
      </c>
      <c r="D909" s="1">
        <v>30</v>
      </c>
      <c r="E909" s="1" t="s">
        <v>146</v>
      </c>
      <c r="F909" s="1" t="s">
        <v>33</v>
      </c>
      <c r="G909" s="1" t="s">
        <v>1482</v>
      </c>
      <c r="H909" s="1">
        <v>97615.87</v>
      </c>
      <c r="I909" s="1" t="s">
        <v>61</v>
      </c>
      <c r="J909" s="1">
        <v>-2426423641</v>
      </c>
      <c r="K909" s="1" t="s">
        <v>18</v>
      </c>
      <c r="L909" s="1" t="b">
        <v>0</v>
      </c>
    </row>
    <row r="910" spans="1:12" x14ac:dyDescent="0.3">
      <c r="A910" s="1" t="s">
        <v>1483</v>
      </c>
      <c r="B910" s="1" t="s">
        <v>13</v>
      </c>
      <c r="C910" s="1" t="s">
        <v>14</v>
      </c>
      <c r="D910" s="1">
        <v>35</v>
      </c>
      <c r="E910" s="1" t="s">
        <v>212</v>
      </c>
      <c r="F910" s="1" t="s">
        <v>33</v>
      </c>
      <c r="G910" s="1" t="s">
        <v>764</v>
      </c>
      <c r="H910" s="1">
        <v>86867.78</v>
      </c>
      <c r="I910" s="1" t="s">
        <v>17</v>
      </c>
      <c r="J910" s="1">
        <v>-8131909247</v>
      </c>
      <c r="K910" s="1" t="s">
        <v>41</v>
      </c>
      <c r="L910" s="1" t="b">
        <v>0</v>
      </c>
    </row>
    <row r="911" spans="1:12" x14ac:dyDescent="0.3">
      <c r="A911" s="1" t="s">
        <v>1484</v>
      </c>
      <c r="B911" s="1" t="s">
        <v>32</v>
      </c>
      <c r="C911" s="1" t="s">
        <v>92</v>
      </c>
      <c r="D911" s="1">
        <v>40</v>
      </c>
      <c r="E911" s="1" t="s">
        <v>177</v>
      </c>
      <c r="F911" s="1" t="s">
        <v>28</v>
      </c>
      <c r="G911" s="1" t="s">
        <v>1485</v>
      </c>
      <c r="H911" s="1">
        <v>106615.71</v>
      </c>
      <c r="I911" s="1" t="s">
        <v>263</v>
      </c>
      <c r="J911" s="1">
        <v>-7623039110</v>
      </c>
      <c r="K911" s="1" t="s">
        <v>18</v>
      </c>
      <c r="L911" s="1" t="b">
        <v>0</v>
      </c>
    </row>
    <row r="912" spans="1:12" x14ac:dyDescent="0.3">
      <c r="A912" s="1" t="s">
        <v>1486</v>
      </c>
      <c r="B912" s="1" t="s">
        <v>13</v>
      </c>
      <c r="C912" s="1" t="s">
        <v>38</v>
      </c>
      <c r="D912" s="1">
        <v>30</v>
      </c>
      <c r="E912" s="1" t="s">
        <v>21</v>
      </c>
      <c r="F912" s="1" t="s">
        <v>16</v>
      </c>
      <c r="G912" s="2">
        <v>44868</v>
      </c>
      <c r="H912" s="1">
        <v>112856.21</v>
      </c>
      <c r="I912" s="1" t="s">
        <v>144</v>
      </c>
      <c r="J912" s="1">
        <v>-4281785227</v>
      </c>
      <c r="K912" s="1" t="s">
        <v>41</v>
      </c>
      <c r="L912" s="1" t="b">
        <v>0</v>
      </c>
    </row>
    <row r="913" spans="1:12" x14ac:dyDescent="0.3">
      <c r="A913" s="1" t="s">
        <v>1487</v>
      </c>
      <c r="B913" s="1" t="s">
        <v>13</v>
      </c>
      <c r="C913" s="1" t="s">
        <v>26</v>
      </c>
      <c r="D913" s="1">
        <v>25</v>
      </c>
      <c r="E913" s="1" t="s">
        <v>118</v>
      </c>
      <c r="F913" s="1" t="s">
        <v>16</v>
      </c>
      <c r="G913" s="1" t="s">
        <v>1193</v>
      </c>
      <c r="H913" s="1">
        <v>60356.78</v>
      </c>
      <c r="I913" s="1" t="s">
        <v>50</v>
      </c>
      <c r="J913" s="1">
        <v>-2305248087</v>
      </c>
      <c r="K913" s="1" t="s">
        <v>41</v>
      </c>
      <c r="L913" s="1" t="b">
        <v>1</v>
      </c>
    </row>
    <row r="914" spans="1:12" x14ac:dyDescent="0.3">
      <c r="A914" s="1" t="s">
        <v>1488</v>
      </c>
      <c r="B914" s="1" t="s">
        <v>59</v>
      </c>
      <c r="C914" s="1" t="s">
        <v>26</v>
      </c>
      <c r="D914" s="1"/>
      <c r="E914" s="1" t="s">
        <v>237</v>
      </c>
      <c r="F914" s="1" t="s">
        <v>33</v>
      </c>
      <c r="G914" s="2">
        <v>44625</v>
      </c>
      <c r="H914" s="1">
        <v>117870.22</v>
      </c>
      <c r="I914" s="1" t="s">
        <v>242</v>
      </c>
      <c r="J914" s="1">
        <v>-622072238</v>
      </c>
      <c r="K914" s="1" t="s">
        <v>23</v>
      </c>
      <c r="L914" s="1" t="b">
        <v>0</v>
      </c>
    </row>
    <row r="915" spans="1:12" x14ac:dyDescent="0.3">
      <c r="A915" s="1" t="s">
        <v>1489</v>
      </c>
      <c r="B915" s="1" t="s">
        <v>54</v>
      </c>
      <c r="C915" s="1" t="s">
        <v>55</v>
      </c>
      <c r="D915" s="1">
        <v>40</v>
      </c>
      <c r="E915" s="1" t="s">
        <v>212</v>
      </c>
      <c r="F915" s="1" t="s">
        <v>33</v>
      </c>
      <c r="G915" s="1" t="s">
        <v>1490</v>
      </c>
      <c r="H915" s="1">
        <v>95127.91</v>
      </c>
      <c r="I915" s="1" t="s">
        <v>57</v>
      </c>
      <c r="J915" s="1">
        <v>-5947372131</v>
      </c>
      <c r="K915" s="1" t="s">
        <v>18</v>
      </c>
      <c r="L915" s="1" t="b">
        <v>0</v>
      </c>
    </row>
    <row r="916" spans="1:12" x14ac:dyDescent="0.3">
      <c r="A916" s="1" t="s">
        <v>1491</v>
      </c>
      <c r="B916" s="1" t="s">
        <v>13</v>
      </c>
      <c r="C916" s="1" t="s">
        <v>20</v>
      </c>
      <c r="D916" s="1">
        <v>25</v>
      </c>
      <c r="E916" s="1" t="s">
        <v>89</v>
      </c>
      <c r="F916" s="1" t="s">
        <v>28</v>
      </c>
      <c r="G916" s="1" t="s">
        <v>1492</v>
      </c>
      <c r="H916" s="1">
        <v>78818.42</v>
      </c>
      <c r="I916" s="1" t="s">
        <v>22</v>
      </c>
      <c r="J916" s="1">
        <v>-9016204786</v>
      </c>
      <c r="K916" s="1" t="s">
        <v>18</v>
      </c>
      <c r="L916" s="1" t="b">
        <v>0</v>
      </c>
    </row>
    <row r="917" spans="1:12" x14ac:dyDescent="0.3">
      <c r="A917" s="1" t="s">
        <v>1493</v>
      </c>
      <c r="B917" s="1" t="s">
        <v>37</v>
      </c>
      <c r="C917" s="1" t="s">
        <v>92</v>
      </c>
      <c r="D917" s="1">
        <v>40</v>
      </c>
      <c r="E917" s="1" t="s">
        <v>219</v>
      </c>
      <c r="F917" s="1" t="s">
        <v>28</v>
      </c>
      <c r="G917" s="1" t="s">
        <v>1494</v>
      </c>
      <c r="H917" s="1">
        <v>108933.55</v>
      </c>
      <c r="I917" s="1" t="s">
        <v>110</v>
      </c>
      <c r="J917" s="1">
        <v>-6886878598</v>
      </c>
      <c r="K917" s="1" t="s">
        <v>41</v>
      </c>
      <c r="L917" s="1" t="b">
        <v>1</v>
      </c>
    </row>
    <row r="918" spans="1:12" x14ac:dyDescent="0.3">
      <c r="A918" s="1" t="s">
        <v>1495</v>
      </c>
      <c r="B918" s="1" t="s">
        <v>32</v>
      </c>
      <c r="C918" s="1" t="s">
        <v>55</v>
      </c>
      <c r="D918" s="1"/>
      <c r="E918" s="1" t="s">
        <v>118</v>
      </c>
      <c r="F918" s="1" t="s">
        <v>16</v>
      </c>
      <c r="G918" s="2">
        <v>45388</v>
      </c>
      <c r="H918" s="1">
        <v>68200.52</v>
      </c>
      <c r="I918" s="1" t="s">
        <v>322</v>
      </c>
      <c r="J918" s="1">
        <v>-6486287202</v>
      </c>
      <c r="K918" s="1" t="s">
        <v>18</v>
      </c>
      <c r="L918" s="1" t="b">
        <v>1</v>
      </c>
    </row>
    <row r="919" spans="1:12" x14ac:dyDescent="0.3">
      <c r="A919" s="1" t="s">
        <v>1496</v>
      </c>
      <c r="B919" s="1" t="s">
        <v>32</v>
      </c>
      <c r="C919" s="1" t="s">
        <v>20</v>
      </c>
      <c r="D919" s="1">
        <v>25</v>
      </c>
      <c r="E919" s="1" t="s">
        <v>118</v>
      </c>
      <c r="F919" s="1" t="s">
        <v>33</v>
      </c>
      <c r="G919" s="1" t="s">
        <v>1497</v>
      </c>
      <c r="H919" s="1">
        <v>116934.97</v>
      </c>
      <c r="I919" s="1" t="s">
        <v>155</v>
      </c>
      <c r="J919" s="1">
        <v>-1954196663</v>
      </c>
      <c r="K919" s="1" t="s">
        <v>30</v>
      </c>
      <c r="L919" s="1" t="b">
        <v>1</v>
      </c>
    </row>
    <row r="920" spans="1:12" x14ac:dyDescent="0.3">
      <c r="A920" s="1" t="s">
        <v>1498</v>
      </c>
      <c r="B920" s="1" t="s">
        <v>54</v>
      </c>
      <c r="C920" s="1" t="s">
        <v>20</v>
      </c>
      <c r="D920" s="1"/>
      <c r="E920" s="1" t="s">
        <v>66</v>
      </c>
      <c r="F920" s="1" t="s">
        <v>16</v>
      </c>
      <c r="G920" s="1" t="s">
        <v>823</v>
      </c>
      <c r="H920" s="1">
        <v>99567.78</v>
      </c>
      <c r="I920" s="1" t="s">
        <v>125</v>
      </c>
      <c r="J920" s="1">
        <v>-5057303626</v>
      </c>
      <c r="K920" s="1" t="s">
        <v>30</v>
      </c>
      <c r="L920" s="1" t="b">
        <v>1</v>
      </c>
    </row>
    <row r="921" spans="1:12" x14ac:dyDescent="0.3">
      <c r="A921" s="1" t="s">
        <v>1499</v>
      </c>
      <c r="B921" s="1" t="s">
        <v>54</v>
      </c>
      <c r="C921" s="1" t="s">
        <v>43</v>
      </c>
      <c r="D921" s="1">
        <v>30</v>
      </c>
      <c r="E921" s="1" t="s">
        <v>103</v>
      </c>
      <c r="F921" s="1" t="s">
        <v>16</v>
      </c>
      <c r="G921" s="2">
        <v>44479</v>
      </c>
      <c r="H921" s="1">
        <v>90216.76</v>
      </c>
      <c r="I921" s="1" t="s">
        <v>87</v>
      </c>
      <c r="J921" s="1">
        <v>-9246320373</v>
      </c>
      <c r="K921" s="1" t="s">
        <v>18</v>
      </c>
      <c r="L921" s="1" t="b">
        <v>1</v>
      </c>
    </row>
    <row r="922" spans="1:12" x14ac:dyDescent="0.3">
      <c r="A922" s="1" t="s">
        <v>1500</v>
      </c>
      <c r="B922" s="1" t="s">
        <v>37</v>
      </c>
      <c r="C922" s="1" t="s">
        <v>26</v>
      </c>
      <c r="D922" s="1">
        <v>30</v>
      </c>
      <c r="E922" s="1" t="s">
        <v>89</v>
      </c>
      <c r="F922" s="1" t="s">
        <v>28</v>
      </c>
      <c r="G922" s="2">
        <v>44168</v>
      </c>
      <c r="H922" s="1">
        <v>96588.73</v>
      </c>
      <c r="I922" s="1" t="s">
        <v>47</v>
      </c>
      <c r="J922" s="1">
        <v>-7677537259</v>
      </c>
      <c r="K922" s="1" t="s">
        <v>18</v>
      </c>
      <c r="L922" s="1" t="b">
        <v>1</v>
      </c>
    </row>
    <row r="923" spans="1:12" x14ac:dyDescent="0.3">
      <c r="A923" s="1" t="s">
        <v>1501</v>
      </c>
      <c r="B923" s="1" t="s">
        <v>54</v>
      </c>
      <c r="C923" s="1" t="s">
        <v>14</v>
      </c>
      <c r="D923" s="1">
        <v>35</v>
      </c>
      <c r="E923" s="1" t="s">
        <v>265</v>
      </c>
      <c r="F923" s="1" t="s">
        <v>16</v>
      </c>
      <c r="G923" s="1" t="s">
        <v>520</v>
      </c>
      <c r="H923" s="1">
        <v>71109.179999999993</v>
      </c>
      <c r="I923" s="1" t="s">
        <v>170</v>
      </c>
      <c r="J923" s="1">
        <v>-3214505765</v>
      </c>
      <c r="K923" s="1" t="s">
        <v>41</v>
      </c>
      <c r="L923" s="1" t="b">
        <v>1</v>
      </c>
    </row>
    <row r="924" spans="1:12" x14ac:dyDescent="0.3">
      <c r="A924" s="1" t="s">
        <v>1502</v>
      </c>
      <c r="B924" s="1" t="s">
        <v>69</v>
      </c>
      <c r="C924" s="1" t="s">
        <v>122</v>
      </c>
      <c r="D924" s="1">
        <v>40</v>
      </c>
      <c r="E924" s="1" t="s">
        <v>205</v>
      </c>
      <c r="F924" s="1" t="s">
        <v>33</v>
      </c>
      <c r="G924" s="1" t="s">
        <v>1118</v>
      </c>
      <c r="H924" s="1">
        <v>50300.6</v>
      </c>
      <c r="I924" s="1" t="s">
        <v>135</v>
      </c>
      <c r="J924" s="1">
        <v>-1945887070</v>
      </c>
      <c r="K924" s="1" t="s">
        <v>30</v>
      </c>
      <c r="L924" s="1" t="b">
        <v>0</v>
      </c>
    </row>
    <row r="925" spans="1:12" x14ac:dyDescent="0.3">
      <c r="A925" s="1" t="s">
        <v>1503</v>
      </c>
      <c r="B925" s="1" t="s">
        <v>37</v>
      </c>
      <c r="C925" s="1" t="s">
        <v>14</v>
      </c>
      <c r="D925" s="1">
        <v>35</v>
      </c>
      <c r="E925" s="1" t="s">
        <v>70</v>
      </c>
      <c r="F925" s="1" t="s">
        <v>28</v>
      </c>
      <c r="G925" s="1" t="s">
        <v>165</v>
      </c>
      <c r="H925" s="1">
        <v>60295.839999999997</v>
      </c>
      <c r="I925" s="1" t="s">
        <v>52</v>
      </c>
      <c r="J925" s="1">
        <v>-5534820127</v>
      </c>
      <c r="K925" s="1" t="s">
        <v>30</v>
      </c>
      <c r="L925" s="1" t="b">
        <v>0</v>
      </c>
    </row>
    <row r="926" spans="1:12" x14ac:dyDescent="0.3">
      <c r="A926" s="1" t="s">
        <v>1504</v>
      </c>
      <c r="B926" s="1" t="s">
        <v>65</v>
      </c>
      <c r="C926" s="1" t="s">
        <v>122</v>
      </c>
      <c r="D926" s="1">
        <v>35</v>
      </c>
      <c r="E926" s="1" t="s">
        <v>237</v>
      </c>
      <c r="F926" s="1" t="s">
        <v>28</v>
      </c>
      <c r="G926" s="2">
        <v>44751</v>
      </c>
      <c r="H926" s="1">
        <v>113012.21</v>
      </c>
      <c r="I926" s="1" t="s">
        <v>366</v>
      </c>
      <c r="J926" s="1">
        <v>-4008385075</v>
      </c>
      <c r="K926" s="1" t="s">
        <v>23</v>
      </c>
      <c r="L926" s="1" t="b">
        <v>0</v>
      </c>
    </row>
    <row r="927" spans="1:12" x14ac:dyDescent="0.3">
      <c r="A927" s="1" t="s">
        <v>1505</v>
      </c>
      <c r="B927" s="1" t="s">
        <v>13</v>
      </c>
      <c r="C927" s="1" t="s">
        <v>38</v>
      </c>
      <c r="D927" s="1">
        <v>35</v>
      </c>
      <c r="E927" s="1" t="s">
        <v>39</v>
      </c>
      <c r="F927" s="1" t="s">
        <v>28</v>
      </c>
      <c r="G927" s="1" t="s">
        <v>1423</v>
      </c>
      <c r="H927" s="1">
        <v>65425.54</v>
      </c>
      <c r="I927" s="1" t="s">
        <v>144</v>
      </c>
      <c r="J927" s="1">
        <v>-5975954507</v>
      </c>
      <c r="K927" s="1" t="s">
        <v>41</v>
      </c>
      <c r="L927" s="1" t="b">
        <v>1</v>
      </c>
    </row>
    <row r="928" spans="1:12" x14ac:dyDescent="0.3">
      <c r="A928" s="1" t="s">
        <v>1506</v>
      </c>
      <c r="B928" s="1" t="s">
        <v>37</v>
      </c>
      <c r="C928" s="1" t="s">
        <v>26</v>
      </c>
      <c r="D928" s="1">
        <v>25</v>
      </c>
      <c r="E928" s="1" t="s">
        <v>219</v>
      </c>
      <c r="F928" s="1" t="s">
        <v>16</v>
      </c>
      <c r="G928" s="2">
        <v>45173</v>
      </c>
      <c r="H928" s="1">
        <v>86850.37</v>
      </c>
      <c r="I928" s="1" t="s">
        <v>47</v>
      </c>
      <c r="J928" s="1">
        <v>-9177680897</v>
      </c>
      <c r="K928" s="1" t="s">
        <v>23</v>
      </c>
      <c r="L928" s="1" t="b">
        <v>1</v>
      </c>
    </row>
    <row r="929" spans="1:12" x14ac:dyDescent="0.3">
      <c r="A929" s="1" t="s">
        <v>1507</v>
      </c>
      <c r="B929" s="1" t="s">
        <v>32</v>
      </c>
      <c r="C929" s="1" t="s">
        <v>20</v>
      </c>
      <c r="D929" s="1">
        <v>30</v>
      </c>
      <c r="E929" s="1" t="s">
        <v>159</v>
      </c>
      <c r="F929" s="1" t="s">
        <v>28</v>
      </c>
      <c r="G929" s="2">
        <v>45422</v>
      </c>
      <c r="H929" s="1">
        <v>81182.070000000007</v>
      </c>
      <c r="I929" s="1" t="s">
        <v>155</v>
      </c>
      <c r="J929" s="1">
        <v>-1265742230</v>
      </c>
      <c r="K929" s="1" t="s">
        <v>30</v>
      </c>
      <c r="L929" s="1" t="b">
        <v>1</v>
      </c>
    </row>
    <row r="930" spans="1:12" x14ac:dyDescent="0.3">
      <c r="A930" s="1" t="s">
        <v>1508</v>
      </c>
      <c r="B930" s="1" t="s">
        <v>13</v>
      </c>
      <c r="C930" s="1" t="s">
        <v>92</v>
      </c>
      <c r="D930" s="1"/>
      <c r="E930" s="1" t="s">
        <v>227</v>
      </c>
      <c r="F930" s="1" t="s">
        <v>33</v>
      </c>
      <c r="G930" s="2">
        <v>44540</v>
      </c>
      <c r="H930" s="1">
        <v>92222.03</v>
      </c>
      <c r="I930" s="1" t="s">
        <v>93</v>
      </c>
      <c r="J930" s="1">
        <v>-9646300401</v>
      </c>
      <c r="K930" s="1" t="s">
        <v>41</v>
      </c>
      <c r="L930" s="1" t="b">
        <v>1</v>
      </c>
    </row>
    <row r="931" spans="1:12" x14ac:dyDescent="0.3">
      <c r="A931" s="1" t="s">
        <v>1509</v>
      </c>
      <c r="B931" s="1" t="s">
        <v>25</v>
      </c>
      <c r="C931" s="1" t="s">
        <v>122</v>
      </c>
      <c r="D931" s="1">
        <v>35</v>
      </c>
      <c r="E931" s="1" t="s">
        <v>227</v>
      </c>
      <c r="F931" s="1" t="s">
        <v>28</v>
      </c>
      <c r="G931" s="1" t="s">
        <v>1510</v>
      </c>
      <c r="H931" s="1">
        <v>79934.83</v>
      </c>
      <c r="I931" s="1" t="s">
        <v>182</v>
      </c>
      <c r="J931" s="1">
        <v>-3693626893</v>
      </c>
      <c r="K931" s="1" t="s">
        <v>18</v>
      </c>
      <c r="L931" s="1" t="b">
        <v>1</v>
      </c>
    </row>
    <row r="932" spans="1:12" x14ac:dyDescent="0.3">
      <c r="A932" s="1" t="s">
        <v>1511</v>
      </c>
      <c r="B932" s="1" t="s">
        <v>25</v>
      </c>
      <c r="C932" s="1" t="s">
        <v>14</v>
      </c>
      <c r="D932" s="1">
        <v>35</v>
      </c>
      <c r="E932" s="1" t="s">
        <v>146</v>
      </c>
      <c r="F932" s="1" t="s">
        <v>33</v>
      </c>
      <c r="G932" s="2">
        <v>44568</v>
      </c>
      <c r="H932" s="1">
        <v>111201.12</v>
      </c>
      <c r="I932" s="1" t="s">
        <v>163</v>
      </c>
      <c r="J932" s="1">
        <v>-3012047136</v>
      </c>
      <c r="K932" s="1" t="s">
        <v>41</v>
      </c>
      <c r="L932" s="1" t="b">
        <v>0</v>
      </c>
    </row>
    <row r="933" spans="1:12" x14ac:dyDescent="0.3">
      <c r="A933" s="1" t="s">
        <v>1512</v>
      </c>
      <c r="B933" s="1" t="s">
        <v>65</v>
      </c>
      <c r="C933" s="1" t="s">
        <v>20</v>
      </c>
      <c r="D933" s="1">
        <v>40</v>
      </c>
      <c r="E933" s="1" t="s">
        <v>70</v>
      </c>
      <c r="F933" s="1" t="s">
        <v>16</v>
      </c>
      <c r="G933" s="2">
        <v>45511</v>
      </c>
      <c r="H933" s="1">
        <v>100960.05</v>
      </c>
      <c r="I933" s="1" t="s">
        <v>403</v>
      </c>
      <c r="J933" s="1">
        <v>-2711759573</v>
      </c>
      <c r="K933" s="1" t="s">
        <v>18</v>
      </c>
      <c r="L933" s="1" t="b">
        <v>0</v>
      </c>
    </row>
    <row r="934" spans="1:12" x14ac:dyDescent="0.3">
      <c r="A934" s="1" t="s">
        <v>1513</v>
      </c>
      <c r="B934" s="1" t="s">
        <v>69</v>
      </c>
      <c r="C934" s="1" t="s">
        <v>122</v>
      </c>
      <c r="D934" s="1">
        <v>30</v>
      </c>
      <c r="E934" s="1" t="s">
        <v>98</v>
      </c>
      <c r="F934" s="1" t="s">
        <v>16</v>
      </c>
      <c r="G934" s="1" t="s">
        <v>1514</v>
      </c>
      <c r="H934" s="1">
        <v>64544.87</v>
      </c>
      <c r="I934" s="1" t="s">
        <v>135</v>
      </c>
      <c r="J934" s="1">
        <v>-9885582983</v>
      </c>
      <c r="K934" s="1" t="s">
        <v>18</v>
      </c>
      <c r="L934" s="1" t="b">
        <v>1</v>
      </c>
    </row>
    <row r="935" spans="1:12" x14ac:dyDescent="0.3">
      <c r="A935" s="1" t="s">
        <v>1515</v>
      </c>
      <c r="B935" s="1" t="s">
        <v>37</v>
      </c>
      <c r="C935" s="1" t="s">
        <v>122</v>
      </c>
      <c r="D935" s="1">
        <v>25</v>
      </c>
      <c r="E935" s="1" t="s">
        <v>74</v>
      </c>
      <c r="F935" s="1" t="s">
        <v>16</v>
      </c>
      <c r="G935" s="1" t="s">
        <v>1516</v>
      </c>
      <c r="H935" s="1">
        <v>78662.240000000005</v>
      </c>
      <c r="I935" s="1" t="s">
        <v>137</v>
      </c>
      <c r="J935" s="1">
        <v>-9330674583</v>
      </c>
      <c r="K935" s="1" t="s">
        <v>41</v>
      </c>
      <c r="L935" s="1" t="b">
        <v>1</v>
      </c>
    </row>
    <row r="936" spans="1:12" x14ac:dyDescent="0.3">
      <c r="A936" s="1" t="s">
        <v>1517</v>
      </c>
      <c r="B936" s="1" t="s">
        <v>69</v>
      </c>
      <c r="C936" s="1" t="s">
        <v>43</v>
      </c>
      <c r="D936" s="1">
        <v>30</v>
      </c>
      <c r="E936" s="1" t="s">
        <v>74</v>
      </c>
      <c r="F936" s="1" t="s">
        <v>28</v>
      </c>
      <c r="G936" s="2">
        <v>45172</v>
      </c>
      <c r="H936" s="1">
        <v>102867.06</v>
      </c>
      <c r="I936" s="1" t="s">
        <v>83</v>
      </c>
      <c r="J936" s="1">
        <v>-7609441282</v>
      </c>
      <c r="K936" s="1" t="s">
        <v>18</v>
      </c>
      <c r="L936" s="1" t="b">
        <v>1</v>
      </c>
    </row>
    <row r="937" spans="1:12" x14ac:dyDescent="0.3">
      <c r="A937" s="1" t="s">
        <v>1518</v>
      </c>
      <c r="B937" s="1" t="s">
        <v>54</v>
      </c>
      <c r="C937" s="1" t="s">
        <v>122</v>
      </c>
      <c r="D937" s="1">
        <v>40</v>
      </c>
      <c r="E937" s="1" t="s">
        <v>192</v>
      </c>
      <c r="F937" s="1" t="s">
        <v>33</v>
      </c>
      <c r="G937" s="1" t="s">
        <v>1120</v>
      </c>
      <c r="H937" s="1">
        <v>107595.95</v>
      </c>
      <c r="I937" s="1" t="s">
        <v>194</v>
      </c>
      <c r="J937" s="1">
        <v>-3372188565</v>
      </c>
      <c r="K937" s="1" t="s">
        <v>23</v>
      </c>
      <c r="L937" s="1" t="b">
        <v>1</v>
      </c>
    </row>
    <row r="938" spans="1:12" x14ac:dyDescent="0.3">
      <c r="A938" s="1" t="s">
        <v>1519</v>
      </c>
      <c r="B938" s="1" t="s">
        <v>32</v>
      </c>
      <c r="C938" s="1" t="s">
        <v>92</v>
      </c>
      <c r="D938" s="1">
        <v>40</v>
      </c>
      <c r="E938" s="1" t="s">
        <v>219</v>
      </c>
      <c r="F938" s="1" t="s">
        <v>33</v>
      </c>
      <c r="G938" s="2">
        <v>44290</v>
      </c>
      <c r="H938" s="1"/>
      <c r="I938" s="1" t="s">
        <v>263</v>
      </c>
      <c r="J938" s="1">
        <v>-6954132970</v>
      </c>
      <c r="K938" s="1" t="s">
        <v>30</v>
      </c>
      <c r="L938" s="1" t="b">
        <v>0</v>
      </c>
    </row>
    <row r="939" spans="1:12" x14ac:dyDescent="0.3">
      <c r="A939" s="1" t="s">
        <v>1520</v>
      </c>
      <c r="B939" s="1" t="s">
        <v>32</v>
      </c>
      <c r="C939" s="1" t="s">
        <v>26</v>
      </c>
      <c r="D939" s="1">
        <v>35</v>
      </c>
      <c r="E939" s="1" t="s">
        <v>328</v>
      </c>
      <c r="F939" s="1" t="s">
        <v>33</v>
      </c>
      <c r="G939" s="2">
        <v>44144</v>
      </c>
      <c r="H939" s="1">
        <v>95766.91</v>
      </c>
      <c r="I939" s="1" t="s">
        <v>277</v>
      </c>
      <c r="J939" s="1">
        <v>-5066626704</v>
      </c>
      <c r="K939" s="1" t="s">
        <v>18</v>
      </c>
      <c r="L939" s="1" t="b">
        <v>1</v>
      </c>
    </row>
    <row r="940" spans="1:12" x14ac:dyDescent="0.3">
      <c r="A940" s="1" t="s">
        <v>1521</v>
      </c>
      <c r="B940" s="1" t="s">
        <v>69</v>
      </c>
      <c r="C940" s="1" t="s">
        <v>92</v>
      </c>
      <c r="D940" s="1">
        <v>30</v>
      </c>
      <c r="E940" s="1" t="s">
        <v>100</v>
      </c>
      <c r="F940" s="1" t="s">
        <v>28</v>
      </c>
      <c r="G940" s="1" t="s">
        <v>1522</v>
      </c>
      <c r="H940" s="1">
        <v>51990.98</v>
      </c>
      <c r="I940" s="1" t="s">
        <v>168</v>
      </c>
      <c r="J940" s="1">
        <v>-5143776935</v>
      </c>
      <c r="K940" s="1" t="s">
        <v>23</v>
      </c>
      <c r="L940" s="1" t="b">
        <v>1</v>
      </c>
    </row>
    <row r="941" spans="1:12" x14ac:dyDescent="0.3">
      <c r="A941" s="1" t="s">
        <v>1523</v>
      </c>
      <c r="B941" s="1" t="s">
        <v>65</v>
      </c>
      <c r="C941" s="1" t="s">
        <v>55</v>
      </c>
      <c r="D941" s="1">
        <v>25</v>
      </c>
      <c r="E941" s="1" t="s">
        <v>219</v>
      </c>
      <c r="F941" s="1" t="s">
        <v>33</v>
      </c>
      <c r="G941" s="2">
        <v>45050</v>
      </c>
      <c r="H941" s="1">
        <v>83634.009999999995</v>
      </c>
      <c r="I941" s="1" t="s">
        <v>113</v>
      </c>
      <c r="J941" s="1">
        <v>-6343925294</v>
      </c>
      <c r="K941" s="1" t="s">
        <v>18</v>
      </c>
      <c r="L941" s="1" t="b">
        <v>1</v>
      </c>
    </row>
    <row r="942" spans="1:12" x14ac:dyDescent="0.3">
      <c r="A942" s="1" t="s">
        <v>1524</v>
      </c>
      <c r="B942" s="1" t="s">
        <v>32</v>
      </c>
      <c r="C942" s="1" t="s">
        <v>20</v>
      </c>
      <c r="D942" s="1">
        <v>40</v>
      </c>
      <c r="E942" s="1" t="s">
        <v>237</v>
      </c>
      <c r="F942" s="1" t="s">
        <v>33</v>
      </c>
      <c r="G942" s="1" t="s">
        <v>1525</v>
      </c>
      <c r="H942" s="1"/>
      <c r="I942" s="1" t="s">
        <v>155</v>
      </c>
      <c r="J942" s="1">
        <v>-9611110285</v>
      </c>
      <c r="K942" s="1" t="s">
        <v>30</v>
      </c>
      <c r="L942" s="1" t="b">
        <v>1</v>
      </c>
    </row>
    <row r="943" spans="1:12" x14ac:dyDescent="0.3">
      <c r="A943" s="1" t="s">
        <v>1526</v>
      </c>
      <c r="B943" s="1" t="s">
        <v>32</v>
      </c>
      <c r="C943" s="1" t="s">
        <v>26</v>
      </c>
      <c r="D943" s="1">
        <v>30</v>
      </c>
      <c r="E943" s="1" t="s">
        <v>44</v>
      </c>
      <c r="F943" s="1" t="s">
        <v>16</v>
      </c>
      <c r="G943" s="1" t="s">
        <v>904</v>
      </c>
      <c r="H943" s="1">
        <v>82273.08</v>
      </c>
      <c r="I943" s="1" t="s">
        <v>277</v>
      </c>
      <c r="J943" s="1">
        <v>-7120072023</v>
      </c>
      <c r="K943" s="1" t="s">
        <v>23</v>
      </c>
      <c r="L943" s="1" t="b">
        <v>0</v>
      </c>
    </row>
    <row r="944" spans="1:12" x14ac:dyDescent="0.3">
      <c r="A944" s="1" t="s">
        <v>1527</v>
      </c>
      <c r="B944" s="1" t="s">
        <v>37</v>
      </c>
      <c r="C944" s="1" t="s">
        <v>43</v>
      </c>
      <c r="D944" s="1">
        <v>30</v>
      </c>
      <c r="E944" s="1" t="s">
        <v>268</v>
      </c>
      <c r="F944" s="1" t="s">
        <v>33</v>
      </c>
      <c r="G944" s="2">
        <v>44809</v>
      </c>
      <c r="H944" s="1">
        <v>94537.3</v>
      </c>
      <c r="I944" s="1" t="s">
        <v>180</v>
      </c>
      <c r="J944" s="1">
        <v>-5591024509</v>
      </c>
      <c r="K944" s="1" t="s">
        <v>30</v>
      </c>
      <c r="L944" s="1" t="b">
        <v>1</v>
      </c>
    </row>
    <row r="945" spans="1:12" x14ac:dyDescent="0.3">
      <c r="A945" s="1" t="s">
        <v>1528</v>
      </c>
      <c r="B945" s="1" t="s">
        <v>25</v>
      </c>
      <c r="C945" s="1" t="s">
        <v>26</v>
      </c>
      <c r="D945" s="1">
        <v>35</v>
      </c>
      <c r="E945" s="1" t="s">
        <v>192</v>
      </c>
      <c r="F945" s="1" t="s">
        <v>28</v>
      </c>
      <c r="G945" s="2">
        <v>43988</v>
      </c>
      <c r="H945" s="1">
        <v>85970.65</v>
      </c>
      <c r="I945" s="1" t="s">
        <v>29</v>
      </c>
      <c r="J945" s="1">
        <v>-9109032670</v>
      </c>
      <c r="K945" s="1" t="s">
        <v>30</v>
      </c>
      <c r="L945" s="1" t="b">
        <v>1</v>
      </c>
    </row>
    <row r="946" spans="1:12" x14ac:dyDescent="0.3">
      <c r="A946" s="1" t="s">
        <v>1529</v>
      </c>
      <c r="B946" s="1" t="s">
        <v>54</v>
      </c>
      <c r="C946" s="1" t="s">
        <v>26</v>
      </c>
      <c r="D946" s="1">
        <v>25</v>
      </c>
      <c r="E946" s="1" t="s">
        <v>109</v>
      </c>
      <c r="F946" s="1" t="s">
        <v>28</v>
      </c>
      <c r="G946" s="1" t="s">
        <v>1530</v>
      </c>
      <c r="H946" s="1">
        <v>111071.02</v>
      </c>
      <c r="I946" s="1" t="s">
        <v>120</v>
      </c>
      <c r="J946" s="1">
        <v>-4949819420</v>
      </c>
      <c r="K946" s="1" t="s">
        <v>23</v>
      </c>
      <c r="L946" s="1" t="b">
        <v>0</v>
      </c>
    </row>
    <row r="947" spans="1:12" x14ac:dyDescent="0.3">
      <c r="A947" s="1" t="s">
        <v>1531</v>
      </c>
      <c r="B947" s="1" t="s">
        <v>32</v>
      </c>
      <c r="C947" s="1" t="s">
        <v>14</v>
      </c>
      <c r="D947" s="1">
        <v>35</v>
      </c>
      <c r="E947" s="1" t="s">
        <v>328</v>
      </c>
      <c r="F947" s="1" t="s">
        <v>28</v>
      </c>
      <c r="G947" s="2">
        <v>44896</v>
      </c>
      <c r="H947" s="1">
        <v>56708.34</v>
      </c>
      <c r="I947" s="1" t="s">
        <v>35</v>
      </c>
      <c r="J947" s="1">
        <v>-7942817933</v>
      </c>
      <c r="K947" s="1" t="s">
        <v>23</v>
      </c>
      <c r="L947" s="1" t="b">
        <v>0</v>
      </c>
    </row>
    <row r="948" spans="1:12" x14ac:dyDescent="0.3">
      <c r="A948" s="1" t="s">
        <v>1532</v>
      </c>
      <c r="B948" s="1" t="s">
        <v>54</v>
      </c>
      <c r="C948" s="1" t="s">
        <v>26</v>
      </c>
      <c r="D948" s="1">
        <v>25</v>
      </c>
      <c r="E948" s="1" t="s">
        <v>89</v>
      </c>
      <c r="F948" s="1" t="s">
        <v>33</v>
      </c>
      <c r="G948" s="2">
        <v>44594</v>
      </c>
      <c r="H948" s="1">
        <v>104516.55</v>
      </c>
      <c r="I948" s="1" t="s">
        <v>120</v>
      </c>
      <c r="J948" s="1">
        <v>-652775843</v>
      </c>
      <c r="K948" s="1" t="s">
        <v>23</v>
      </c>
      <c r="L948" s="1" t="b">
        <v>0</v>
      </c>
    </row>
    <row r="949" spans="1:12" x14ac:dyDescent="0.3">
      <c r="A949" s="1" t="s">
        <v>1533</v>
      </c>
      <c r="B949" s="1" t="s">
        <v>54</v>
      </c>
      <c r="C949" s="1" t="s">
        <v>43</v>
      </c>
      <c r="D949" s="1">
        <v>25</v>
      </c>
      <c r="E949" s="1" t="s">
        <v>196</v>
      </c>
      <c r="F949" s="1" t="s">
        <v>28</v>
      </c>
      <c r="G949" s="1" t="s">
        <v>841</v>
      </c>
      <c r="H949" s="1">
        <v>108210.15</v>
      </c>
      <c r="I949" s="1" t="s">
        <v>87</v>
      </c>
      <c r="J949" s="1">
        <v>-6634533721</v>
      </c>
      <c r="K949" s="1" t="s">
        <v>41</v>
      </c>
      <c r="L949" s="1" t="b">
        <v>1</v>
      </c>
    </row>
    <row r="950" spans="1:12" x14ac:dyDescent="0.3">
      <c r="A950" s="1" t="s">
        <v>1534</v>
      </c>
      <c r="B950" s="1" t="s">
        <v>13</v>
      </c>
      <c r="C950" s="1" t="s">
        <v>92</v>
      </c>
      <c r="D950" s="1">
        <v>40</v>
      </c>
      <c r="E950" s="1" t="s">
        <v>21</v>
      </c>
      <c r="F950" s="1" t="s">
        <v>16</v>
      </c>
      <c r="G950" s="2">
        <v>45359</v>
      </c>
      <c r="H950" s="1"/>
      <c r="I950" s="1" t="s">
        <v>93</v>
      </c>
      <c r="J950" s="1">
        <v>-109121721</v>
      </c>
      <c r="K950" s="1" t="s">
        <v>23</v>
      </c>
      <c r="L950" s="1" t="b">
        <v>1</v>
      </c>
    </row>
    <row r="951" spans="1:12" x14ac:dyDescent="0.3">
      <c r="A951" s="1" t="s">
        <v>1535</v>
      </c>
      <c r="B951" s="1" t="s">
        <v>37</v>
      </c>
      <c r="C951" s="1" t="s">
        <v>26</v>
      </c>
      <c r="D951" s="1">
        <v>35</v>
      </c>
      <c r="E951" s="1" t="s">
        <v>15</v>
      </c>
      <c r="F951" s="1" t="s">
        <v>16</v>
      </c>
      <c r="G951" s="1" t="s">
        <v>964</v>
      </c>
      <c r="H951" s="1">
        <v>80935.649999999994</v>
      </c>
      <c r="I951" s="1" t="s">
        <v>47</v>
      </c>
      <c r="J951" s="1">
        <v>-1455937660</v>
      </c>
      <c r="K951" s="1" t="s">
        <v>23</v>
      </c>
      <c r="L951" s="1" t="b">
        <v>0</v>
      </c>
    </row>
    <row r="952" spans="1:12" x14ac:dyDescent="0.3">
      <c r="A952" s="1" t="s">
        <v>1536</v>
      </c>
      <c r="B952" s="1" t="s">
        <v>37</v>
      </c>
      <c r="C952" s="1" t="s">
        <v>38</v>
      </c>
      <c r="D952" s="1">
        <v>30</v>
      </c>
      <c r="E952" s="1" t="s">
        <v>15</v>
      </c>
      <c r="F952" s="1" t="s">
        <v>16</v>
      </c>
      <c r="G952" s="2">
        <v>45385</v>
      </c>
      <c r="H952" s="1">
        <v>107020.19</v>
      </c>
      <c r="I952" s="1" t="s">
        <v>40</v>
      </c>
      <c r="J952" s="1">
        <v>-8943705262</v>
      </c>
      <c r="K952" s="1" t="s">
        <v>23</v>
      </c>
      <c r="L952" s="1" t="b">
        <v>0</v>
      </c>
    </row>
    <row r="953" spans="1:12" x14ac:dyDescent="0.3">
      <c r="A953" s="1" t="s">
        <v>1537</v>
      </c>
      <c r="B953" s="1" t="s">
        <v>54</v>
      </c>
      <c r="C953" s="1" t="s">
        <v>20</v>
      </c>
      <c r="D953" s="1">
        <v>30</v>
      </c>
      <c r="E953" s="1" t="s">
        <v>66</v>
      </c>
      <c r="F953" s="1" t="s">
        <v>16</v>
      </c>
      <c r="G953" s="1" t="s">
        <v>379</v>
      </c>
      <c r="H953" s="1">
        <v>118677.67</v>
      </c>
      <c r="I953" s="1" t="s">
        <v>125</v>
      </c>
      <c r="J953" s="1">
        <v>-5100462775</v>
      </c>
      <c r="K953" s="1" t="s">
        <v>23</v>
      </c>
      <c r="L953" s="1" t="b">
        <v>0</v>
      </c>
    </row>
    <row r="954" spans="1:12" x14ac:dyDescent="0.3">
      <c r="A954" s="1" t="s">
        <v>1538</v>
      </c>
      <c r="B954" s="1" t="s">
        <v>13</v>
      </c>
      <c r="C954" s="1" t="s">
        <v>26</v>
      </c>
      <c r="D954" s="1">
        <v>25</v>
      </c>
      <c r="E954" s="1" t="s">
        <v>39</v>
      </c>
      <c r="F954" s="1" t="s">
        <v>33</v>
      </c>
      <c r="G954" s="1" t="s">
        <v>809</v>
      </c>
      <c r="H954" s="1">
        <v>63744.57</v>
      </c>
      <c r="I954" s="1" t="s">
        <v>50</v>
      </c>
      <c r="J954" s="1">
        <v>-5725659201</v>
      </c>
      <c r="K954" s="1" t="s">
        <v>18</v>
      </c>
      <c r="L954" s="1" t="b">
        <v>0</v>
      </c>
    </row>
    <row r="955" spans="1:12" x14ac:dyDescent="0.3">
      <c r="A955" s="1" t="s">
        <v>1539</v>
      </c>
      <c r="B955" s="1" t="s">
        <v>25</v>
      </c>
      <c r="C955" s="1" t="s">
        <v>20</v>
      </c>
      <c r="D955" s="1">
        <v>40</v>
      </c>
      <c r="E955" s="1" t="s">
        <v>268</v>
      </c>
      <c r="F955" s="1" t="s">
        <v>16</v>
      </c>
      <c r="G955" s="1" t="s">
        <v>1540</v>
      </c>
      <c r="H955" s="1"/>
      <c r="I955" s="1" t="s">
        <v>80</v>
      </c>
      <c r="J955" s="1">
        <v>-4617520237</v>
      </c>
      <c r="K955" s="1" t="s">
        <v>41</v>
      </c>
      <c r="L955" s="1" t="b">
        <v>0</v>
      </c>
    </row>
    <row r="956" spans="1:12" x14ac:dyDescent="0.3">
      <c r="A956" s="1" t="s">
        <v>1541</v>
      </c>
      <c r="B956" s="1" t="s">
        <v>13</v>
      </c>
      <c r="C956" s="1" t="s">
        <v>38</v>
      </c>
      <c r="D956" s="1">
        <v>25</v>
      </c>
      <c r="E956" s="1" t="s">
        <v>109</v>
      </c>
      <c r="F956" s="1" t="s">
        <v>28</v>
      </c>
      <c r="G956" s="1" t="s">
        <v>1542</v>
      </c>
      <c r="H956" s="1">
        <v>62934.73</v>
      </c>
      <c r="I956" s="1" t="s">
        <v>144</v>
      </c>
      <c r="J956" s="1">
        <v>-9743260054</v>
      </c>
      <c r="K956" s="1" t="s">
        <v>30</v>
      </c>
      <c r="L956" s="1" t="b">
        <v>0</v>
      </c>
    </row>
    <row r="957" spans="1:12" x14ac:dyDescent="0.3">
      <c r="A957" s="1" t="s">
        <v>1543</v>
      </c>
      <c r="B957" s="1" t="s">
        <v>13</v>
      </c>
      <c r="C957" s="1" t="s">
        <v>38</v>
      </c>
      <c r="D957" s="1">
        <v>30</v>
      </c>
      <c r="E957" s="1" t="s">
        <v>15</v>
      </c>
      <c r="F957" s="1" t="s">
        <v>28</v>
      </c>
      <c r="G957" s="1" t="s">
        <v>1446</v>
      </c>
      <c r="H957" s="1">
        <v>74654.23</v>
      </c>
      <c r="I957" s="1" t="s">
        <v>144</v>
      </c>
      <c r="J957" s="1">
        <v>-9550178331</v>
      </c>
      <c r="K957" s="1" t="s">
        <v>23</v>
      </c>
      <c r="L957" s="1" t="b">
        <v>1</v>
      </c>
    </row>
    <row r="958" spans="1:12" x14ac:dyDescent="0.3">
      <c r="A958" s="1" t="s">
        <v>1544</v>
      </c>
      <c r="B958" s="1" t="s">
        <v>59</v>
      </c>
      <c r="C958" s="1" t="s">
        <v>20</v>
      </c>
      <c r="D958" s="1"/>
      <c r="E958" s="1" t="s">
        <v>44</v>
      </c>
      <c r="F958" s="1" t="s">
        <v>16</v>
      </c>
      <c r="G958" s="2">
        <v>45420</v>
      </c>
      <c r="H958" s="1"/>
      <c r="I958" s="1" t="s">
        <v>225</v>
      </c>
      <c r="J958" s="1">
        <v>-5848689992</v>
      </c>
      <c r="K958" s="1" t="s">
        <v>18</v>
      </c>
      <c r="L958" s="1" t="b">
        <v>1</v>
      </c>
    </row>
    <row r="959" spans="1:12" x14ac:dyDescent="0.3">
      <c r="A959" s="1" t="s">
        <v>1545</v>
      </c>
      <c r="B959" s="1" t="s">
        <v>59</v>
      </c>
      <c r="C959" s="1" t="s">
        <v>122</v>
      </c>
      <c r="D959" s="1">
        <v>30</v>
      </c>
      <c r="E959" s="1" t="s">
        <v>66</v>
      </c>
      <c r="F959" s="1" t="s">
        <v>28</v>
      </c>
      <c r="G959" s="2">
        <v>44075</v>
      </c>
      <c r="H959" s="1">
        <v>118150.59</v>
      </c>
      <c r="I959" s="1" t="s">
        <v>340</v>
      </c>
      <c r="J959" s="1">
        <v>-6079848703</v>
      </c>
      <c r="K959" s="1" t="s">
        <v>18</v>
      </c>
      <c r="L959" s="1" t="b">
        <v>1</v>
      </c>
    </row>
    <row r="960" spans="1:12" x14ac:dyDescent="0.3">
      <c r="A960" s="1" t="s">
        <v>1546</v>
      </c>
      <c r="B960" s="1" t="s">
        <v>59</v>
      </c>
      <c r="C960" s="1" t="s">
        <v>55</v>
      </c>
      <c r="D960" s="1"/>
      <c r="E960" s="1" t="s">
        <v>230</v>
      </c>
      <c r="F960" s="1" t="s">
        <v>33</v>
      </c>
      <c r="G960" s="1" t="s">
        <v>1547</v>
      </c>
      <c r="H960" s="1">
        <v>91256.639999999999</v>
      </c>
      <c r="I960" s="1" t="s">
        <v>217</v>
      </c>
      <c r="J960" s="1">
        <v>-5069176798</v>
      </c>
      <c r="K960" s="1" t="s">
        <v>18</v>
      </c>
      <c r="L960" s="1" t="b">
        <v>0</v>
      </c>
    </row>
    <row r="961" spans="1:12" x14ac:dyDescent="0.3">
      <c r="A961" s="1" t="s">
        <v>1548</v>
      </c>
      <c r="B961" s="1" t="s">
        <v>13</v>
      </c>
      <c r="C961" s="1" t="s">
        <v>14</v>
      </c>
      <c r="D961" s="1">
        <v>30</v>
      </c>
      <c r="E961" s="1" t="s">
        <v>212</v>
      </c>
      <c r="F961" s="1" t="s">
        <v>33</v>
      </c>
      <c r="G961" s="1" t="s">
        <v>1216</v>
      </c>
      <c r="H961" s="1">
        <v>85997.57</v>
      </c>
      <c r="I961" s="1" t="s">
        <v>17</v>
      </c>
      <c r="J961" s="1">
        <v>-3593744038</v>
      </c>
      <c r="K961" s="1" t="s">
        <v>30</v>
      </c>
      <c r="L961" s="1" t="b">
        <v>0</v>
      </c>
    </row>
    <row r="962" spans="1:12" x14ac:dyDescent="0.3">
      <c r="A962" s="1" t="s">
        <v>1549</v>
      </c>
      <c r="B962" s="1" t="s">
        <v>37</v>
      </c>
      <c r="C962" s="1" t="s">
        <v>122</v>
      </c>
      <c r="D962" s="1">
        <v>25</v>
      </c>
      <c r="E962" s="1" t="s">
        <v>21</v>
      </c>
      <c r="F962" s="1" t="s">
        <v>28</v>
      </c>
      <c r="G962" s="2">
        <v>43961</v>
      </c>
      <c r="H962" s="1">
        <v>84707.12</v>
      </c>
      <c r="I962" s="1" t="s">
        <v>137</v>
      </c>
      <c r="J962" s="1">
        <v>-4640830372</v>
      </c>
      <c r="K962" s="1" t="s">
        <v>23</v>
      </c>
      <c r="L962" s="1" t="b">
        <v>0</v>
      </c>
    </row>
    <row r="963" spans="1:12" x14ac:dyDescent="0.3">
      <c r="A963" s="1" t="s">
        <v>1550</v>
      </c>
      <c r="B963" s="1" t="s">
        <v>32</v>
      </c>
      <c r="C963" s="1" t="s">
        <v>122</v>
      </c>
      <c r="D963" s="1"/>
      <c r="E963" s="1" t="s">
        <v>237</v>
      </c>
      <c r="F963" s="1" t="s">
        <v>16</v>
      </c>
      <c r="G963" s="2">
        <v>44238</v>
      </c>
      <c r="H963" s="1">
        <v>84559.9</v>
      </c>
      <c r="I963" s="1" t="s">
        <v>521</v>
      </c>
      <c r="J963" s="1">
        <v>-6060148859</v>
      </c>
      <c r="K963" s="1" t="s">
        <v>41</v>
      </c>
      <c r="L963" s="1" t="b">
        <v>0</v>
      </c>
    </row>
    <row r="964" spans="1:12" x14ac:dyDescent="0.3">
      <c r="A964" s="1" t="s">
        <v>1551</v>
      </c>
      <c r="B964" s="1" t="s">
        <v>65</v>
      </c>
      <c r="C964" s="1" t="s">
        <v>92</v>
      </c>
      <c r="D964" s="1"/>
      <c r="E964" s="1" t="s">
        <v>15</v>
      </c>
      <c r="F964" s="1" t="s">
        <v>28</v>
      </c>
      <c r="G964" s="1" t="s">
        <v>1423</v>
      </c>
      <c r="H964" s="1">
        <v>81076.91</v>
      </c>
      <c r="I964" s="1" t="s">
        <v>130</v>
      </c>
      <c r="J964" s="1">
        <v>-8490793883</v>
      </c>
      <c r="K964" s="1" t="s">
        <v>41</v>
      </c>
      <c r="L964" s="1" t="b">
        <v>0</v>
      </c>
    </row>
    <row r="965" spans="1:12" x14ac:dyDescent="0.3">
      <c r="A965" s="1" t="s">
        <v>1552</v>
      </c>
      <c r="B965" s="1" t="s">
        <v>32</v>
      </c>
      <c r="C965" s="1" t="s">
        <v>14</v>
      </c>
      <c r="D965" s="1">
        <v>40</v>
      </c>
      <c r="E965" s="1" t="s">
        <v>103</v>
      </c>
      <c r="F965" s="1" t="s">
        <v>33</v>
      </c>
      <c r="G965" s="1" t="s">
        <v>1553</v>
      </c>
      <c r="H965" s="1"/>
      <c r="I965" s="1" t="s">
        <v>35</v>
      </c>
      <c r="J965" s="1">
        <v>-1368528305</v>
      </c>
      <c r="K965" s="1" t="s">
        <v>18</v>
      </c>
      <c r="L965" s="1" t="b">
        <v>0</v>
      </c>
    </row>
    <row r="966" spans="1:12" x14ac:dyDescent="0.3">
      <c r="A966" s="1" t="s">
        <v>1554</v>
      </c>
      <c r="B966" s="1" t="s">
        <v>65</v>
      </c>
      <c r="C966" s="1" t="s">
        <v>14</v>
      </c>
      <c r="D966" s="1">
        <v>25</v>
      </c>
      <c r="E966" s="1" t="s">
        <v>112</v>
      </c>
      <c r="F966" s="1" t="s">
        <v>28</v>
      </c>
      <c r="G966" s="2">
        <v>45208</v>
      </c>
      <c r="H966" s="1">
        <v>97356.31</v>
      </c>
      <c r="I966" s="1" t="s">
        <v>394</v>
      </c>
      <c r="J966" s="1">
        <v>-1537012423</v>
      </c>
      <c r="K966" s="1" t="s">
        <v>30</v>
      </c>
      <c r="L966" s="1" t="b">
        <v>1</v>
      </c>
    </row>
    <row r="967" spans="1:12" x14ac:dyDescent="0.3">
      <c r="A967" s="1" t="s">
        <v>1555</v>
      </c>
      <c r="B967" s="1" t="s">
        <v>69</v>
      </c>
      <c r="C967" s="1" t="s">
        <v>122</v>
      </c>
      <c r="D967" s="1">
        <v>40</v>
      </c>
      <c r="E967" s="1" t="s">
        <v>78</v>
      </c>
      <c r="F967" s="1" t="s">
        <v>16</v>
      </c>
      <c r="G967" s="1" t="s">
        <v>634</v>
      </c>
      <c r="H967" s="1">
        <v>114770.32</v>
      </c>
      <c r="I967" s="1" t="s">
        <v>135</v>
      </c>
      <c r="J967" s="1">
        <v>-4626325143</v>
      </c>
      <c r="K967" s="1" t="s">
        <v>30</v>
      </c>
      <c r="L967" s="1" t="b">
        <v>1</v>
      </c>
    </row>
    <row r="968" spans="1:12" x14ac:dyDescent="0.3">
      <c r="A968" s="1" t="s">
        <v>1556</v>
      </c>
      <c r="B968" s="1" t="s">
        <v>13</v>
      </c>
      <c r="C968" s="1" t="s">
        <v>26</v>
      </c>
      <c r="D968" s="1">
        <v>35</v>
      </c>
      <c r="E968" s="1" t="s">
        <v>118</v>
      </c>
      <c r="F968" s="1" t="s">
        <v>16</v>
      </c>
      <c r="G968" s="2">
        <v>44990</v>
      </c>
      <c r="H968" s="1">
        <v>109082.07</v>
      </c>
      <c r="I968" s="1" t="s">
        <v>50</v>
      </c>
      <c r="J968" s="1">
        <v>-8811210313</v>
      </c>
      <c r="K968" s="1" t="s">
        <v>30</v>
      </c>
      <c r="L968" s="1" t="b">
        <v>0</v>
      </c>
    </row>
    <row r="969" spans="1:12" x14ac:dyDescent="0.3">
      <c r="A969" s="1" t="s">
        <v>1557</v>
      </c>
      <c r="B969" s="1" t="s">
        <v>59</v>
      </c>
      <c r="C969" s="1" t="s">
        <v>92</v>
      </c>
      <c r="D969" s="1">
        <v>40</v>
      </c>
      <c r="E969" s="1" t="s">
        <v>230</v>
      </c>
      <c r="F969" s="1" t="s">
        <v>33</v>
      </c>
      <c r="G969" s="1" t="s">
        <v>1558</v>
      </c>
      <c r="H969" s="1">
        <v>99944.57</v>
      </c>
      <c r="I969" s="1" t="s">
        <v>107</v>
      </c>
      <c r="J969" s="1">
        <v>-2175188780</v>
      </c>
      <c r="K969" s="1" t="s">
        <v>41</v>
      </c>
      <c r="L969" s="1" t="b">
        <v>1</v>
      </c>
    </row>
    <row r="970" spans="1:12" x14ac:dyDescent="0.3">
      <c r="A970" s="1" t="s">
        <v>1559</v>
      </c>
      <c r="B970" s="1" t="s">
        <v>32</v>
      </c>
      <c r="C970" s="1" t="s">
        <v>92</v>
      </c>
      <c r="D970" s="1">
        <v>40</v>
      </c>
      <c r="E970" s="1" t="s">
        <v>212</v>
      </c>
      <c r="F970" s="1" t="s">
        <v>28</v>
      </c>
      <c r="G970" s="1" t="s">
        <v>1076</v>
      </c>
      <c r="H970" s="1">
        <v>116509.72</v>
      </c>
      <c r="I970" s="1" t="s">
        <v>263</v>
      </c>
      <c r="J970" s="1">
        <v>-7941515262</v>
      </c>
      <c r="K970" s="1" t="s">
        <v>18</v>
      </c>
      <c r="L970" s="1" t="b">
        <v>0</v>
      </c>
    </row>
    <row r="971" spans="1:12" x14ac:dyDescent="0.3">
      <c r="A971" s="1" t="s">
        <v>1560</v>
      </c>
      <c r="B971" s="1" t="s">
        <v>32</v>
      </c>
      <c r="C971" s="1" t="s">
        <v>38</v>
      </c>
      <c r="D971" s="1">
        <v>30</v>
      </c>
      <c r="E971" s="1" t="s">
        <v>21</v>
      </c>
      <c r="F971" s="1" t="s">
        <v>16</v>
      </c>
      <c r="G971" s="1" t="s">
        <v>518</v>
      </c>
      <c r="H971" s="1">
        <v>84253.9</v>
      </c>
      <c r="I971" s="1" t="s">
        <v>141</v>
      </c>
      <c r="J971" s="1">
        <v>-8409112251</v>
      </c>
      <c r="K971" s="1" t="s">
        <v>23</v>
      </c>
      <c r="L971" s="1" t="b">
        <v>1</v>
      </c>
    </row>
    <row r="972" spans="1:12" x14ac:dyDescent="0.3">
      <c r="A972" s="1" t="s">
        <v>1561</v>
      </c>
      <c r="B972" s="1" t="s">
        <v>54</v>
      </c>
      <c r="C972" s="1" t="s">
        <v>43</v>
      </c>
      <c r="D972" s="1">
        <v>25</v>
      </c>
      <c r="E972" s="1" t="s">
        <v>85</v>
      </c>
      <c r="F972" s="1" t="s">
        <v>16</v>
      </c>
      <c r="G972" s="1" t="s">
        <v>1562</v>
      </c>
      <c r="H972" s="1">
        <v>54776.01</v>
      </c>
      <c r="I972" s="1" t="s">
        <v>87</v>
      </c>
      <c r="J972" s="1">
        <v>-8837505660</v>
      </c>
      <c r="K972" s="1" t="s">
        <v>41</v>
      </c>
      <c r="L972" s="1" t="b">
        <v>0</v>
      </c>
    </row>
    <row r="973" spans="1:12" x14ac:dyDescent="0.3">
      <c r="A973" s="1" t="s">
        <v>1563</v>
      </c>
      <c r="B973" s="1" t="s">
        <v>54</v>
      </c>
      <c r="C973" s="1" t="s">
        <v>14</v>
      </c>
      <c r="D973" s="1">
        <v>40</v>
      </c>
      <c r="E973" s="1" t="s">
        <v>219</v>
      </c>
      <c r="F973" s="1" t="s">
        <v>33</v>
      </c>
      <c r="G973" s="2">
        <v>44054</v>
      </c>
      <c r="H973" s="1">
        <v>71192.679999999993</v>
      </c>
      <c r="I973" s="1" t="s">
        <v>170</v>
      </c>
      <c r="J973" s="1">
        <v>-8632397912</v>
      </c>
      <c r="K973" s="1" t="s">
        <v>18</v>
      </c>
      <c r="L973" s="1" t="b">
        <v>0</v>
      </c>
    </row>
    <row r="974" spans="1:12" x14ac:dyDescent="0.3">
      <c r="A974" s="1" t="s">
        <v>1564</v>
      </c>
      <c r="B974" s="1" t="s">
        <v>13</v>
      </c>
      <c r="C974" s="1" t="s">
        <v>122</v>
      </c>
      <c r="D974" s="1"/>
      <c r="E974" s="1" t="s">
        <v>112</v>
      </c>
      <c r="F974" s="1" t="s">
        <v>16</v>
      </c>
      <c r="G974" s="1" t="s">
        <v>1565</v>
      </c>
      <c r="H974" s="1">
        <v>96346.53</v>
      </c>
      <c r="I974" s="1" t="s">
        <v>123</v>
      </c>
      <c r="J974" s="1">
        <v>-7876553006</v>
      </c>
      <c r="K974" s="1" t="s">
        <v>18</v>
      </c>
      <c r="L974" s="1" t="b">
        <v>1</v>
      </c>
    </row>
    <row r="975" spans="1:12" x14ac:dyDescent="0.3">
      <c r="A975" s="1" t="s">
        <v>1566</v>
      </c>
      <c r="B975" s="1" t="s">
        <v>32</v>
      </c>
      <c r="C975" s="1" t="s">
        <v>38</v>
      </c>
      <c r="D975" s="1"/>
      <c r="E975" s="1" t="s">
        <v>192</v>
      </c>
      <c r="F975" s="1" t="s">
        <v>28</v>
      </c>
      <c r="G975" s="2">
        <v>43984</v>
      </c>
      <c r="H975" s="1">
        <v>116680.63</v>
      </c>
      <c r="I975" s="1" t="s">
        <v>141</v>
      </c>
      <c r="J975" s="1">
        <v>-3095055604</v>
      </c>
      <c r="K975" s="1" t="s">
        <v>23</v>
      </c>
      <c r="L975" s="1" t="b">
        <v>1</v>
      </c>
    </row>
    <row r="976" spans="1:12" x14ac:dyDescent="0.3">
      <c r="A976" s="1" t="s">
        <v>1567</v>
      </c>
      <c r="B976" s="1" t="s">
        <v>69</v>
      </c>
      <c r="C976" s="1" t="s">
        <v>20</v>
      </c>
      <c r="D976" s="1">
        <v>25</v>
      </c>
      <c r="E976" s="1" t="s">
        <v>112</v>
      </c>
      <c r="F976" s="1" t="s">
        <v>33</v>
      </c>
      <c r="G976" s="2">
        <v>45636</v>
      </c>
      <c r="H976" s="1">
        <v>76343.56</v>
      </c>
      <c r="I976" s="1" t="s">
        <v>201</v>
      </c>
      <c r="J976" s="1">
        <v>-7121988191</v>
      </c>
      <c r="K976" s="1" t="s">
        <v>23</v>
      </c>
      <c r="L976" s="1" t="b">
        <v>0</v>
      </c>
    </row>
    <row r="977" spans="1:12" x14ac:dyDescent="0.3">
      <c r="A977" s="1" t="s">
        <v>1568</v>
      </c>
      <c r="B977" s="1" t="s">
        <v>25</v>
      </c>
      <c r="C977" s="1" t="s">
        <v>55</v>
      </c>
      <c r="D977" s="1">
        <v>30</v>
      </c>
      <c r="E977" s="1" t="s">
        <v>219</v>
      </c>
      <c r="F977" s="1" t="s">
        <v>33</v>
      </c>
      <c r="G977" s="1" t="s">
        <v>1284</v>
      </c>
      <c r="H977" s="1">
        <v>99424.14</v>
      </c>
      <c r="I977" s="1" t="s">
        <v>150</v>
      </c>
      <c r="J977" s="1">
        <v>-7788519052</v>
      </c>
      <c r="K977" s="1" t="s">
        <v>23</v>
      </c>
      <c r="L977" s="1" t="b">
        <v>0</v>
      </c>
    </row>
    <row r="978" spans="1:12" x14ac:dyDescent="0.3">
      <c r="A978" s="1" t="s">
        <v>1569</v>
      </c>
      <c r="B978" s="1" t="s">
        <v>54</v>
      </c>
      <c r="C978" s="1" t="s">
        <v>43</v>
      </c>
      <c r="D978" s="1">
        <v>35</v>
      </c>
      <c r="E978" s="1" t="s">
        <v>230</v>
      </c>
      <c r="F978" s="1" t="s">
        <v>33</v>
      </c>
      <c r="G978" s="1" t="s">
        <v>1570</v>
      </c>
      <c r="H978" s="1">
        <v>57656.74</v>
      </c>
      <c r="I978" s="1" t="s">
        <v>87</v>
      </c>
      <c r="J978" s="1">
        <v>-4864010423</v>
      </c>
      <c r="K978" s="1" t="s">
        <v>30</v>
      </c>
      <c r="L978" s="1" t="b">
        <v>1</v>
      </c>
    </row>
    <row r="979" spans="1:12" x14ac:dyDescent="0.3">
      <c r="A979" s="1" t="s">
        <v>1571</v>
      </c>
      <c r="B979" s="1" t="s">
        <v>65</v>
      </c>
      <c r="C979" s="1" t="s">
        <v>43</v>
      </c>
      <c r="D979" s="1">
        <v>40</v>
      </c>
      <c r="E979" s="1" t="s">
        <v>109</v>
      </c>
      <c r="F979" s="1" t="s">
        <v>28</v>
      </c>
      <c r="G979" s="1" t="s">
        <v>657</v>
      </c>
      <c r="H979" s="1">
        <v>77396.94</v>
      </c>
      <c r="I979" s="1" t="s">
        <v>257</v>
      </c>
      <c r="J979" s="1">
        <v>-6245618516</v>
      </c>
      <c r="K979" s="1" t="s">
        <v>23</v>
      </c>
      <c r="L979" s="1" t="b">
        <v>1</v>
      </c>
    </row>
    <row r="980" spans="1:12" x14ac:dyDescent="0.3">
      <c r="A980" s="1" t="s">
        <v>1572</v>
      </c>
      <c r="B980" s="1" t="s">
        <v>69</v>
      </c>
      <c r="C980" s="1" t="s">
        <v>43</v>
      </c>
      <c r="D980" s="1"/>
      <c r="E980" s="1" t="s">
        <v>15</v>
      </c>
      <c r="F980" s="1" t="s">
        <v>33</v>
      </c>
      <c r="G980" s="1" t="s">
        <v>1573</v>
      </c>
      <c r="H980" s="1">
        <v>54299.68</v>
      </c>
      <c r="I980" s="1" t="s">
        <v>83</v>
      </c>
      <c r="J980" s="1">
        <v>-4460045211</v>
      </c>
      <c r="K980" s="1" t="s">
        <v>18</v>
      </c>
      <c r="L980" s="1" t="b">
        <v>0</v>
      </c>
    </row>
    <row r="981" spans="1:12" x14ac:dyDescent="0.3">
      <c r="A981" s="1" t="s">
        <v>1574</v>
      </c>
      <c r="B981" s="1" t="s">
        <v>54</v>
      </c>
      <c r="C981" s="1" t="s">
        <v>92</v>
      </c>
      <c r="D981" s="1">
        <v>35</v>
      </c>
      <c r="E981" s="1" t="s">
        <v>149</v>
      </c>
      <c r="F981" s="1" t="s">
        <v>28</v>
      </c>
      <c r="G981" s="1" t="s">
        <v>1575</v>
      </c>
      <c r="H981" s="1">
        <v>103563.58</v>
      </c>
      <c r="I981" s="1" t="s">
        <v>501</v>
      </c>
      <c r="J981" s="1">
        <v>-8991511454</v>
      </c>
      <c r="K981" s="1" t="s">
        <v>23</v>
      </c>
      <c r="L981" s="1" t="b">
        <v>1</v>
      </c>
    </row>
    <row r="982" spans="1:12" x14ac:dyDescent="0.3">
      <c r="A982" s="1" t="s">
        <v>1576</v>
      </c>
      <c r="B982" s="1" t="s">
        <v>69</v>
      </c>
      <c r="C982" s="1" t="s">
        <v>20</v>
      </c>
      <c r="D982" s="1">
        <v>25</v>
      </c>
      <c r="E982" s="1" t="s">
        <v>70</v>
      </c>
      <c r="F982" s="1" t="s">
        <v>33</v>
      </c>
      <c r="G982" s="1" t="s">
        <v>753</v>
      </c>
      <c r="H982" s="1">
        <v>74588.850000000006</v>
      </c>
      <c r="I982" s="1" t="s">
        <v>201</v>
      </c>
      <c r="J982" s="1">
        <v>-1293913043</v>
      </c>
      <c r="K982" s="1" t="s">
        <v>18</v>
      </c>
      <c r="L982" s="1" t="b">
        <v>0</v>
      </c>
    </row>
    <row r="983" spans="1:12" x14ac:dyDescent="0.3">
      <c r="A983" s="1" t="s">
        <v>1577</v>
      </c>
      <c r="B983" s="1" t="s">
        <v>59</v>
      </c>
      <c r="C983" s="1" t="s">
        <v>43</v>
      </c>
      <c r="D983" s="1">
        <v>30</v>
      </c>
      <c r="E983" s="1" t="s">
        <v>15</v>
      </c>
      <c r="F983" s="1" t="s">
        <v>28</v>
      </c>
      <c r="G983" s="1" t="s">
        <v>1578</v>
      </c>
      <c r="H983" s="1">
        <v>113727.23</v>
      </c>
      <c r="I983" s="1" t="s">
        <v>101</v>
      </c>
      <c r="J983" s="1">
        <v>-8818984840</v>
      </c>
      <c r="K983" s="1" t="s">
        <v>41</v>
      </c>
      <c r="L983" s="1" t="b">
        <v>0</v>
      </c>
    </row>
    <row r="984" spans="1:12" x14ac:dyDescent="0.3">
      <c r="A984" s="1" t="s">
        <v>1579</v>
      </c>
      <c r="B984" s="1" t="s">
        <v>32</v>
      </c>
      <c r="C984" s="1" t="s">
        <v>20</v>
      </c>
      <c r="D984" s="1">
        <v>25</v>
      </c>
      <c r="E984" s="1" t="s">
        <v>66</v>
      </c>
      <c r="F984" s="1" t="s">
        <v>16</v>
      </c>
      <c r="G984" s="2">
        <v>45108</v>
      </c>
      <c r="H984" s="1">
        <v>72828.179999999993</v>
      </c>
      <c r="I984" s="1" t="s">
        <v>155</v>
      </c>
      <c r="J984" s="1">
        <v>-6046154020</v>
      </c>
      <c r="K984" s="1" t="s">
        <v>30</v>
      </c>
      <c r="L984" s="1" t="b">
        <v>0</v>
      </c>
    </row>
    <row r="985" spans="1:12" x14ac:dyDescent="0.3">
      <c r="A985" s="1" t="s">
        <v>1580</v>
      </c>
      <c r="B985" s="1" t="s">
        <v>69</v>
      </c>
      <c r="C985" s="1" t="s">
        <v>26</v>
      </c>
      <c r="D985" s="1"/>
      <c r="E985" s="1" t="s">
        <v>74</v>
      </c>
      <c r="F985" s="1" t="s">
        <v>33</v>
      </c>
      <c r="G985" s="2">
        <v>44137</v>
      </c>
      <c r="H985" s="1">
        <v>98717.09</v>
      </c>
      <c r="I985" s="1" t="s">
        <v>76</v>
      </c>
      <c r="J985" s="1">
        <v>-1901707567</v>
      </c>
      <c r="K985" s="1" t="s">
        <v>41</v>
      </c>
      <c r="L985" s="1" t="b">
        <v>0</v>
      </c>
    </row>
    <row r="986" spans="1:12" x14ac:dyDescent="0.3">
      <c r="A986" s="1" t="s">
        <v>1581</v>
      </c>
      <c r="B986" s="1" t="s">
        <v>37</v>
      </c>
      <c r="C986" s="1" t="s">
        <v>43</v>
      </c>
      <c r="D986" s="1">
        <v>40</v>
      </c>
      <c r="E986" s="1" t="s">
        <v>74</v>
      </c>
      <c r="F986" s="1" t="s">
        <v>33</v>
      </c>
      <c r="G986" s="1" t="s">
        <v>511</v>
      </c>
      <c r="H986" s="1">
        <v>56840.800000000003</v>
      </c>
      <c r="I986" s="1" t="s">
        <v>180</v>
      </c>
      <c r="J986" s="1">
        <v>-1429831521</v>
      </c>
      <c r="K986" s="1" t="s">
        <v>41</v>
      </c>
      <c r="L986" s="1" t="b">
        <v>1</v>
      </c>
    </row>
    <row r="987" spans="1:12" x14ac:dyDescent="0.3">
      <c r="A987" s="1" t="s">
        <v>1582</v>
      </c>
      <c r="B987" s="1" t="s">
        <v>59</v>
      </c>
      <c r="C987" s="1" t="s">
        <v>55</v>
      </c>
      <c r="D987" s="1">
        <v>35</v>
      </c>
      <c r="E987" s="1" t="s">
        <v>265</v>
      </c>
      <c r="F987" s="1" t="s">
        <v>28</v>
      </c>
      <c r="G987" s="1" t="s">
        <v>1583</v>
      </c>
      <c r="H987" s="1">
        <v>61663.91</v>
      </c>
      <c r="I987" s="1" t="s">
        <v>217</v>
      </c>
      <c r="J987" s="1">
        <v>-9107322835</v>
      </c>
      <c r="K987" s="1" t="s">
        <v>18</v>
      </c>
      <c r="L987" s="1" t="b">
        <v>1</v>
      </c>
    </row>
    <row r="988" spans="1:12" x14ac:dyDescent="0.3">
      <c r="A988" s="1" t="s">
        <v>1584</v>
      </c>
      <c r="B988" s="1" t="s">
        <v>69</v>
      </c>
      <c r="C988" s="1" t="s">
        <v>20</v>
      </c>
      <c r="D988" s="1">
        <v>30</v>
      </c>
      <c r="E988" s="1" t="s">
        <v>100</v>
      </c>
      <c r="F988" s="1" t="s">
        <v>16</v>
      </c>
      <c r="G988" s="1" t="s">
        <v>1585</v>
      </c>
      <c r="H988" s="1">
        <v>109523.4</v>
      </c>
      <c r="I988" s="1" t="s">
        <v>201</v>
      </c>
      <c r="J988" s="1">
        <v>-849378305</v>
      </c>
      <c r="K988" s="1" t="s">
        <v>41</v>
      </c>
      <c r="L988" s="1" t="b">
        <v>1</v>
      </c>
    </row>
    <row r="989" spans="1:12" x14ac:dyDescent="0.3">
      <c r="A989" s="1" t="s">
        <v>1586</v>
      </c>
      <c r="B989" s="1" t="s">
        <v>32</v>
      </c>
      <c r="C989" s="1" t="s">
        <v>20</v>
      </c>
      <c r="D989" s="1">
        <v>25</v>
      </c>
      <c r="E989" s="1" t="s">
        <v>192</v>
      </c>
      <c r="F989" s="1" t="s">
        <v>33</v>
      </c>
      <c r="G989" s="2">
        <v>45419</v>
      </c>
      <c r="H989" s="1">
        <v>65812.02</v>
      </c>
      <c r="I989" s="1" t="s">
        <v>155</v>
      </c>
      <c r="J989" s="1">
        <v>-3963845268</v>
      </c>
      <c r="K989" s="1" t="s">
        <v>18</v>
      </c>
      <c r="L989" s="1" t="b">
        <v>1</v>
      </c>
    </row>
    <row r="990" spans="1:12" x14ac:dyDescent="0.3">
      <c r="A990" s="1" t="s">
        <v>1587</v>
      </c>
      <c r="B990" s="1" t="s">
        <v>13</v>
      </c>
      <c r="C990" s="1" t="s">
        <v>55</v>
      </c>
      <c r="D990" s="1"/>
      <c r="E990" s="1" t="s">
        <v>95</v>
      </c>
      <c r="F990" s="1" t="s">
        <v>33</v>
      </c>
      <c r="G990" s="1" t="s">
        <v>1588</v>
      </c>
      <c r="H990" s="1">
        <v>54708.88</v>
      </c>
      <c r="I990" s="1" t="s">
        <v>199</v>
      </c>
      <c r="J990" s="1">
        <v>-6944391648</v>
      </c>
      <c r="K990" s="1" t="s">
        <v>23</v>
      </c>
      <c r="L990" s="1" t="b">
        <v>1</v>
      </c>
    </row>
    <row r="991" spans="1:12" x14ac:dyDescent="0.3">
      <c r="A991" s="1" t="s">
        <v>1589</v>
      </c>
      <c r="B991" s="1" t="s">
        <v>65</v>
      </c>
      <c r="C991" s="1" t="s">
        <v>43</v>
      </c>
      <c r="D991" s="1">
        <v>40</v>
      </c>
      <c r="E991" s="1" t="s">
        <v>118</v>
      </c>
      <c r="F991" s="1" t="s">
        <v>16</v>
      </c>
      <c r="G991" s="1" t="s">
        <v>902</v>
      </c>
      <c r="H991" s="1">
        <v>107661.73</v>
      </c>
      <c r="I991" s="1" t="s">
        <v>257</v>
      </c>
      <c r="J991" s="1">
        <v>-7016934291</v>
      </c>
      <c r="K991" s="1" t="s">
        <v>23</v>
      </c>
      <c r="L991" s="1" t="b">
        <v>1</v>
      </c>
    </row>
    <row r="992" spans="1:12" x14ac:dyDescent="0.3">
      <c r="A992" s="1" t="s">
        <v>1590</v>
      </c>
      <c r="B992" s="1" t="s">
        <v>32</v>
      </c>
      <c r="C992" s="1" t="s">
        <v>55</v>
      </c>
      <c r="D992" s="1">
        <v>40</v>
      </c>
      <c r="E992" s="1" t="s">
        <v>78</v>
      </c>
      <c r="F992" s="1" t="s">
        <v>33</v>
      </c>
      <c r="G992" s="1" t="s">
        <v>1542</v>
      </c>
      <c r="H992" s="1">
        <v>79002</v>
      </c>
      <c r="I992" s="1" t="s">
        <v>322</v>
      </c>
      <c r="J992" s="1">
        <v>-9132033015</v>
      </c>
      <c r="K992" s="1" t="s">
        <v>18</v>
      </c>
      <c r="L992" s="1" t="b">
        <v>1</v>
      </c>
    </row>
    <row r="993" spans="1:12" x14ac:dyDescent="0.3">
      <c r="A993" s="1" t="s">
        <v>1591</v>
      </c>
      <c r="B993" s="1" t="s">
        <v>65</v>
      </c>
      <c r="C993" s="1" t="s">
        <v>20</v>
      </c>
      <c r="D993" s="1"/>
      <c r="E993" s="1" t="s">
        <v>103</v>
      </c>
      <c r="F993" s="1" t="s">
        <v>28</v>
      </c>
      <c r="G993" s="2">
        <v>45242</v>
      </c>
      <c r="H993" s="1">
        <v>86135.69</v>
      </c>
      <c r="I993" s="1" t="s">
        <v>403</v>
      </c>
      <c r="J993" s="1">
        <v>-2341903105</v>
      </c>
      <c r="K993" s="1" t="s">
        <v>23</v>
      </c>
      <c r="L993" s="1" t="b">
        <v>0</v>
      </c>
    </row>
    <row r="994" spans="1:12" x14ac:dyDescent="0.3">
      <c r="A994" s="1" t="s">
        <v>1592</v>
      </c>
      <c r="B994" s="1" t="s">
        <v>65</v>
      </c>
      <c r="C994" s="1" t="s">
        <v>55</v>
      </c>
      <c r="D994" s="1">
        <v>30</v>
      </c>
      <c r="E994" s="1" t="s">
        <v>328</v>
      </c>
      <c r="F994" s="1" t="s">
        <v>33</v>
      </c>
      <c r="G994" s="2">
        <v>44234</v>
      </c>
      <c r="H994" s="1">
        <v>115601.4</v>
      </c>
      <c r="I994" s="1" t="s">
        <v>113</v>
      </c>
      <c r="J994" s="1">
        <v>-1537221555</v>
      </c>
      <c r="K994" s="1" t="s">
        <v>30</v>
      </c>
      <c r="L994" s="1" t="b">
        <v>1</v>
      </c>
    </row>
    <row r="995" spans="1:12" x14ac:dyDescent="0.3">
      <c r="A995" s="1" t="s">
        <v>1593</v>
      </c>
      <c r="B995" s="1" t="s">
        <v>69</v>
      </c>
      <c r="C995" s="1" t="s">
        <v>20</v>
      </c>
      <c r="D995" s="1"/>
      <c r="E995" s="1" t="s">
        <v>328</v>
      </c>
      <c r="F995" s="1" t="s">
        <v>16</v>
      </c>
      <c r="G995" s="2">
        <v>44693</v>
      </c>
      <c r="H995" s="1">
        <v>64045.36</v>
      </c>
      <c r="I995" s="1" t="s">
        <v>201</v>
      </c>
      <c r="J995" s="1">
        <v>-6847323652</v>
      </c>
      <c r="K995" s="1" t="s">
        <v>41</v>
      </c>
      <c r="L995" s="1" t="b">
        <v>1</v>
      </c>
    </row>
    <row r="996" spans="1:12" x14ac:dyDescent="0.3">
      <c r="A996" s="1" t="s">
        <v>1594</v>
      </c>
      <c r="B996" s="1" t="s">
        <v>59</v>
      </c>
      <c r="C996" s="1" t="s">
        <v>20</v>
      </c>
      <c r="D996" s="1">
        <v>30</v>
      </c>
      <c r="E996" s="1" t="s">
        <v>328</v>
      </c>
      <c r="F996" s="1" t="s">
        <v>33</v>
      </c>
      <c r="G996" s="1" t="s">
        <v>1595</v>
      </c>
      <c r="H996" s="1">
        <v>80477.210000000006</v>
      </c>
      <c r="I996" s="1" t="s">
        <v>225</v>
      </c>
      <c r="J996" s="1">
        <v>-3774604066</v>
      </c>
      <c r="K996" s="1" t="s">
        <v>30</v>
      </c>
      <c r="L996" s="1" t="b">
        <v>0</v>
      </c>
    </row>
    <row r="997" spans="1:12" x14ac:dyDescent="0.3">
      <c r="A997" s="1" t="s">
        <v>1596</v>
      </c>
      <c r="B997" s="1" t="s">
        <v>13</v>
      </c>
      <c r="C997" s="1" t="s">
        <v>26</v>
      </c>
      <c r="D997" s="1">
        <v>30</v>
      </c>
      <c r="E997" s="1" t="s">
        <v>70</v>
      </c>
      <c r="F997" s="1" t="s">
        <v>33</v>
      </c>
      <c r="G997" s="1" t="s">
        <v>1597</v>
      </c>
      <c r="H997" s="1">
        <v>61240.9</v>
      </c>
      <c r="I997" s="1" t="s">
        <v>50</v>
      </c>
      <c r="J997" s="1">
        <v>-2007843613</v>
      </c>
      <c r="K997" s="1" t="s">
        <v>41</v>
      </c>
      <c r="L997" s="1" t="b">
        <v>1</v>
      </c>
    </row>
    <row r="998" spans="1:12" x14ac:dyDescent="0.3">
      <c r="A998" s="1" t="s">
        <v>1598</v>
      </c>
      <c r="B998" s="1" t="s">
        <v>59</v>
      </c>
      <c r="C998" s="1" t="s">
        <v>122</v>
      </c>
      <c r="D998" s="1">
        <v>40</v>
      </c>
      <c r="E998" s="1" t="s">
        <v>103</v>
      </c>
      <c r="F998" s="1" t="s">
        <v>16</v>
      </c>
      <c r="G998" s="1" t="s">
        <v>1599</v>
      </c>
      <c r="H998" s="1">
        <v>51939.29</v>
      </c>
      <c r="I998" s="1" t="s">
        <v>340</v>
      </c>
      <c r="J998" s="1">
        <v>-2442607818</v>
      </c>
      <c r="K998" s="1" t="s">
        <v>23</v>
      </c>
      <c r="L998" s="1" t="b">
        <v>1</v>
      </c>
    </row>
    <row r="999" spans="1:12" x14ac:dyDescent="0.3">
      <c r="A999" s="1" t="s">
        <v>1600</v>
      </c>
      <c r="B999" s="1" t="s">
        <v>32</v>
      </c>
      <c r="C999" s="1" t="s">
        <v>20</v>
      </c>
      <c r="D999" s="1">
        <v>40</v>
      </c>
      <c r="E999" s="1" t="s">
        <v>265</v>
      </c>
      <c r="F999" s="1" t="s">
        <v>33</v>
      </c>
      <c r="G999" s="1" t="s">
        <v>1165</v>
      </c>
      <c r="H999" s="1">
        <v>95284.54</v>
      </c>
      <c r="I999" s="1" t="s">
        <v>155</v>
      </c>
      <c r="J999" s="1">
        <v>-7543734763</v>
      </c>
      <c r="K999" s="1" t="s">
        <v>30</v>
      </c>
      <c r="L999" s="1" t="b">
        <v>0</v>
      </c>
    </row>
    <row r="1000" spans="1:12" x14ac:dyDescent="0.3">
      <c r="A1000" s="1" t="s">
        <v>1601</v>
      </c>
      <c r="B1000" s="1" t="s">
        <v>54</v>
      </c>
      <c r="C1000" s="1" t="s">
        <v>43</v>
      </c>
      <c r="D1000" s="1">
        <v>35</v>
      </c>
      <c r="E1000" s="1" t="s">
        <v>103</v>
      </c>
      <c r="F1000" s="1" t="s">
        <v>33</v>
      </c>
      <c r="G1000" s="2">
        <v>45418</v>
      </c>
      <c r="H1000" s="1">
        <v>106247.67</v>
      </c>
      <c r="I1000" s="1" t="s">
        <v>87</v>
      </c>
      <c r="J1000" s="1">
        <v>-2737203762</v>
      </c>
      <c r="K1000" s="1" t="s">
        <v>23</v>
      </c>
      <c r="L1000" s="1" t="b">
        <v>1</v>
      </c>
    </row>
    <row r="1001" spans="1:12" x14ac:dyDescent="0.3">
      <c r="A1001" s="1" t="s">
        <v>1602</v>
      </c>
      <c r="B1001" s="1" t="s">
        <v>54</v>
      </c>
      <c r="C1001" s="1" t="s">
        <v>38</v>
      </c>
      <c r="D1001" s="1">
        <v>25</v>
      </c>
      <c r="E1001" s="1" t="s">
        <v>230</v>
      </c>
      <c r="F1001" s="1" t="s">
        <v>16</v>
      </c>
      <c r="G1001" s="1" t="s">
        <v>776</v>
      </c>
      <c r="H1001" s="1">
        <v>110170.88</v>
      </c>
      <c r="I1001" s="1" t="s">
        <v>90</v>
      </c>
      <c r="J1001" s="1">
        <v>-8821458413</v>
      </c>
      <c r="K1001" s="1" t="s">
        <v>41</v>
      </c>
      <c r="L1001" s="1" t="b">
        <v>1</v>
      </c>
    </row>
    <row r="1002" spans="1:12" x14ac:dyDescent="0.3">
      <c r="A1002" s="1" t="s">
        <v>1603</v>
      </c>
      <c r="B1002" s="1" t="s">
        <v>54</v>
      </c>
      <c r="C1002" s="1" t="s">
        <v>92</v>
      </c>
      <c r="D1002" s="1">
        <v>25</v>
      </c>
      <c r="E1002" s="1" t="s">
        <v>149</v>
      </c>
      <c r="F1002" s="1" t="s">
        <v>28</v>
      </c>
      <c r="G1002" s="2">
        <v>45571</v>
      </c>
      <c r="H1002" s="1">
        <v>52615.44</v>
      </c>
      <c r="I1002" s="1" t="s">
        <v>501</v>
      </c>
      <c r="J1002" s="1">
        <v>-8460191343</v>
      </c>
      <c r="K1002" s="1" t="s">
        <v>18</v>
      </c>
      <c r="L1002" s="1" t="b">
        <v>1</v>
      </c>
    </row>
    <row r="1003" spans="1:12" x14ac:dyDescent="0.3">
      <c r="A1003" s="1" t="s">
        <v>1604</v>
      </c>
      <c r="B1003" s="1" t="s">
        <v>32</v>
      </c>
      <c r="C1003" s="1" t="s">
        <v>14</v>
      </c>
      <c r="D1003" s="1">
        <v>30</v>
      </c>
      <c r="E1003" s="1" t="s">
        <v>78</v>
      </c>
      <c r="F1003" s="1" t="s">
        <v>33</v>
      </c>
      <c r="G1003" s="1" t="s">
        <v>1249</v>
      </c>
      <c r="H1003" s="1">
        <v>82547.259999999995</v>
      </c>
      <c r="I1003" s="1" t="s">
        <v>35</v>
      </c>
      <c r="J1003" s="1">
        <v>-3899827801</v>
      </c>
      <c r="K1003" s="1" t="s">
        <v>18</v>
      </c>
      <c r="L1003" s="1" t="b">
        <v>0</v>
      </c>
    </row>
    <row r="1004" spans="1:12" x14ac:dyDescent="0.3">
      <c r="A1004" s="1" t="s">
        <v>1605</v>
      </c>
      <c r="B1004" s="1" t="s">
        <v>13</v>
      </c>
      <c r="C1004" s="1" t="s">
        <v>122</v>
      </c>
      <c r="D1004" s="1">
        <v>35</v>
      </c>
      <c r="E1004" s="1" t="s">
        <v>265</v>
      </c>
      <c r="F1004" s="1" t="s">
        <v>28</v>
      </c>
      <c r="G1004" s="1" t="s">
        <v>1253</v>
      </c>
      <c r="H1004" s="1">
        <v>63049.22</v>
      </c>
      <c r="I1004" s="1" t="s">
        <v>123</v>
      </c>
      <c r="J1004" s="1">
        <v>-586950731</v>
      </c>
      <c r="K1004" s="1" t="s">
        <v>30</v>
      </c>
      <c r="L1004" s="1" t="b">
        <v>1</v>
      </c>
    </row>
    <row r="1005" spans="1:12" x14ac:dyDescent="0.3">
      <c r="A1005" s="1" t="s">
        <v>1606</v>
      </c>
      <c r="B1005" s="1" t="s">
        <v>37</v>
      </c>
      <c r="C1005" s="1" t="s">
        <v>122</v>
      </c>
      <c r="D1005" s="1">
        <v>35</v>
      </c>
      <c r="E1005" s="1" t="s">
        <v>146</v>
      </c>
      <c r="F1005" s="1" t="s">
        <v>28</v>
      </c>
      <c r="G1005" s="1" t="s">
        <v>968</v>
      </c>
      <c r="H1005" s="1">
        <v>115229.12</v>
      </c>
      <c r="I1005" s="1" t="s">
        <v>137</v>
      </c>
      <c r="J1005" s="1">
        <v>-1464493698</v>
      </c>
      <c r="K1005" s="1" t="s">
        <v>23</v>
      </c>
      <c r="L1005" s="1" t="b">
        <v>1</v>
      </c>
    </row>
    <row r="1006" spans="1:12" x14ac:dyDescent="0.3">
      <c r="A1006" s="1" t="s">
        <v>1607</v>
      </c>
      <c r="B1006" s="1" t="s">
        <v>69</v>
      </c>
      <c r="C1006" s="1" t="s">
        <v>122</v>
      </c>
      <c r="D1006" s="1">
        <v>25</v>
      </c>
      <c r="E1006" s="1" t="s">
        <v>78</v>
      </c>
      <c r="F1006" s="1" t="s">
        <v>28</v>
      </c>
      <c r="G1006" s="1" t="s">
        <v>726</v>
      </c>
      <c r="H1006" s="1">
        <v>60687.63</v>
      </c>
      <c r="I1006" s="1" t="s">
        <v>135</v>
      </c>
      <c r="J1006" s="1">
        <v>-9516793349</v>
      </c>
      <c r="K1006" s="1" t="s">
        <v>23</v>
      </c>
      <c r="L1006" s="1" t="b">
        <v>0</v>
      </c>
    </row>
    <row r="1007" spans="1:12" x14ac:dyDescent="0.3">
      <c r="A1007" s="1" t="s">
        <v>1608</v>
      </c>
      <c r="B1007" s="1" t="s">
        <v>37</v>
      </c>
      <c r="C1007" s="1" t="s">
        <v>26</v>
      </c>
      <c r="D1007" s="1">
        <v>30</v>
      </c>
      <c r="E1007" s="1" t="s">
        <v>265</v>
      </c>
      <c r="F1007" s="1" t="s">
        <v>33</v>
      </c>
      <c r="G1007" s="1" t="s">
        <v>1163</v>
      </c>
      <c r="H1007" s="1">
        <v>67492.73</v>
      </c>
      <c r="I1007" s="1" t="s">
        <v>47</v>
      </c>
      <c r="J1007" s="1">
        <v>-5573857367</v>
      </c>
      <c r="K1007" s="1" t="s">
        <v>30</v>
      </c>
      <c r="L1007" s="1" t="b">
        <v>1</v>
      </c>
    </row>
    <row r="1008" spans="1:12" x14ac:dyDescent="0.3">
      <c r="A1008" s="1" t="s">
        <v>1609</v>
      </c>
      <c r="B1008" s="1" t="s">
        <v>69</v>
      </c>
      <c r="C1008" s="1" t="s">
        <v>20</v>
      </c>
      <c r="D1008" s="1"/>
      <c r="E1008" s="1" t="s">
        <v>192</v>
      </c>
      <c r="F1008" s="1" t="s">
        <v>33</v>
      </c>
      <c r="G1008" s="1" t="s">
        <v>599</v>
      </c>
      <c r="H1008" s="1">
        <v>77821.789999999994</v>
      </c>
      <c r="I1008" s="1" t="s">
        <v>201</v>
      </c>
      <c r="J1008" s="1">
        <v>-119236036</v>
      </c>
      <c r="K1008" s="1" t="s">
        <v>18</v>
      </c>
      <c r="L1008" s="1" t="b">
        <v>0</v>
      </c>
    </row>
    <row r="1009" spans="1:12" x14ac:dyDescent="0.3">
      <c r="A1009" s="1" t="s">
        <v>1610</v>
      </c>
      <c r="B1009" s="1" t="s">
        <v>54</v>
      </c>
      <c r="C1009" s="1" t="s">
        <v>26</v>
      </c>
      <c r="D1009" s="1">
        <v>35</v>
      </c>
      <c r="E1009" s="1" t="s">
        <v>237</v>
      </c>
      <c r="F1009" s="1" t="s">
        <v>16</v>
      </c>
      <c r="G1009" s="1" t="s">
        <v>918</v>
      </c>
      <c r="H1009" s="1">
        <v>69146.95</v>
      </c>
      <c r="I1009" s="1" t="s">
        <v>120</v>
      </c>
      <c r="J1009" s="1">
        <v>-6811872332</v>
      </c>
      <c r="K1009" s="1" t="s">
        <v>41</v>
      </c>
      <c r="L1009" s="1" t="b">
        <v>0</v>
      </c>
    </row>
    <row r="1010" spans="1:12" x14ac:dyDescent="0.3">
      <c r="A1010" s="1" t="s">
        <v>1611</v>
      </c>
      <c r="B1010" s="1" t="s">
        <v>69</v>
      </c>
      <c r="C1010" s="1" t="s">
        <v>20</v>
      </c>
      <c r="D1010" s="1">
        <v>35</v>
      </c>
      <c r="E1010" s="1" t="s">
        <v>27</v>
      </c>
      <c r="F1010" s="1" t="s">
        <v>33</v>
      </c>
      <c r="G1010" s="2">
        <v>44898</v>
      </c>
      <c r="H1010" s="1">
        <v>90224.82</v>
      </c>
      <c r="I1010" s="1" t="s">
        <v>201</v>
      </c>
      <c r="J1010" s="1">
        <v>-5104096148</v>
      </c>
      <c r="K1010" s="1" t="s">
        <v>30</v>
      </c>
      <c r="L1010" s="1" t="b">
        <v>1</v>
      </c>
    </row>
    <row r="1011" spans="1:12" x14ac:dyDescent="0.3">
      <c r="A1011" s="1" t="s">
        <v>1612</v>
      </c>
      <c r="B1011" s="1" t="s">
        <v>59</v>
      </c>
      <c r="C1011" s="1" t="s">
        <v>43</v>
      </c>
      <c r="D1011" s="1"/>
      <c r="E1011" s="1" t="s">
        <v>265</v>
      </c>
      <c r="F1011" s="1" t="s">
        <v>28</v>
      </c>
      <c r="G1011" s="2">
        <v>45602</v>
      </c>
      <c r="H1011" s="1">
        <v>62603.98</v>
      </c>
      <c r="I1011" s="1" t="s">
        <v>101</v>
      </c>
      <c r="J1011" s="1">
        <v>-7315391148</v>
      </c>
      <c r="K1011" s="1" t="s">
        <v>41</v>
      </c>
      <c r="L1011" s="1" t="b">
        <v>0</v>
      </c>
    </row>
    <row r="1012" spans="1:12" x14ac:dyDescent="0.3">
      <c r="A1012" s="1" t="s">
        <v>1613</v>
      </c>
      <c r="B1012" s="1" t="s">
        <v>13</v>
      </c>
      <c r="C1012" s="1" t="s">
        <v>26</v>
      </c>
      <c r="D1012" s="1">
        <v>35</v>
      </c>
      <c r="E1012" s="1" t="s">
        <v>219</v>
      </c>
      <c r="F1012" s="1" t="s">
        <v>16</v>
      </c>
      <c r="G1012" s="2">
        <v>45571</v>
      </c>
      <c r="H1012" s="1">
        <v>71148.27</v>
      </c>
      <c r="I1012" s="1" t="s">
        <v>50</v>
      </c>
      <c r="J1012" s="1">
        <v>-8307482072</v>
      </c>
      <c r="K1012" s="1" t="s">
        <v>18</v>
      </c>
      <c r="L1012" s="1" t="b">
        <v>0</v>
      </c>
    </row>
    <row r="1013" spans="1:12" x14ac:dyDescent="0.3">
      <c r="A1013" s="1" t="s">
        <v>1614</v>
      </c>
      <c r="B1013" s="1" t="s">
        <v>59</v>
      </c>
      <c r="C1013" s="1" t="s">
        <v>26</v>
      </c>
      <c r="D1013" s="1">
        <v>40</v>
      </c>
      <c r="E1013" s="1" t="s">
        <v>118</v>
      </c>
      <c r="F1013" s="1" t="s">
        <v>33</v>
      </c>
      <c r="G1013" s="1" t="s">
        <v>224</v>
      </c>
      <c r="H1013" s="1">
        <v>52031.74</v>
      </c>
      <c r="I1013" s="1" t="s">
        <v>242</v>
      </c>
      <c r="J1013" s="1">
        <v>-6511893939</v>
      </c>
      <c r="K1013" s="1" t="s">
        <v>23</v>
      </c>
      <c r="L1013" s="1" t="b">
        <v>1</v>
      </c>
    </row>
    <row r="1014" spans="1:12" x14ac:dyDescent="0.3">
      <c r="A1014" s="1" t="s">
        <v>1615</v>
      </c>
      <c r="B1014" s="1" t="s">
        <v>69</v>
      </c>
      <c r="C1014" s="1" t="s">
        <v>92</v>
      </c>
      <c r="D1014" s="1">
        <v>35</v>
      </c>
      <c r="E1014" s="1" t="s">
        <v>230</v>
      </c>
      <c r="F1014" s="1" t="s">
        <v>33</v>
      </c>
      <c r="G1014" s="1" t="s">
        <v>1100</v>
      </c>
      <c r="H1014" s="1"/>
      <c r="I1014" s="1" t="s">
        <v>168</v>
      </c>
      <c r="J1014" s="1">
        <v>-6557820189</v>
      </c>
      <c r="K1014" s="1" t="s">
        <v>18</v>
      </c>
      <c r="L1014" s="1" t="b">
        <v>0</v>
      </c>
    </row>
    <row r="1015" spans="1:12" x14ac:dyDescent="0.3">
      <c r="A1015" s="1" t="s">
        <v>1616</v>
      </c>
      <c r="B1015" s="1" t="s">
        <v>32</v>
      </c>
      <c r="C1015" s="1" t="s">
        <v>38</v>
      </c>
      <c r="D1015" s="1"/>
      <c r="E1015" s="1" t="s">
        <v>192</v>
      </c>
      <c r="F1015" s="1" t="s">
        <v>28</v>
      </c>
      <c r="G1015" s="2">
        <v>43984</v>
      </c>
      <c r="H1015" s="1">
        <v>116680.63</v>
      </c>
      <c r="I1015" s="1" t="s">
        <v>141</v>
      </c>
      <c r="J1015" s="1">
        <v>-4322302332</v>
      </c>
      <c r="K1015" s="1" t="s">
        <v>30</v>
      </c>
      <c r="L1015" s="1" t="b">
        <v>0</v>
      </c>
    </row>
    <row r="1016" spans="1:12" x14ac:dyDescent="0.3">
      <c r="A1016" s="1" t="s">
        <v>1617</v>
      </c>
      <c r="B1016" s="1" t="s">
        <v>69</v>
      </c>
      <c r="C1016" s="1" t="s">
        <v>26</v>
      </c>
      <c r="D1016" s="1">
        <v>30</v>
      </c>
      <c r="E1016" s="1" t="s">
        <v>100</v>
      </c>
      <c r="F1016" s="1" t="s">
        <v>28</v>
      </c>
      <c r="G1016" s="1" t="s">
        <v>1522</v>
      </c>
      <c r="H1016" s="1">
        <v>51990.98</v>
      </c>
      <c r="I1016" s="1" t="s">
        <v>76</v>
      </c>
      <c r="J1016" s="1">
        <v>-2470739200</v>
      </c>
      <c r="K1016" s="1" t="s">
        <v>23</v>
      </c>
      <c r="L1016" s="1" t="b">
        <v>1</v>
      </c>
    </row>
    <row r="1017" spans="1:12" x14ac:dyDescent="0.3">
      <c r="A1017" s="1" t="s">
        <v>1618</v>
      </c>
      <c r="B1017" s="1" t="s">
        <v>59</v>
      </c>
      <c r="C1017" s="1" t="s">
        <v>92</v>
      </c>
      <c r="D1017" s="1">
        <v>30</v>
      </c>
      <c r="E1017" s="1" t="s">
        <v>146</v>
      </c>
      <c r="F1017" s="1" t="s">
        <v>16</v>
      </c>
      <c r="G1017" s="1" t="s">
        <v>1026</v>
      </c>
      <c r="H1017" s="1"/>
      <c r="I1017" s="1" t="s">
        <v>107</v>
      </c>
      <c r="J1017" s="1">
        <v>-3546212759</v>
      </c>
      <c r="K1017" s="1" t="s">
        <v>30</v>
      </c>
      <c r="L1017" s="1" t="b">
        <v>1</v>
      </c>
    </row>
    <row r="1018" spans="1:12" x14ac:dyDescent="0.3">
      <c r="A1018" s="1" t="s">
        <v>1619</v>
      </c>
      <c r="B1018" s="1" t="s">
        <v>59</v>
      </c>
      <c r="C1018" s="1" t="s">
        <v>55</v>
      </c>
      <c r="D1018" s="1">
        <v>30</v>
      </c>
      <c r="E1018" s="1" t="s">
        <v>159</v>
      </c>
      <c r="F1018" s="1" t="s">
        <v>33</v>
      </c>
      <c r="G1018" s="2">
        <v>44388</v>
      </c>
      <c r="H1018" s="1">
        <v>100215.06</v>
      </c>
      <c r="I1018" s="1" t="s">
        <v>217</v>
      </c>
      <c r="J1018" s="1">
        <v>-2508261122</v>
      </c>
      <c r="K1018" s="1" t="s">
        <v>30</v>
      </c>
      <c r="L1018" s="1" t="b">
        <v>1</v>
      </c>
    </row>
    <row r="1019" spans="1:12" x14ac:dyDescent="0.3">
      <c r="A1019" s="1" t="s">
        <v>1620</v>
      </c>
      <c r="B1019" s="1" t="s">
        <v>54</v>
      </c>
      <c r="C1019" s="1" t="s">
        <v>38</v>
      </c>
      <c r="D1019" s="1">
        <v>40</v>
      </c>
      <c r="E1019" s="1" t="s">
        <v>227</v>
      </c>
      <c r="F1019" s="1" t="s">
        <v>16</v>
      </c>
      <c r="G1019" s="2">
        <v>45026</v>
      </c>
      <c r="H1019" s="1">
        <v>114587.11</v>
      </c>
      <c r="I1019" s="1" t="s">
        <v>90</v>
      </c>
      <c r="J1019" s="1">
        <v>-1261632487</v>
      </c>
      <c r="K1019" s="1" t="s">
        <v>18</v>
      </c>
      <c r="L1019" s="1" t="b">
        <v>0</v>
      </c>
    </row>
    <row r="1020" spans="1:12" x14ac:dyDescent="0.3">
      <c r="A1020" s="1" t="s">
        <v>1621</v>
      </c>
      <c r="B1020" s="1" t="s">
        <v>25</v>
      </c>
      <c r="C1020" s="1" t="s">
        <v>43</v>
      </c>
      <c r="D1020" s="1">
        <v>30</v>
      </c>
      <c r="E1020" s="1" t="s">
        <v>212</v>
      </c>
      <c r="F1020" s="1" t="s">
        <v>33</v>
      </c>
      <c r="G1020" s="1" t="s">
        <v>1284</v>
      </c>
      <c r="H1020" s="1">
        <v>71318.789999999994</v>
      </c>
      <c r="I1020" s="1" t="s">
        <v>45</v>
      </c>
      <c r="J1020" s="1">
        <v>-8995729892</v>
      </c>
      <c r="K1020" s="1" t="s">
        <v>30</v>
      </c>
      <c r="L1020" s="1" t="b">
        <v>1</v>
      </c>
    </row>
    <row r="1021" spans="1:12" x14ac:dyDescent="0.3">
      <c r="A1021" s="1" t="s">
        <v>1622</v>
      </c>
      <c r="B1021" s="1" t="s">
        <v>65</v>
      </c>
      <c r="C1021" s="1" t="s">
        <v>26</v>
      </c>
      <c r="D1021" s="1">
        <v>30</v>
      </c>
      <c r="E1021" s="1" t="s">
        <v>78</v>
      </c>
      <c r="F1021" s="1" t="s">
        <v>28</v>
      </c>
      <c r="G1021" s="1" t="s">
        <v>636</v>
      </c>
      <c r="H1021" s="1">
        <v>77764.240000000005</v>
      </c>
      <c r="I1021" s="1" t="s">
        <v>319</v>
      </c>
      <c r="J1021" s="1">
        <v>-7629745492</v>
      </c>
      <c r="K1021" s="1" t="s">
        <v>18</v>
      </c>
      <c r="L102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A53B-70D1-427B-9D8C-98E96FFD7647}">
  <dimension ref="A1:Q1021"/>
  <sheetViews>
    <sheetView tabSelected="1" zoomScaleNormal="100" workbookViewId="0">
      <selection activeCell="E1025" sqref="E1025"/>
    </sheetView>
  </sheetViews>
  <sheetFormatPr defaultRowHeight="15.6" x14ac:dyDescent="0.3"/>
  <cols>
    <col min="1" max="1" width="14" style="4" customWidth="1"/>
    <col min="2" max="2" width="14.44140625" style="4" customWidth="1"/>
    <col min="3" max="3" width="16.77734375" style="4" customWidth="1"/>
    <col min="4" max="4" width="11.109375" style="4" customWidth="1"/>
    <col min="5" max="5" width="24.77734375" style="4" customWidth="1"/>
    <col min="6" max="6" width="13.21875" style="4" customWidth="1"/>
    <col min="7" max="7" width="15.21875" style="4" customWidth="1"/>
    <col min="8" max="8" width="12.44140625" style="4" customWidth="1"/>
    <col min="9" max="9" width="31.77734375" style="4" customWidth="1"/>
    <col min="10" max="10" width="20.109375" style="4" customWidth="1"/>
    <col min="11" max="11" width="19.44140625" style="4" customWidth="1"/>
    <col min="12" max="13" width="17.21875" style="4" customWidth="1"/>
    <col min="14" max="14" width="26.77734375" style="4" customWidth="1"/>
    <col min="15" max="15" width="18.88671875" style="4" customWidth="1"/>
    <col min="16" max="16" width="19.5546875" style="4" customWidth="1"/>
    <col min="17" max="17" width="18.88671875" style="4" customWidth="1"/>
    <col min="18" max="16384" width="8.88671875" style="4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1623</v>
      </c>
      <c r="N1" s="3" t="s">
        <v>1624</v>
      </c>
      <c r="O1" s="3" t="s">
        <v>1625</v>
      </c>
      <c r="P1" s="3" t="s">
        <v>1626</v>
      </c>
      <c r="Q1" s="3" t="s">
        <v>1627</v>
      </c>
    </row>
    <row r="2" spans="1:17" x14ac:dyDescent="0.3">
      <c r="A2" s="3" t="str">
        <f>TRIM(Table1[[#This Row],[Employee_ID]])</f>
        <v>EMP1000</v>
      </c>
      <c r="B2" s="3" t="str">
        <f>PROPER(TRIM(Table1[[#This Row],[First_Name]]))</f>
        <v>Bob</v>
      </c>
      <c r="C2" s="3" t="str">
        <f>PROPER(TRIM(Table1[[#This Row],[Last_Name]]))</f>
        <v>Davis</v>
      </c>
      <c r="D2" s="3">
        <f>IF(Table1[[#This Row],[Age]]="",AVERAGE(Table1[Age]),Table1[[#This Row],[Age]])</f>
        <v>25</v>
      </c>
      <c r="E2" s="3" t="s">
        <v>15</v>
      </c>
      <c r="F2" s="3" t="s">
        <v>16</v>
      </c>
      <c r="G2" s="5">
        <f>IF(ISNUMBER('Main Project Raw Data'!G2),'Main Project Raw Data'!G2,IF(ISNUMBER(SEARCH("/",'Main Project Raw Data'!G2)),DATE(RIGHT('Main Project Raw Data'!G2,4),LEFT('Main Project Raw Data'!G2,FIND("/",'Main Project Raw Data'!G2)-1),MID('Main Project Raw Data'!G2,FIND("/",'Main Project Raw Data'!G2)+1,2)),DATE(RIGHT('Main Project Raw Data'!G2,4),MID('Main Project Raw Data'!G2,4,2),LEFT('Main Project Raw Data'!G2,2))))</f>
        <v>44231</v>
      </c>
      <c r="H2" s="3">
        <f>IF(Table1[[#This Row],[Salary]]="",AVERAGE(Table1[Salary]),Table1[[#This Row],[Salary]])</f>
        <v>59767.65</v>
      </c>
      <c r="I2" s="3" t="str">
        <f>LOWER(TRIM(Table1[[#This Row],[Email]]))</f>
        <v>bob.davis@example.com</v>
      </c>
      <c r="J2" s="3">
        <f>ABS(Table1[[#This Row],[Phone]])</f>
        <v>1651623197</v>
      </c>
      <c r="K2" s="3" t="str">
        <f>PROPER(TRIM(Table1[[#This Row],[Performance_Score]]))</f>
        <v>Average</v>
      </c>
      <c r="L2" s="3" t="b">
        <f>Table1[[#This Row],[Remote_Work]]</f>
        <v>1</v>
      </c>
      <c r="M2" s="3" t="str">
        <f>PROPER(CONCATENATE(Table13[[#This Row],[First_Name]], Table13[[#This Row],[Last_Name]]))</f>
        <v>Bobdavis</v>
      </c>
      <c r="N2" s="3" t="str">
        <f t="shared" ref="N2:N65" si="0">TEXT(G2,"mmm")</f>
        <v>Feb</v>
      </c>
      <c r="O2" s="3" t="str">
        <f>TEXT(Table13[[#This Row],[Join_Date]],"yyyy")</f>
        <v>2021</v>
      </c>
      <c r="P2" s="3" t="str">
        <f>LEFT('Main Project Raw Data'!E2,FIND("-",'Main Project Raw Data'!E2)-1)</f>
        <v>DevOps</v>
      </c>
      <c r="Q2" s="3" t="str">
        <f>RIGHT('Main Project Raw Data'!E2,LEN('Main Project Raw Data'!E2)-FIND("-",'Main Project Raw Data'!E2))</f>
        <v>California</v>
      </c>
    </row>
    <row r="3" spans="1:17" x14ac:dyDescent="0.3">
      <c r="A3" s="3" t="str">
        <f>TRIM(Table1[[#This Row],[Employee_ID]])</f>
        <v>EMP1001</v>
      </c>
      <c r="B3" s="3" t="str">
        <f>PROPER(TRIM(Table1[[#This Row],[First_Name]]))</f>
        <v>Bob</v>
      </c>
      <c r="C3" s="3" t="str">
        <f>PROPER(TRIM(Table1[[#This Row],[Last_Name]]))</f>
        <v>Brown</v>
      </c>
      <c r="D3" s="3">
        <f>IF(Table1[[#This Row],[Age]]="",AVERAGE(Table1[Age]),Table1[[#This Row],[Age]])</f>
        <v>32.484548825710753</v>
      </c>
      <c r="E3" s="3" t="s">
        <v>21</v>
      </c>
      <c r="F3" s="3" t="s">
        <v>16</v>
      </c>
      <c r="G3" s="5">
        <f>IF(ISNUMBER('Main Project Raw Data'!G3),'Main Project Raw Data'!G3,IF(ISNUMBER(SEARCH("/",'Main Project Raw Data'!G3)),DATE(RIGHT('Main Project Raw Data'!G3,4),LEFT('Main Project Raw Data'!G3,FIND("/",'Main Project Raw Data'!G3)-1),MID('Main Project Raw Data'!G3,FIND("/",'Main Project Raw Data'!G3)+1,2)),DATE(RIGHT('Main Project Raw Data'!G3,4),MID('Main Project Raw Data'!G3,4,2),LEFT('Main Project Raw Data'!G3,2))))</f>
        <v>44111</v>
      </c>
      <c r="H3" s="3">
        <f>IF(Table1[[#This Row],[Salary]]="",AVERAGE(Table1[Salary]),Table1[[#This Row],[Salary]])</f>
        <v>65304.66</v>
      </c>
      <c r="I3" s="3" t="str">
        <f>LOWER(TRIM(Table1[[#This Row],[Email]]))</f>
        <v>bob.brown@example.com</v>
      </c>
      <c r="J3" s="3">
        <f>ABS(Table1[[#This Row],[Phone]])</f>
        <v>1898471390</v>
      </c>
      <c r="K3" s="3" t="str">
        <f>PROPER(TRIM(Table1[[#This Row],[Performance_Score]]))</f>
        <v>Excellent</v>
      </c>
      <c r="L3" s="3" t="b">
        <f>Table1[[#This Row],[Remote_Work]]</f>
        <v>1</v>
      </c>
      <c r="M3" s="3" t="str">
        <f>PROPER(CONCATENATE(Table13[[#This Row],[First_Name]], Table13[[#This Row],[Last_Name]]))</f>
        <v>Bobbrown</v>
      </c>
      <c r="N3" s="3" t="str">
        <f t="shared" si="0"/>
        <v>Oct</v>
      </c>
      <c r="O3" s="3" t="str">
        <f>TEXT(Table13[[#This Row],[Join_Date]],"yyyy")</f>
        <v>2020</v>
      </c>
      <c r="P3" s="3" t="str">
        <f>LEFT('Main Project Raw Data'!E3,FIND("-",'Main Project Raw Data'!E3)-1)</f>
        <v>Finance</v>
      </c>
      <c r="Q3" s="3" t="str">
        <f>RIGHT('Main Project Raw Data'!E3,LEN('Main Project Raw Data'!E3)-FIND("-",'Main Project Raw Data'!E3))</f>
        <v>Texas</v>
      </c>
    </row>
    <row r="4" spans="1:17" x14ac:dyDescent="0.3">
      <c r="A4" s="3" t="str">
        <f>TRIM(Table1[[#This Row],[Employee_ID]])</f>
        <v>EMP1002</v>
      </c>
      <c r="B4" s="3" t="str">
        <f>PROPER(TRIM(Table1[[#This Row],[First_Name]]))</f>
        <v>Alice</v>
      </c>
      <c r="C4" s="3" t="str">
        <f>PROPER(TRIM(Table1[[#This Row],[Last_Name]]))</f>
        <v>Jones</v>
      </c>
      <c r="D4" s="3">
        <f>IF(Table1[[#This Row],[Age]]="",AVERAGE(Table1[Age]),Table1[[#This Row],[Age]])</f>
        <v>32.484548825710753</v>
      </c>
      <c r="E4" s="3" t="s">
        <v>27</v>
      </c>
      <c r="F4" s="3" t="s">
        <v>28</v>
      </c>
      <c r="G4" s="5">
        <f>IF(ISNUMBER('Main Project Raw Data'!G4),'Main Project Raw Data'!G4,IF(ISNUMBER(SEARCH("/",'Main Project Raw Data'!G4)),DATE(RIGHT('Main Project Raw Data'!G4,4),LEFT('Main Project Raw Data'!G4,FIND("/",'Main Project Raw Data'!G4)-1),MID('Main Project Raw Data'!G4,FIND("/",'Main Project Raw Data'!G4)+1,2)),DATE(RIGHT('Main Project Raw Data'!G4,4),MID('Main Project Raw Data'!G4,4,2),LEFT('Main Project Raw Data'!G4,2))))</f>
        <v>45119</v>
      </c>
      <c r="H4" s="3">
        <f>IF(Table1[[#This Row],[Salary]]="",AVERAGE(Table1[Salary]),Table1[[#This Row],[Salary]])</f>
        <v>88145.9</v>
      </c>
      <c r="I4" s="3" t="str">
        <f>LOWER(TRIM(Table1[[#This Row],[Email]]))</f>
        <v>alice.jones@example.com</v>
      </c>
      <c r="J4" s="3">
        <f>ABS(Table1[[#This Row],[Phone]])</f>
        <v>5596363211</v>
      </c>
      <c r="K4" s="3" t="str">
        <f>PROPER(TRIM(Table1[[#This Row],[Performance_Score]]))</f>
        <v>Good</v>
      </c>
      <c r="L4" s="3" t="b">
        <f>Table1[[#This Row],[Remote_Work]]</f>
        <v>1</v>
      </c>
      <c r="M4" s="3" t="str">
        <f>PROPER(CONCATENATE(Table13[[#This Row],[First_Name]], Table13[[#This Row],[Last_Name]]))</f>
        <v>Alicejones</v>
      </c>
      <c r="N4" s="3" t="str">
        <f t="shared" si="0"/>
        <v>Jul</v>
      </c>
      <c r="O4" s="3" t="str">
        <f>TEXT(Table13[[#This Row],[Join_Date]],"yyyy")</f>
        <v>2023</v>
      </c>
      <c r="P4" s="3" t="str">
        <f>LEFT('Main Project Raw Data'!E4,FIND("-",'Main Project Raw Data'!E4)-1)</f>
        <v>Admin</v>
      </c>
      <c r="Q4" s="3" t="str">
        <f>RIGHT('Main Project Raw Data'!E4,LEN('Main Project Raw Data'!E4)-FIND("-",'Main Project Raw Data'!E4))</f>
        <v>Nevada</v>
      </c>
    </row>
    <row r="5" spans="1:17" x14ac:dyDescent="0.3">
      <c r="A5" s="3" t="str">
        <f>TRIM(Table1[[#This Row],[Employee_ID]])</f>
        <v>EMP1003</v>
      </c>
      <c r="B5" s="3" t="str">
        <f>PROPER(TRIM(Table1[[#This Row],[First_Name]]))</f>
        <v>Eva</v>
      </c>
      <c r="C5" s="3" t="str">
        <f>PROPER(TRIM(Table1[[#This Row],[Last_Name]]))</f>
        <v>Davis</v>
      </c>
      <c r="D5" s="3">
        <f>IF(Table1[[#This Row],[Age]]="",AVERAGE(Table1[Age]),Table1[[#This Row],[Age]])</f>
        <v>25</v>
      </c>
      <c r="E5" s="3" t="s">
        <v>27</v>
      </c>
      <c r="F5" s="3" t="s">
        <v>33</v>
      </c>
      <c r="G5" s="5">
        <f>IF(ISNUMBER('Main Project Raw Data'!G5),'Main Project Raw Data'!G5,IF(ISNUMBER(SEARCH("/",'Main Project Raw Data'!G5)),DATE(RIGHT('Main Project Raw Data'!G5,4),LEFT('Main Project Raw Data'!G5,FIND("/",'Main Project Raw Data'!G5)-1),MID('Main Project Raw Data'!G5,FIND("/",'Main Project Raw Data'!G5)+1,2)),DATE(RIGHT('Main Project Raw Data'!G5,4),MID('Main Project Raw Data'!G5,4,2),LEFT('Main Project Raw Data'!G5,2))))</f>
        <v>44527</v>
      </c>
      <c r="H5" s="3">
        <f>IF(Table1[[#This Row],[Salary]]="",AVERAGE(Table1[Salary]),Table1[[#This Row],[Salary]])</f>
        <v>69450.990000000005</v>
      </c>
      <c r="I5" s="3" t="str">
        <f>LOWER(TRIM(Table1[[#This Row],[Email]]))</f>
        <v>eva.davis@example.com</v>
      </c>
      <c r="J5" s="3">
        <f>ABS(Table1[[#This Row],[Phone]])</f>
        <v>3476490784</v>
      </c>
      <c r="K5" s="3" t="str">
        <f>PROPER(TRIM(Table1[[#This Row],[Performance_Score]]))</f>
        <v>Good</v>
      </c>
      <c r="L5" s="3" t="b">
        <f>Table1[[#This Row],[Remote_Work]]</f>
        <v>1</v>
      </c>
      <c r="M5" s="3" t="str">
        <f>PROPER(CONCATENATE(Table13[[#This Row],[First_Name]], Table13[[#This Row],[Last_Name]]))</f>
        <v>Evadavis</v>
      </c>
      <c r="N5" s="3" t="str">
        <f t="shared" si="0"/>
        <v>Nov</v>
      </c>
      <c r="O5" s="3" t="str">
        <f>TEXT(Table13[[#This Row],[Join_Date]],"yyyy")</f>
        <v>2021</v>
      </c>
      <c r="P5" s="3" t="str">
        <f>LEFT('Main Project Raw Data'!E5,FIND("-",'Main Project Raw Data'!E5)-1)</f>
        <v>Admin</v>
      </c>
      <c r="Q5" s="3" t="str">
        <f>RIGHT('Main Project Raw Data'!E5,LEN('Main Project Raw Data'!E5)-FIND("-",'Main Project Raw Data'!E5))</f>
        <v>Nevada</v>
      </c>
    </row>
    <row r="6" spans="1:17" x14ac:dyDescent="0.3">
      <c r="A6" s="3" t="str">
        <f>TRIM(Table1[[#This Row],[Employee_ID]])</f>
        <v>EMP1004</v>
      </c>
      <c r="B6" s="3" t="str">
        <f>PROPER(TRIM(Table1[[#This Row],[First_Name]]))</f>
        <v>Frank</v>
      </c>
      <c r="C6" s="3" t="str">
        <f>PROPER(TRIM(Table1[[#This Row],[Last_Name]]))</f>
        <v>Williams</v>
      </c>
      <c r="D6" s="3">
        <f>IF(Table1[[#This Row],[Age]]="",AVERAGE(Table1[Age]),Table1[[#This Row],[Age]])</f>
        <v>25</v>
      </c>
      <c r="E6" s="3" t="s">
        <v>39</v>
      </c>
      <c r="F6" s="3" t="s">
        <v>16</v>
      </c>
      <c r="G6" s="5">
        <f>IF(ISNUMBER('Main Project Raw Data'!G6),'Main Project Raw Data'!G6,IF(ISNUMBER(SEARCH("/",'Main Project Raw Data'!G6)),DATE(RIGHT('Main Project Raw Data'!G6,4),LEFT('Main Project Raw Data'!G6,FIND("/",'Main Project Raw Data'!G6)-1),MID('Main Project Raw Data'!G6,FIND("/",'Main Project Raw Data'!G6)+1,2)),DATE(RIGHT('Main Project Raw Data'!G6,4),MID('Main Project Raw Data'!G6,4,2),LEFT('Main Project Raw Data'!G6,2))))</f>
        <v>44682</v>
      </c>
      <c r="H6" s="3">
        <f>IF(Table1[[#This Row],[Salary]]="",AVERAGE(Table1[Salary]),Table1[[#This Row],[Salary]])</f>
        <v>109324.61</v>
      </c>
      <c r="I6" s="3" t="str">
        <f>LOWER(TRIM(Table1[[#This Row],[Email]]))</f>
        <v>frank.williams@example.com</v>
      </c>
      <c r="J6" s="3">
        <f>ABS(Table1[[#This Row],[Phone]])</f>
        <v>1586734256</v>
      </c>
      <c r="K6" s="3" t="str">
        <f>PROPER(TRIM(Table1[[#This Row],[Performance_Score]]))</f>
        <v>Poor</v>
      </c>
      <c r="L6" s="3" t="b">
        <f>Table1[[#This Row],[Remote_Work]]</f>
        <v>0</v>
      </c>
      <c r="M6" s="3" t="str">
        <f>PROPER(CONCATENATE(Table13[[#This Row],[First_Name]], Table13[[#This Row],[Last_Name]]))</f>
        <v>Frankwilliams</v>
      </c>
      <c r="N6" s="3" t="str">
        <f t="shared" si="0"/>
        <v>May</v>
      </c>
      <c r="O6" s="3" t="str">
        <f>TEXT(Table13[[#This Row],[Join_Date]],"yyyy")</f>
        <v>2022</v>
      </c>
      <c r="P6" s="3" t="str">
        <f>LEFT('Main Project Raw Data'!E6,FIND("-",'Main Project Raw Data'!E6)-1)</f>
        <v>Cloud Tech</v>
      </c>
      <c r="Q6" s="3" t="str">
        <f>RIGHT('Main Project Raw Data'!E6,LEN('Main Project Raw Data'!E6)-FIND("-",'Main Project Raw Data'!E6))</f>
        <v>Florida</v>
      </c>
    </row>
    <row r="7" spans="1:17" x14ac:dyDescent="0.3">
      <c r="A7" s="3" t="str">
        <f>TRIM(Table1[[#This Row],[Employee_ID]])</f>
        <v>EMP1005</v>
      </c>
      <c r="B7" s="3" t="str">
        <f>PROPER(TRIM(Table1[[#This Row],[First_Name]]))</f>
        <v>Alice</v>
      </c>
      <c r="C7" s="3" t="str">
        <f>PROPER(TRIM(Table1[[#This Row],[Last_Name]]))</f>
        <v>Garcia</v>
      </c>
      <c r="D7" s="3">
        <f>IF(Table1[[#This Row],[Age]]="",AVERAGE(Table1[Age]),Table1[[#This Row],[Age]])</f>
        <v>40</v>
      </c>
      <c r="E7" s="3" t="s">
        <v>44</v>
      </c>
      <c r="F7" s="3" t="s">
        <v>33</v>
      </c>
      <c r="G7" s="5">
        <f>IF(ISNUMBER('Main Project Raw Data'!G7),'Main Project Raw Data'!G7,IF(ISNUMBER(SEARCH("/",'Main Project Raw Data'!G7)),DATE(RIGHT('Main Project Raw Data'!G7,4),LEFT('Main Project Raw Data'!G7,FIND("/",'Main Project Raw Data'!G7)-1),MID('Main Project Raw Data'!G7,FIND("/",'Main Project Raw Data'!G7)+1,2)),DATE(RIGHT('Main Project Raw Data'!G7,4),MID('Main Project Raw Data'!G7,4,2),LEFT('Main Project Raw Data'!G7,2))))</f>
        <v>44110</v>
      </c>
      <c r="H7" s="3">
        <f>IF(Table1[[#This Row],[Salary]]="",AVERAGE(Table1[Salary]),Table1[[#This Row],[Salary]])</f>
        <v>88642.84</v>
      </c>
      <c r="I7" s="3" t="str">
        <f>LOWER(TRIM(Table1[[#This Row],[Email]]))</f>
        <v>alice.garcia@example.com</v>
      </c>
      <c r="J7" s="3">
        <f>ABS(Table1[[#This Row],[Phone]])</f>
        <v>5409003485</v>
      </c>
      <c r="K7" s="3" t="str">
        <f>PROPER(TRIM(Table1[[#This Row],[Performance_Score]]))</f>
        <v>Good</v>
      </c>
      <c r="L7" s="3" t="b">
        <f>Table1[[#This Row],[Remote_Work]]</f>
        <v>0</v>
      </c>
      <c r="M7" s="3" t="str">
        <f>PROPER(CONCATENATE(Table13[[#This Row],[First_Name]], Table13[[#This Row],[Last_Name]]))</f>
        <v>Alicegarcia</v>
      </c>
      <c r="N7" s="3" t="str">
        <f t="shared" si="0"/>
        <v>Oct</v>
      </c>
      <c r="O7" s="3" t="str">
        <f>TEXT(Table13[[#This Row],[Join_Date]],"yyyy")</f>
        <v>2020</v>
      </c>
      <c r="P7" s="3" t="str">
        <f>LEFT('Main Project Raw Data'!E7,FIND("-",'Main Project Raw Data'!E7)-1)</f>
        <v>Sales</v>
      </c>
      <c r="Q7" s="3" t="str">
        <f>RIGHT('Main Project Raw Data'!E7,LEN('Main Project Raw Data'!E7)-FIND("-",'Main Project Raw Data'!E7))</f>
        <v>Texas</v>
      </c>
    </row>
    <row r="8" spans="1:17" x14ac:dyDescent="0.3">
      <c r="A8" s="3" t="str">
        <f>TRIM(Table1[[#This Row],[Employee_ID]])</f>
        <v>EMP1006</v>
      </c>
      <c r="B8" s="3" t="str">
        <f>TRIM(Table1[[#This Row],[First_Name]])</f>
        <v>Frank</v>
      </c>
      <c r="C8" s="3" t="str">
        <f>TRIM(Table1[[#This Row],[Last_Name]])</f>
        <v>Jones</v>
      </c>
      <c r="D8" s="3">
        <f>IF(Table1[[#This Row],[Age]]="",AVERAGE(Table1[Age]),Table1[[#This Row],[Age]])</f>
        <v>32.484548825710753</v>
      </c>
      <c r="E8" s="3" t="s">
        <v>27</v>
      </c>
      <c r="F8" s="3" t="s">
        <v>16</v>
      </c>
      <c r="G8" s="5">
        <f>IF(ISNUMBER('Main Project Raw Data'!G8),'Main Project Raw Data'!G8,IF(ISNUMBER(SEARCH("/",'Main Project Raw Data'!G8)),DATE(RIGHT('Main Project Raw Data'!G8,4),LEFT('Main Project Raw Data'!G8,FIND("/",'Main Project Raw Data'!G8)-1),MID('Main Project Raw Data'!G8,FIND("/",'Main Project Raw Data'!G8)+1,2)),DATE(RIGHT('Main Project Raw Data'!G8,4),MID('Main Project Raw Data'!G8,4,2),LEFT('Main Project Raw Data'!G8,2))))</f>
        <v>43894</v>
      </c>
      <c r="H8" s="3">
        <f>IF(Table1[[#This Row],[Salary]]="",AVERAGE(Table1[Salary]),Table1[[#This Row],[Salary]])</f>
        <v>96288.43</v>
      </c>
      <c r="I8" s="3" t="str">
        <f>LOWER(TRIM(Table1[[#This Row],[Email]]))</f>
        <v>frank.jones@example.com</v>
      </c>
      <c r="J8" s="3">
        <f>ABS(Table1[[#This Row],[Phone]])</f>
        <v>4518376063</v>
      </c>
      <c r="K8" s="3" t="str">
        <f>PROPER(TRIM(Table1[[#This Row],[Performance_Score]]))</f>
        <v>Good</v>
      </c>
      <c r="L8" s="3" t="b">
        <f>Table1[[#This Row],[Remote_Work]]</f>
        <v>0</v>
      </c>
      <c r="M8" s="3" t="str">
        <f>PROPER(CONCATENATE(Table13[[#This Row],[First_Name]], Table13[[#This Row],[Last_Name]]))</f>
        <v>Frankjones</v>
      </c>
      <c r="N8" s="3" t="str">
        <f t="shared" si="0"/>
        <v>Mar</v>
      </c>
      <c r="O8" s="3" t="str">
        <f>TEXT(Table13[[#This Row],[Join_Date]],"yyyy")</f>
        <v>2020</v>
      </c>
      <c r="P8" s="3" t="str">
        <f>LEFT('Main Project Raw Data'!E8,FIND("-",'Main Project Raw Data'!E8)-1)</f>
        <v>Admin</v>
      </c>
      <c r="Q8" s="3" t="str">
        <f>RIGHT('Main Project Raw Data'!E8,LEN('Main Project Raw Data'!E8)-FIND("-",'Main Project Raw Data'!E8))</f>
        <v>Nevada</v>
      </c>
    </row>
    <row r="9" spans="1:17" x14ac:dyDescent="0.3">
      <c r="A9" s="3" t="str">
        <f>TRIM(Table1[[#This Row],[Employee_ID]])</f>
        <v>EMP1007</v>
      </c>
      <c r="B9" s="3" t="str">
        <f>TRIM(Table1[[#This Row],[First_Name]])</f>
        <v>Bob</v>
      </c>
      <c r="C9" s="3" t="str">
        <f>TRIM(Table1[[#This Row],[Last_Name]])</f>
        <v>Jones</v>
      </c>
      <c r="D9" s="3">
        <f>IF(Table1[[#This Row],[Age]]="",AVERAGE(Table1[Age]),Table1[[#This Row],[Age]])</f>
        <v>30</v>
      </c>
      <c r="E9" s="3" t="s">
        <v>39</v>
      </c>
      <c r="F9" s="3" t="s">
        <v>33</v>
      </c>
      <c r="G9" s="5">
        <f>IF(ISNUMBER('Main Project Raw Data'!G9),'Main Project Raw Data'!G9,IF(ISNUMBER(SEARCH("/",'Main Project Raw Data'!G9)),DATE(RIGHT('Main Project Raw Data'!G9,4),LEFT('Main Project Raw Data'!G9,FIND("/",'Main Project Raw Data'!G9)-1),MID('Main Project Raw Data'!G9,FIND("/",'Main Project Raw Data'!G9)+1,2)),DATE(RIGHT('Main Project Raw Data'!G9,4),MID('Main Project Raw Data'!G9,4,2),LEFT('Main Project Raw Data'!G9,2))))</f>
        <v>44759</v>
      </c>
      <c r="H9" s="3">
        <f>IF(Table1[[#This Row],[Salary]]="",AVERAGE(Table1[Salary]),Table1[[#This Row],[Salary]])</f>
        <v>94497.91</v>
      </c>
      <c r="I9" s="3" t="str">
        <f>LOWER(TRIM(Table1[[#This Row],[Email]]))</f>
        <v>bob.jones@example.com</v>
      </c>
      <c r="J9" s="3">
        <f>ABS(Table1[[#This Row],[Phone]])</f>
        <v>4134327559</v>
      </c>
      <c r="K9" s="3" t="str">
        <f>PROPER(TRIM(Table1[[#This Row],[Performance_Score]]))</f>
        <v>Average</v>
      </c>
      <c r="L9" s="3" t="b">
        <f>Table1[[#This Row],[Remote_Work]]</f>
        <v>1</v>
      </c>
      <c r="M9" s="3" t="str">
        <f>PROPER(CONCATENATE(Table13[[#This Row],[First_Name]], Table13[[#This Row],[Last_Name]]))</f>
        <v>Bobjones</v>
      </c>
      <c r="N9" s="3" t="str">
        <f t="shared" si="0"/>
        <v>Jul</v>
      </c>
      <c r="O9" s="3" t="str">
        <f>TEXT(Table13[[#This Row],[Join_Date]],"yyyy")</f>
        <v>2022</v>
      </c>
      <c r="P9" s="3" t="str">
        <f>LEFT('Main Project Raw Data'!E9,FIND("-",'Main Project Raw Data'!E9)-1)</f>
        <v>Cloud Tech</v>
      </c>
      <c r="Q9" s="3" t="str">
        <f>RIGHT('Main Project Raw Data'!E9,LEN('Main Project Raw Data'!E9)-FIND("-",'Main Project Raw Data'!E9))</f>
        <v>Florida</v>
      </c>
    </row>
    <row r="10" spans="1:17" x14ac:dyDescent="0.3">
      <c r="A10" s="3" t="str">
        <f>TRIM(Table1[[#This Row],[Employee_ID]])</f>
        <v>EMP1008</v>
      </c>
      <c r="B10" s="3" t="str">
        <f>TRIM(Table1[[#This Row],[First_Name]])</f>
        <v>Frank</v>
      </c>
      <c r="C10" s="3" t="str">
        <f>TRIM(Table1[[#This Row],[Last_Name]])</f>
        <v>Davis</v>
      </c>
      <c r="D10" s="3">
        <f>IF(Table1[[#This Row],[Age]]="",AVERAGE(Table1[Age]),Table1[[#This Row],[Age]])</f>
        <v>35</v>
      </c>
      <c r="E10" s="3" t="s">
        <v>27</v>
      </c>
      <c r="F10" s="3" t="s">
        <v>33</v>
      </c>
      <c r="G10" s="5">
        <f>IF(ISNUMBER('Main Project Raw Data'!G10),'Main Project Raw Data'!G10,IF(ISNUMBER(SEARCH("/",'Main Project Raw Data'!G10)),DATE(RIGHT('Main Project Raw Data'!G10,4),LEFT('Main Project Raw Data'!G10,FIND("/",'Main Project Raw Data'!G10)-1),MID('Main Project Raw Data'!G10,FIND("/",'Main Project Raw Data'!G10)+1,2)),DATE(RIGHT('Main Project Raw Data'!G10,4),MID('Main Project Raw Data'!G10,4,2),LEFT('Main Project Raw Data'!G10,2))))</f>
        <v>45150</v>
      </c>
      <c r="H10" s="3">
        <f>IF(Table1[[#This Row],[Salary]]="",AVERAGE(Table1[Salary]),Table1[[#This Row],[Salary]])</f>
        <v>115565.82</v>
      </c>
      <c r="I10" s="3" t="s">
        <v>52</v>
      </c>
      <c r="J10" s="3">
        <f>ABS(Table1[[#This Row],[Phone]])</f>
        <v>4177656123</v>
      </c>
      <c r="K10" s="3" t="str">
        <f>PROPER(TRIM(Table1[[#This Row],[Performance_Score]]))</f>
        <v>Excellent</v>
      </c>
      <c r="L10" s="3" t="b">
        <f>Table1[[#This Row],[Remote_Work]]</f>
        <v>1</v>
      </c>
      <c r="M10" s="3" t="str">
        <f>PROPER(CONCATENATE(Table13[[#This Row],[First_Name]], Table13[[#This Row],[Last_Name]]))</f>
        <v>Frankdavis</v>
      </c>
      <c r="N10" s="3" t="str">
        <f t="shared" si="0"/>
        <v>Aug</v>
      </c>
      <c r="O10" s="3" t="str">
        <f>TEXT(Table13[[#This Row],[Join_Date]],"yyyy")</f>
        <v>2023</v>
      </c>
      <c r="P10" s="3" t="str">
        <f>LEFT('Main Project Raw Data'!E10,FIND("-",'Main Project Raw Data'!E10)-1)</f>
        <v>Admin</v>
      </c>
      <c r="Q10" s="3" t="str">
        <f>RIGHT('Main Project Raw Data'!E10,LEN('Main Project Raw Data'!E10)-FIND("-",'Main Project Raw Data'!E10))</f>
        <v>Nevada</v>
      </c>
    </row>
    <row r="11" spans="1:17" x14ac:dyDescent="0.3">
      <c r="A11" s="3" t="str">
        <f>TRIM(Table1[[#This Row],[Employee_ID]])</f>
        <v>EMP1009</v>
      </c>
      <c r="B11" s="3" t="str">
        <f>TRIM(Table1[[#This Row],[First_Name]])</f>
        <v>Charlie</v>
      </c>
      <c r="C11" s="3" t="str">
        <f>TRIM(Table1[[#This Row],[Last_Name]])</f>
        <v>Johnson</v>
      </c>
      <c r="D11" s="3">
        <f>IF(Table1[[#This Row],[Age]]="",AVERAGE(Table1[Age]),Table1[[#This Row],[Age]])</f>
        <v>32.484548825710753</v>
      </c>
      <c r="E11" s="3" t="s">
        <v>56</v>
      </c>
      <c r="F11" s="3" t="s">
        <v>16</v>
      </c>
      <c r="G11" s="5">
        <f>IF(ISNUMBER('Main Project Raw Data'!G11),'Main Project Raw Data'!G11,IF(ISNUMBER(SEARCH("/",'Main Project Raw Data'!G11)),DATE(RIGHT('Main Project Raw Data'!G11,4),LEFT('Main Project Raw Data'!G11,FIND("/",'Main Project Raw Data'!G11)-1),MID('Main Project Raw Data'!G11,FIND("/",'Main Project Raw Data'!G11)+1,2)),DATE(RIGHT('Main Project Raw Data'!G11,4),MID('Main Project Raw Data'!G11,4,2),LEFT('Main Project Raw Data'!G11,2))))</f>
        <v>44659</v>
      </c>
      <c r="H11" s="3">
        <f>IF(Table1[[#This Row],[Salary]]="",AVERAGE(Table1[Salary]),Table1[[#This Row],[Salary]])</f>
        <v>76561.88</v>
      </c>
      <c r="I11" s="3" t="s">
        <v>57</v>
      </c>
      <c r="J11" s="3">
        <f>ABS(Table1[[#This Row],[Phone]])</f>
        <v>8156985699</v>
      </c>
      <c r="K11" s="3" t="str">
        <f>PROPER(TRIM(Table1[[#This Row],[Performance_Score]]))</f>
        <v>Excellent</v>
      </c>
      <c r="L11" s="3" t="b">
        <f>Table1[[#This Row],[Remote_Work]]</f>
        <v>1</v>
      </c>
      <c r="M11" s="3" t="str">
        <f>PROPER(CONCATENATE(Table13[[#This Row],[First_Name]], Table13[[#This Row],[Last_Name]]))</f>
        <v>Charliejohnson</v>
      </c>
      <c r="N11" s="3" t="str">
        <f t="shared" si="0"/>
        <v>Apr</v>
      </c>
      <c r="O11" s="3" t="str">
        <f>TEXT(Table13[[#This Row],[Join_Date]],"yyyy")</f>
        <v>2022</v>
      </c>
      <c r="P11" s="3" t="str">
        <f>LEFT('Main Project Raw Data'!E11,FIND("-",'Main Project Raw Data'!E11)-1)</f>
        <v>DevOps</v>
      </c>
      <c r="Q11" s="3" t="str">
        <f>RIGHT('Main Project Raw Data'!E11,LEN('Main Project Raw Data'!E11)-FIND("-",'Main Project Raw Data'!E11))</f>
        <v>New York</v>
      </c>
    </row>
    <row r="12" spans="1:17" x14ac:dyDescent="0.3">
      <c r="A12" s="3" t="str">
        <f>TRIM(Table1[[#This Row],[Employee_ID]])</f>
        <v>EMP1010</v>
      </c>
      <c r="B12" s="3" t="str">
        <f>TRIM(Table1[[#This Row],[First_Name]])</f>
        <v>David</v>
      </c>
      <c r="C12" s="3" t="str">
        <f>TRIM(Table1[[#This Row],[Last_Name]])</f>
        <v>Williams</v>
      </c>
      <c r="D12" s="3">
        <f>IF(Table1[[#This Row],[Age]]="",AVERAGE(Table1[Age]),Table1[[#This Row],[Age]])</f>
        <v>35</v>
      </c>
      <c r="E12" s="3" t="s">
        <v>60</v>
      </c>
      <c r="F12" s="3" t="s">
        <v>16</v>
      </c>
      <c r="G12" s="5">
        <f>IF(ISNUMBER('Main Project Raw Data'!G12),'Main Project Raw Data'!G12,IF(ISNUMBER(SEARCH("/",'Main Project Raw Data'!G12)),DATE(RIGHT('Main Project Raw Data'!G12,4),LEFT('Main Project Raw Data'!G12,FIND("/",'Main Project Raw Data'!G12)-1),MID('Main Project Raw Data'!G12,FIND("/",'Main Project Raw Data'!G12)+1,2)),DATE(RIGHT('Main Project Raw Data'!G12,4),MID('Main Project Raw Data'!G12,4,2),LEFT('Main Project Raw Data'!G12,2))))</f>
        <v>45450</v>
      </c>
      <c r="H12" s="3">
        <f>IF(Table1[[#This Row],[Salary]]="",AVERAGE(Table1[Salary]),Table1[[#This Row],[Salary]])</f>
        <v>72081.710000000006</v>
      </c>
      <c r="I12" s="3" t="s">
        <v>61</v>
      </c>
      <c r="J12" s="3">
        <f>ABS(Table1[[#This Row],[Phone]])</f>
        <v>2720634590</v>
      </c>
      <c r="K12" s="3" t="str">
        <f>PROPER(TRIM(Table1[[#This Row],[Performance_Score]]))</f>
        <v>Average</v>
      </c>
      <c r="L12" s="3" t="b">
        <f>Table1[[#This Row],[Remote_Work]]</f>
        <v>0</v>
      </c>
      <c r="M12" s="3" t="str">
        <f>PROPER(CONCATENATE(Table13[[#This Row],[First_Name]], Table13[[#This Row],[Last_Name]]))</f>
        <v>Davidwilliams</v>
      </c>
      <c r="N12" s="3" t="str">
        <f t="shared" si="0"/>
        <v>Jun</v>
      </c>
      <c r="O12" s="3" t="str">
        <f>TEXT(Table13[[#This Row],[Join_Date]],"yyyy")</f>
        <v>2024</v>
      </c>
      <c r="P12" s="3" t="str">
        <f>LEFT('Main Project Raw Data'!E12,FIND("-",'Main Project Raw Data'!E12)-1)</f>
        <v>Cloud Tech</v>
      </c>
      <c r="Q12" s="3" t="str">
        <f>RIGHT('Main Project Raw Data'!E12,LEN('Main Project Raw Data'!E12)-FIND("-",'Main Project Raw Data'!E12))</f>
        <v>New York</v>
      </c>
    </row>
    <row r="13" spans="1:17" x14ac:dyDescent="0.3">
      <c r="A13" s="3" t="str">
        <f>TRIM(Table1[[#This Row],[Employee_ID]])</f>
        <v>EMP1011</v>
      </c>
      <c r="B13" s="3" t="str">
        <f>TRIM(Table1[[#This Row],[First_Name]])</f>
        <v>David</v>
      </c>
      <c r="C13" s="3" t="str">
        <f>TRIM(Table1[[#This Row],[Last_Name]])</f>
        <v>Davis</v>
      </c>
      <c r="D13" s="3">
        <f>IF(Table1[[#This Row],[Age]]="",AVERAGE(Table1[Age]),Table1[[#This Row],[Age]])</f>
        <v>32.484548825710753</v>
      </c>
      <c r="E13" s="3" t="s">
        <v>15</v>
      </c>
      <c r="F13" s="3" t="s">
        <v>16</v>
      </c>
      <c r="G13" s="5">
        <f>IF(ISNUMBER('Main Project Raw Data'!G13),'Main Project Raw Data'!G13,IF(ISNUMBER(SEARCH("/",'Main Project Raw Data'!G13)),DATE(RIGHT('Main Project Raw Data'!G13,4),LEFT('Main Project Raw Data'!G13,FIND("/",'Main Project Raw Data'!G13)-1),MID('Main Project Raw Data'!G13,FIND("/",'Main Project Raw Data'!G13)+1,2)),DATE(RIGHT('Main Project Raw Data'!G13,4),MID('Main Project Raw Data'!G13,4,2),LEFT('Main Project Raw Data'!G13,2))))</f>
        <v>45025</v>
      </c>
      <c r="H13" s="3">
        <f>IF(Table1[[#This Row],[Salary]]="",AVERAGE(Table1[Salary]),Table1[[#This Row],[Salary]])</f>
        <v>84946.19</v>
      </c>
      <c r="I13" s="3" t="s">
        <v>63</v>
      </c>
      <c r="J13" s="3">
        <f>ABS(Table1[[#This Row],[Phone]])</f>
        <v>1238296576</v>
      </c>
      <c r="K13" s="3" t="str">
        <f>PROPER(TRIM(Table1[[#This Row],[Performance_Score]]))</f>
        <v>Poor</v>
      </c>
      <c r="L13" s="3" t="b">
        <f>Table1[[#This Row],[Remote_Work]]</f>
        <v>1</v>
      </c>
      <c r="M13" s="3" t="str">
        <f>PROPER(CONCATENATE(Table13[[#This Row],[First_Name]], Table13[[#This Row],[Last_Name]]))</f>
        <v>Daviddavis</v>
      </c>
      <c r="N13" s="3" t="str">
        <f t="shared" si="0"/>
        <v>Apr</v>
      </c>
      <c r="O13" s="3" t="str">
        <f>TEXT(Table13[[#This Row],[Join_Date]],"yyyy")</f>
        <v>2023</v>
      </c>
      <c r="P13" s="3" t="str">
        <f>LEFT('Main Project Raw Data'!E13,FIND("-",'Main Project Raw Data'!E13)-1)</f>
        <v>DevOps</v>
      </c>
      <c r="Q13" s="3" t="str">
        <f>RIGHT('Main Project Raw Data'!E13,LEN('Main Project Raw Data'!E13)-FIND("-",'Main Project Raw Data'!E13))</f>
        <v>California</v>
      </c>
    </row>
    <row r="14" spans="1:17" x14ac:dyDescent="0.3">
      <c r="A14" s="3" t="str">
        <f>TRIM(Table1[[#This Row],[Employee_ID]])</f>
        <v>EMP1012</v>
      </c>
      <c r="B14" s="3" t="str">
        <f>TRIM(Table1[[#This Row],[First_Name]])</f>
        <v>Heidi</v>
      </c>
      <c r="C14" s="3" t="str">
        <f>TRIM(Table1[[#This Row],[Last_Name]])</f>
        <v>Williams</v>
      </c>
      <c r="D14" s="3">
        <f>IF(Table1[[#This Row],[Age]]="",AVERAGE(Table1[Age]),Table1[[#This Row],[Age]])</f>
        <v>30</v>
      </c>
      <c r="E14" s="3" t="s">
        <v>66</v>
      </c>
      <c r="F14" s="3" t="s">
        <v>16</v>
      </c>
      <c r="G14" s="5">
        <f>IF(ISNUMBER('Main Project Raw Data'!G14),'Main Project Raw Data'!G14,IF(ISNUMBER(SEARCH("/",'Main Project Raw Data'!G14)),DATE(RIGHT('Main Project Raw Data'!G14,4),LEFT('Main Project Raw Data'!G14,FIND("/",'Main Project Raw Data'!G14)-1),MID('Main Project Raw Data'!G14,FIND("/",'Main Project Raw Data'!G14)+1,2)),DATE(RIGHT('Main Project Raw Data'!G14,4),MID('Main Project Raw Data'!G14,4,2),LEFT('Main Project Raw Data'!G14,2))))</f>
        <v>45415</v>
      </c>
      <c r="H14" s="3">
        <f>IF(Table1[[#This Row],[Salary]]="",AVERAGE(Table1[Salary]),Table1[[#This Row],[Salary]])</f>
        <v>89295.77</v>
      </c>
      <c r="I14" s="3" t="s">
        <v>67</v>
      </c>
      <c r="J14" s="3">
        <f>ABS(Table1[[#This Row],[Phone]])</f>
        <v>2429543164</v>
      </c>
      <c r="K14" s="3" t="str">
        <f>PROPER(TRIM(Table1[[#This Row],[Performance_Score]]))</f>
        <v>Excellent</v>
      </c>
      <c r="L14" s="3" t="b">
        <f>Table1[[#This Row],[Remote_Work]]</f>
        <v>0</v>
      </c>
      <c r="M14" s="3" t="str">
        <f>PROPER(CONCATENATE(Table13[[#This Row],[First_Name]], Table13[[#This Row],[Last_Name]]))</f>
        <v>Heidiwilliams</v>
      </c>
      <c r="N14" s="3" t="str">
        <f t="shared" si="0"/>
        <v>May</v>
      </c>
      <c r="O14" s="3" t="str">
        <f>TEXT(Table13[[#This Row],[Join_Date]],"yyyy")</f>
        <v>2024</v>
      </c>
      <c r="P14" s="3" t="str">
        <f>LEFT('Main Project Raw Data'!E14,FIND("-",'Main Project Raw Data'!E14)-1)</f>
        <v>HR</v>
      </c>
      <c r="Q14" s="3" t="str">
        <f>RIGHT('Main Project Raw Data'!E14,LEN('Main Project Raw Data'!E14)-FIND("-",'Main Project Raw Data'!E14))</f>
        <v>New York</v>
      </c>
    </row>
    <row r="15" spans="1:17" x14ac:dyDescent="0.3">
      <c r="A15" s="3" t="str">
        <f>TRIM(Table1[[#This Row],[Employee_ID]])</f>
        <v>EMP1013</v>
      </c>
      <c r="B15" s="3" t="str">
        <f>TRIM(Table1[[#This Row],[First_Name]])</f>
        <v>Grace</v>
      </c>
      <c r="C15" s="3" t="str">
        <f>TRIM(Table1[[#This Row],[Last_Name]])</f>
        <v>Williams</v>
      </c>
      <c r="D15" s="3">
        <f>IF(Table1[[#This Row],[Age]]="",AVERAGE(Table1[Age]),Table1[[#This Row],[Age]])</f>
        <v>32.484548825710753</v>
      </c>
      <c r="E15" s="3" t="s">
        <v>70</v>
      </c>
      <c r="F15" s="3" t="s">
        <v>16</v>
      </c>
      <c r="G15" s="5">
        <f>IF(ISNUMBER('Main Project Raw Data'!G15),'Main Project Raw Data'!G15,IF(ISNUMBER(SEARCH("/",'Main Project Raw Data'!G15)),DATE(RIGHT('Main Project Raw Data'!G15,4),LEFT('Main Project Raw Data'!G15,FIND("/",'Main Project Raw Data'!G15)-1),MID('Main Project Raw Data'!G15,FIND("/",'Main Project Raw Data'!G15)+1,2)),DATE(RIGHT('Main Project Raw Data'!G15,4),MID('Main Project Raw Data'!G15,4,2),LEFT('Main Project Raw Data'!G15,2))))</f>
        <v>44114</v>
      </c>
      <c r="H15" s="3">
        <f>IF(Table1[[#This Row],[Salary]]="",AVERAGE(Table1[Salary]),Table1[[#This Row],[Salary]])</f>
        <v>85666.84</v>
      </c>
      <c r="I15" s="3" t="s">
        <v>71</v>
      </c>
      <c r="J15" s="3">
        <f>ABS(Table1[[#This Row],[Phone]])</f>
        <v>2669300892</v>
      </c>
      <c r="K15" s="3" t="str">
        <f>PROPER(TRIM(Table1[[#This Row],[Performance_Score]]))</f>
        <v>Good</v>
      </c>
      <c r="L15" s="3" t="b">
        <f>Table1[[#This Row],[Remote_Work]]</f>
        <v>0</v>
      </c>
      <c r="M15" s="3" t="str">
        <f>PROPER(CONCATENATE(Table13[[#This Row],[First_Name]], Table13[[#This Row],[Last_Name]]))</f>
        <v>Gracewilliams</v>
      </c>
      <c r="N15" s="3" t="str">
        <f t="shared" si="0"/>
        <v>Oct</v>
      </c>
      <c r="O15" s="3" t="str">
        <f>TEXT(Table13[[#This Row],[Join_Date]],"yyyy")</f>
        <v>2020</v>
      </c>
      <c r="P15" s="3" t="str">
        <f>LEFT('Main Project Raw Data'!E15,FIND("-",'Main Project Raw Data'!E15)-1)</f>
        <v>Finance</v>
      </c>
      <c r="Q15" s="3" t="str">
        <f>RIGHT('Main Project Raw Data'!E15,LEN('Main Project Raw Data'!E15)-FIND("-",'Main Project Raw Data'!E15))</f>
        <v>California</v>
      </c>
    </row>
    <row r="16" spans="1:17" x14ac:dyDescent="0.3">
      <c r="A16" s="3" t="str">
        <f>TRIM(Table1[[#This Row],[Employee_ID]])</f>
        <v>EMP1014</v>
      </c>
      <c r="B16" s="3" t="str">
        <f>TRIM(Table1[[#This Row],[First_Name]])</f>
        <v>Alice</v>
      </c>
      <c r="C16" s="3" t="str">
        <f>TRIM(Table1[[#This Row],[Last_Name]])</f>
        <v>Garcia</v>
      </c>
      <c r="D16" s="3">
        <f>IF(Table1[[#This Row],[Age]]="",AVERAGE(Table1[Age]),Table1[[#This Row],[Age]])</f>
        <v>25</v>
      </c>
      <c r="E16" s="3" t="s">
        <v>27</v>
      </c>
      <c r="F16" s="3" t="s">
        <v>16</v>
      </c>
      <c r="G16" s="5">
        <f>IF(ISNUMBER('Main Project Raw Data'!G16),'Main Project Raw Data'!G16,IF(ISNUMBER(SEARCH("/",'Main Project Raw Data'!G16)),DATE(RIGHT('Main Project Raw Data'!G16,4),LEFT('Main Project Raw Data'!G16,FIND("/",'Main Project Raw Data'!G16)-1),MID('Main Project Raw Data'!G16,FIND("/",'Main Project Raw Data'!G16)+1,2)),DATE(RIGHT('Main Project Raw Data'!G16,4),MID('Main Project Raw Data'!G16,4,2),LEFT('Main Project Raw Data'!G16,2))))</f>
        <v>45571</v>
      </c>
      <c r="H16" s="3">
        <f>IF(Table1[[#This Row],[Salary]]="",AVERAGE(Table1[Salary]),Table1[[#This Row],[Salary]])</f>
        <v>97633.68</v>
      </c>
      <c r="I16" s="3" t="s">
        <v>45</v>
      </c>
      <c r="J16" s="3">
        <f>ABS(Table1[[#This Row],[Phone]])</f>
        <v>1734206968</v>
      </c>
      <c r="K16" s="3" t="str">
        <f>PROPER(TRIM(Table1[[#This Row],[Performance_Score]]))</f>
        <v>Excellent</v>
      </c>
      <c r="L16" s="3" t="b">
        <f>Table1[[#This Row],[Remote_Work]]</f>
        <v>1</v>
      </c>
      <c r="M16" s="3" t="str">
        <f>PROPER(CONCATENATE(Table13[[#This Row],[First_Name]], Table13[[#This Row],[Last_Name]]))</f>
        <v>Alicegarcia</v>
      </c>
      <c r="N16" s="3" t="str">
        <f t="shared" si="0"/>
        <v>Oct</v>
      </c>
      <c r="O16" s="3" t="str">
        <f>TEXT(Table13[[#This Row],[Join_Date]],"yyyy")</f>
        <v>2024</v>
      </c>
      <c r="P16" s="3" t="str">
        <f>LEFT('Main Project Raw Data'!E16,FIND("-",'Main Project Raw Data'!E16)-1)</f>
        <v>Admin</v>
      </c>
      <c r="Q16" s="3" t="str">
        <f>RIGHT('Main Project Raw Data'!E16,LEN('Main Project Raw Data'!E16)-FIND("-",'Main Project Raw Data'!E16))</f>
        <v>Nevada</v>
      </c>
    </row>
    <row r="17" spans="1:17" x14ac:dyDescent="0.3">
      <c r="A17" s="3" t="str">
        <f>TRIM(Table1[[#This Row],[Employee_ID]])</f>
        <v>EMP1015</v>
      </c>
      <c r="B17" s="3" t="str">
        <f>TRIM(Table1[[#This Row],[First_Name]])</f>
        <v>Grace</v>
      </c>
      <c r="C17" s="3" t="str">
        <f>TRIM(Table1[[#This Row],[Last_Name]])</f>
        <v>Jones</v>
      </c>
      <c r="D17" s="3">
        <f>IF(Table1[[#This Row],[Age]]="",AVERAGE(Table1[Age]),Table1[[#This Row],[Age]])</f>
        <v>40</v>
      </c>
      <c r="E17" s="3" t="s">
        <v>74</v>
      </c>
      <c r="F17" s="3" t="s">
        <v>28</v>
      </c>
      <c r="G17" s="5">
        <f>IF(ISNUMBER('Main Project Raw Data'!G17),'Main Project Raw Data'!G17,IF(ISNUMBER(SEARCH("/",'Main Project Raw Data'!G17)),DATE(RIGHT('Main Project Raw Data'!G17,4),LEFT('Main Project Raw Data'!G17,FIND("/",'Main Project Raw Data'!G17)-1),MID('Main Project Raw Data'!G17,FIND("/",'Main Project Raw Data'!G17)+1,2)),DATE(RIGHT('Main Project Raw Data'!G17,4),MID('Main Project Raw Data'!G17,4,2),LEFT('Main Project Raw Data'!G17,2))))</f>
        <v>44345</v>
      </c>
      <c r="H17" s="3">
        <f>IF(Table1[[#This Row],[Salary]]="",AVERAGE(Table1[Salary]),Table1[[#This Row],[Salary]])</f>
        <v>117975.49</v>
      </c>
      <c r="I17" s="3" t="s">
        <v>76</v>
      </c>
      <c r="J17" s="3">
        <f>ABS(Table1[[#This Row],[Phone]])</f>
        <v>4215291085</v>
      </c>
      <c r="K17" s="3" t="str">
        <f>PROPER(TRIM(Table1[[#This Row],[Performance_Score]]))</f>
        <v>Good</v>
      </c>
      <c r="L17" s="3" t="b">
        <f>Table1[[#This Row],[Remote_Work]]</f>
        <v>1</v>
      </c>
      <c r="M17" s="3" t="str">
        <f>PROPER(CONCATENATE(Table13[[#This Row],[First_Name]], Table13[[#This Row],[Last_Name]]))</f>
        <v>Gracejones</v>
      </c>
      <c r="N17" s="3" t="str">
        <f t="shared" si="0"/>
        <v>May</v>
      </c>
      <c r="O17" s="3" t="str">
        <f>TEXT(Table13[[#This Row],[Join_Date]],"yyyy")</f>
        <v>2021</v>
      </c>
      <c r="P17" s="3" t="str">
        <f>LEFT('Main Project Raw Data'!E17,FIND("-",'Main Project Raw Data'!E17)-1)</f>
        <v>Sales</v>
      </c>
      <c r="Q17" s="3" t="str">
        <f>RIGHT('Main Project Raw Data'!E17,LEN('Main Project Raw Data'!E17)-FIND("-",'Main Project Raw Data'!E17))</f>
        <v>Florida</v>
      </c>
    </row>
    <row r="18" spans="1:17" x14ac:dyDescent="0.3">
      <c r="A18" s="3" t="str">
        <f>TRIM(Table1[[#This Row],[Employee_ID]])</f>
        <v>EMP1016</v>
      </c>
      <c r="B18" s="3" t="str">
        <f>TRIM(Table1[[#This Row],[First_Name]])</f>
        <v>Alice</v>
      </c>
      <c r="C18" s="3" t="str">
        <f>TRIM(Table1[[#This Row],[Last_Name]])</f>
        <v>Brown</v>
      </c>
      <c r="D18" s="3">
        <f>IF(Table1[[#This Row],[Age]]="",AVERAGE(Table1[Age]),Table1[[#This Row],[Age]])</f>
        <v>25</v>
      </c>
      <c r="E18" s="3" t="s">
        <v>78</v>
      </c>
      <c r="F18" s="3" t="s">
        <v>33</v>
      </c>
      <c r="G18" s="5">
        <f>IF(ISNUMBER('Main Project Raw Data'!G18),'Main Project Raw Data'!G18,IF(ISNUMBER(SEARCH("/",'Main Project Raw Data'!G18)),DATE(RIGHT('Main Project Raw Data'!G18,4),LEFT('Main Project Raw Data'!G18,FIND("/",'Main Project Raw Data'!G18)-1),MID('Main Project Raw Data'!G18,FIND("/",'Main Project Raw Data'!G18)+1,2)),DATE(RIGHT('Main Project Raw Data'!G18,4),MID('Main Project Raw Data'!G18,4,2),LEFT('Main Project Raw Data'!G18,2))))</f>
        <v>45405</v>
      </c>
      <c r="H18" s="3">
        <f>IF(Table1[[#This Row],[Salary]]="",AVERAGE(Table1[Salary]),Table1[[#This Row],[Salary]])</f>
        <v>94867.33</v>
      </c>
      <c r="I18" s="3" t="s">
        <v>80</v>
      </c>
      <c r="J18" s="3">
        <f>ABS(Table1[[#This Row],[Phone]])</f>
        <v>7713334475</v>
      </c>
      <c r="K18" s="3" t="str">
        <f>PROPER(TRIM(Table1[[#This Row],[Performance_Score]]))</f>
        <v>Poor</v>
      </c>
      <c r="L18" s="3" t="b">
        <f>Table1[[#This Row],[Remote_Work]]</f>
        <v>0</v>
      </c>
      <c r="M18" s="3" t="str">
        <f>PROPER(CONCATENATE(Table13[[#This Row],[First_Name]], Table13[[#This Row],[Last_Name]]))</f>
        <v>Alicebrown</v>
      </c>
      <c r="N18" s="3" t="str">
        <f t="shared" si="0"/>
        <v>Apr</v>
      </c>
      <c r="O18" s="3" t="str">
        <f>TEXT(Table13[[#This Row],[Join_Date]],"yyyy")</f>
        <v>2024</v>
      </c>
      <c r="P18" s="3" t="str">
        <f>LEFT('Main Project Raw Data'!E18,FIND("-",'Main Project Raw Data'!E18)-1)</f>
        <v>DevOps</v>
      </c>
      <c r="Q18" s="3" t="str">
        <f>RIGHT('Main Project Raw Data'!E18,LEN('Main Project Raw Data'!E18)-FIND("-",'Main Project Raw Data'!E18))</f>
        <v>Illinois</v>
      </c>
    </row>
    <row r="19" spans="1:17" x14ac:dyDescent="0.3">
      <c r="A19" s="3" t="str">
        <f>TRIM(Table1[[#This Row],[Employee_ID]])</f>
        <v>EMP1017</v>
      </c>
      <c r="B19" s="3" t="str">
        <f>TRIM(Table1[[#This Row],[First_Name]])</f>
        <v>Grace</v>
      </c>
      <c r="C19" s="3" t="str">
        <f>TRIM(Table1[[#This Row],[Last_Name]])</f>
        <v>Garcia</v>
      </c>
      <c r="D19" s="3">
        <f>IF(Table1[[#This Row],[Age]]="",AVERAGE(Table1[Age]),Table1[[#This Row],[Age]])</f>
        <v>30</v>
      </c>
      <c r="E19" s="3" t="s">
        <v>21</v>
      </c>
      <c r="F19" s="3" t="s">
        <v>28</v>
      </c>
      <c r="G19" s="5">
        <f>IF(ISNUMBER('Main Project Raw Data'!G19),'Main Project Raw Data'!G19,IF(ISNUMBER(SEARCH("/",'Main Project Raw Data'!G19)),DATE(RIGHT('Main Project Raw Data'!G19,4),LEFT('Main Project Raw Data'!G19,FIND("/",'Main Project Raw Data'!G19)-1),MID('Main Project Raw Data'!G19,FIND("/",'Main Project Raw Data'!G19)+1,2)),DATE(RIGHT('Main Project Raw Data'!G19,4),MID('Main Project Raw Data'!G19,4,2),LEFT('Main Project Raw Data'!G19,2))))</f>
        <v>45624</v>
      </c>
      <c r="H19" s="3">
        <f>IF(Table1[[#This Row],[Salary]]="",AVERAGE(Table1[Salary]),Table1[[#This Row],[Salary]])</f>
        <v>100377.65</v>
      </c>
      <c r="I19" s="3" t="s">
        <v>83</v>
      </c>
      <c r="J19" s="3">
        <f>ABS(Table1[[#This Row],[Phone]])</f>
        <v>2639343625</v>
      </c>
      <c r="K19" s="3" t="str">
        <f>PROPER(TRIM(Table1[[#This Row],[Performance_Score]]))</f>
        <v>Average</v>
      </c>
      <c r="L19" s="3" t="b">
        <f>Table1[[#This Row],[Remote_Work]]</f>
        <v>1</v>
      </c>
      <c r="M19" s="3" t="str">
        <f>PROPER(CONCATENATE(Table13[[#This Row],[First_Name]], Table13[[#This Row],[Last_Name]]))</f>
        <v>Gracegarcia</v>
      </c>
      <c r="N19" s="3" t="str">
        <f t="shared" si="0"/>
        <v>Nov</v>
      </c>
      <c r="O19" s="3" t="str">
        <f>TEXT(Table13[[#This Row],[Join_Date]],"yyyy")</f>
        <v>2024</v>
      </c>
      <c r="P19" s="3" t="str">
        <f>LEFT('Main Project Raw Data'!E19,FIND("-",'Main Project Raw Data'!E19)-1)</f>
        <v>Finance</v>
      </c>
      <c r="Q19" s="3" t="str">
        <f>RIGHT('Main Project Raw Data'!E19,LEN('Main Project Raw Data'!E19)-FIND("-",'Main Project Raw Data'!E19))</f>
        <v>Texas</v>
      </c>
    </row>
    <row r="20" spans="1:17" x14ac:dyDescent="0.3">
      <c r="A20" s="3" t="str">
        <f>TRIM(Table1[[#This Row],[Employee_ID]])</f>
        <v>EMP1018</v>
      </c>
      <c r="B20" s="3" t="str">
        <f>TRIM(Table1[[#This Row],[First_Name]])</f>
        <v>Charlie</v>
      </c>
      <c r="C20" s="3" t="str">
        <f>TRIM(Table1[[#This Row],[Last_Name]])</f>
        <v>Garcia</v>
      </c>
      <c r="D20" s="3">
        <f>IF(Table1[[#This Row],[Age]]="",AVERAGE(Table1[Age]),Table1[[#This Row],[Age]])</f>
        <v>32.484548825710753</v>
      </c>
      <c r="E20" s="3" t="s">
        <v>85</v>
      </c>
      <c r="F20" s="3" t="s">
        <v>33</v>
      </c>
      <c r="G20" s="5">
        <f>IF(ISNUMBER('Main Project Raw Data'!G20),'Main Project Raw Data'!G20,IF(ISNUMBER(SEARCH("/",'Main Project Raw Data'!G20)),DATE(RIGHT('Main Project Raw Data'!G20,4),LEFT('Main Project Raw Data'!G20,FIND("/",'Main Project Raw Data'!G20)-1),MID('Main Project Raw Data'!G20,FIND("/",'Main Project Raw Data'!G20)+1,2)),DATE(RIGHT('Main Project Raw Data'!G20,4),MID('Main Project Raw Data'!G20,4,2),LEFT('Main Project Raw Data'!G20,2))))</f>
        <v>45554</v>
      </c>
      <c r="H20" s="3">
        <f>IF(Table1[[#This Row],[Salary]]="",AVERAGE(Table1[Salary]),Table1[[#This Row],[Salary]])</f>
        <v>94726.46</v>
      </c>
      <c r="I20" s="3" t="s">
        <v>87</v>
      </c>
      <c r="J20" s="3">
        <f>ABS(Table1[[#This Row],[Phone]])</f>
        <v>2044397358</v>
      </c>
      <c r="K20" s="3" t="str">
        <f>PROPER(TRIM(Table1[[#This Row],[Performance_Score]]))</f>
        <v>Excellent</v>
      </c>
      <c r="L20" s="3" t="b">
        <f>Table1[[#This Row],[Remote_Work]]</f>
        <v>0</v>
      </c>
      <c r="M20" s="3" t="str">
        <f>PROPER(CONCATENATE(Table13[[#This Row],[First_Name]], Table13[[#This Row],[Last_Name]]))</f>
        <v>Charliegarcia</v>
      </c>
      <c r="N20" s="3" t="str">
        <f t="shared" si="0"/>
        <v>Sep</v>
      </c>
      <c r="O20" s="3" t="str">
        <f>TEXT(Table13[[#This Row],[Join_Date]],"yyyy")</f>
        <v>2024</v>
      </c>
      <c r="P20" s="3" t="str">
        <f>LEFT('Main Project Raw Data'!E20,FIND("-",'Main Project Raw Data'!E20)-1)</f>
        <v>Cloud Tech</v>
      </c>
      <c r="Q20" s="3" t="str">
        <f>RIGHT('Main Project Raw Data'!E20,LEN('Main Project Raw Data'!E20)-FIND("-",'Main Project Raw Data'!E20))</f>
        <v>Nevada</v>
      </c>
    </row>
    <row r="21" spans="1:17" x14ac:dyDescent="0.3">
      <c r="A21" s="3" t="str">
        <f>TRIM(Table1[[#This Row],[Employee_ID]])</f>
        <v>EMP1019</v>
      </c>
      <c r="B21" s="3" t="str">
        <f>TRIM(Table1[[#This Row],[First_Name]])</f>
        <v>Charlie</v>
      </c>
      <c r="C21" s="3" t="str">
        <f>TRIM(Table1[[#This Row],[Last_Name]])</f>
        <v>Williams</v>
      </c>
      <c r="D21" s="3">
        <f>IF(Table1[[#This Row],[Age]]="",AVERAGE(Table1[Age]),Table1[[#This Row],[Age]])</f>
        <v>35</v>
      </c>
      <c r="E21" s="3" t="s">
        <v>89</v>
      </c>
      <c r="F21" s="3" t="s">
        <v>28</v>
      </c>
      <c r="G21" s="5">
        <f>IF(ISNUMBER('Main Project Raw Data'!G21),'Main Project Raw Data'!G21,IF(ISNUMBER(SEARCH("/",'Main Project Raw Data'!G21)),DATE(RIGHT('Main Project Raw Data'!G21,4),LEFT('Main Project Raw Data'!G21,FIND("/",'Main Project Raw Data'!G21)-1),MID('Main Project Raw Data'!G21,FIND("/",'Main Project Raw Data'!G21)+1,2)),DATE(RIGHT('Main Project Raw Data'!G21,4),MID('Main Project Raw Data'!G21,4,2),LEFT('Main Project Raw Data'!G21,2))))</f>
        <v>43862</v>
      </c>
      <c r="H21" s="3">
        <f>IF(Table1[[#This Row],[Salary]]="",AVERAGE(Table1[Salary]),Table1[[#This Row],[Salary]])</f>
        <v>91926.12</v>
      </c>
      <c r="I21" s="3" t="s">
        <v>90</v>
      </c>
      <c r="J21" s="3">
        <f>ABS(Table1[[#This Row],[Phone]])</f>
        <v>7107256365</v>
      </c>
      <c r="K21" s="3" t="str">
        <f>PROPER(TRIM(Table1[[#This Row],[Performance_Score]]))</f>
        <v>Average</v>
      </c>
      <c r="L21" s="3" t="b">
        <f>Table1[[#This Row],[Remote_Work]]</f>
        <v>1</v>
      </c>
      <c r="M21" s="3" t="str">
        <f>PROPER(CONCATENATE(Table13[[#This Row],[First_Name]], Table13[[#This Row],[Last_Name]]))</f>
        <v>Charliewilliams</v>
      </c>
      <c r="N21" s="3" t="str">
        <f t="shared" si="0"/>
        <v>Feb</v>
      </c>
      <c r="O21" s="3" t="str">
        <f>TEXT(Table13[[#This Row],[Join_Date]],"yyyy")</f>
        <v>2020</v>
      </c>
      <c r="P21" s="3" t="str">
        <f>LEFT('Main Project Raw Data'!E21,FIND("-",'Main Project Raw Data'!E21)-1)</f>
        <v>Admin</v>
      </c>
      <c r="Q21" s="3" t="str">
        <f>RIGHT('Main Project Raw Data'!E21,LEN('Main Project Raw Data'!E21)-FIND("-",'Main Project Raw Data'!E21))</f>
        <v>Illinois</v>
      </c>
    </row>
    <row r="22" spans="1:17" x14ac:dyDescent="0.3">
      <c r="A22" s="3" t="str">
        <f>TRIM(Table1[[#This Row],[Employee_ID]])</f>
        <v>EMP1020</v>
      </c>
      <c r="B22" s="3" t="str">
        <f>TRIM(Table1[[#This Row],[First_Name]])</f>
        <v>Bob</v>
      </c>
      <c r="C22" s="3" t="str">
        <f>TRIM(Table1[[#This Row],[Last_Name]])</f>
        <v>Miller</v>
      </c>
      <c r="D22" s="3">
        <f>IF(Table1[[#This Row],[Age]]="",AVERAGE(Table1[Age]),Table1[[#This Row],[Age]])</f>
        <v>35</v>
      </c>
      <c r="E22" s="3" t="s">
        <v>66</v>
      </c>
      <c r="F22" s="3" t="s">
        <v>16</v>
      </c>
      <c r="G22" s="5">
        <f>IF(ISNUMBER('Main Project Raw Data'!G22),'Main Project Raw Data'!G22,IF(ISNUMBER(SEARCH("/",'Main Project Raw Data'!G22)),DATE(RIGHT('Main Project Raw Data'!G22,4),LEFT('Main Project Raw Data'!G22,FIND("/",'Main Project Raw Data'!G22)-1),MID('Main Project Raw Data'!G22,FIND("/",'Main Project Raw Data'!G22)+1,2)),DATE(RIGHT('Main Project Raw Data'!G22,4),MID('Main Project Raw Data'!G22,4,2),LEFT('Main Project Raw Data'!G22,2))))</f>
        <v>44413</v>
      </c>
      <c r="H22" s="3">
        <f>IF(Table1[[#This Row],[Salary]]="",AVERAGE(Table1[Salary]),Table1[[#This Row],[Salary]])</f>
        <v>111460.67</v>
      </c>
      <c r="I22" s="3" t="s">
        <v>93</v>
      </c>
      <c r="J22" s="3">
        <f>ABS(Table1[[#This Row],[Phone]])</f>
        <v>9411800536</v>
      </c>
      <c r="K22" s="3" t="str">
        <f>PROPER(TRIM(Table1[[#This Row],[Performance_Score]]))</f>
        <v>Excellent</v>
      </c>
      <c r="L22" s="3" t="b">
        <f>Table1[[#This Row],[Remote_Work]]</f>
        <v>1</v>
      </c>
      <c r="M22" s="3" t="str">
        <f>PROPER(CONCATENATE(Table13[[#This Row],[First_Name]], Table13[[#This Row],[Last_Name]]))</f>
        <v>Bobmiller</v>
      </c>
      <c r="N22" s="3" t="str">
        <f t="shared" si="0"/>
        <v>Aug</v>
      </c>
      <c r="O22" s="3" t="str">
        <f>TEXT(Table13[[#This Row],[Join_Date]],"yyyy")</f>
        <v>2021</v>
      </c>
      <c r="P22" s="3" t="str">
        <f>LEFT('Main Project Raw Data'!E22,FIND("-",'Main Project Raw Data'!E22)-1)</f>
        <v>HR</v>
      </c>
      <c r="Q22" s="3" t="str">
        <f>RIGHT('Main Project Raw Data'!E22,LEN('Main Project Raw Data'!E22)-FIND("-",'Main Project Raw Data'!E22))</f>
        <v>New York</v>
      </c>
    </row>
    <row r="23" spans="1:17" x14ac:dyDescent="0.3">
      <c r="A23" s="3" t="str">
        <f>TRIM(Table1[[#This Row],[Employee_ID]])</f>
        <v>EMP1021</v>
      </c>
      <c r="B23" s="3" t="str">
        <f>TRIM(Table1[[#This Row],[First_Name]])</f>
        <v>Bob</v>
      </c>
      <c r="C23" s="3" t="str">
        <f>TRIM(Table1[[#This Row],[Last_Name]])</f>
        <v>Jones</v>
      </c>
      <c r="D23" s="3">
        <f>IF(Table1[[#This Row],[Age]]="",AVERAGE(Table1[Age]),Table1[[#This Row],[Age]])</f>
        <v>40</v>
      </c>
      <c r="E23" s="3" t="s">
        <v>95</v>
      </c>
      <c r="F23" s="3" t="s">
        <v>16</v>
      </c>
      <c r="G23" s="5">
        <f>IF(ISNUMBER('Main Project Raw Data'!G23),'Main Project Raw Data'!G23,IF(ISNUMBER(SEARCH("/",'Main Project Raw Data'!G23)),DATE(RIGHT('Main Project Raw Data'!G23,4),LEFT('Main Project Raw Data'!G23,FIND("/",'Main Project Raw Data'!G23)-1),MID('Main Project Raw Data'!G23,FIND("/",'Main Project Raw Data'!G23)+1,2)),DATE(RIGHT('Main Project Raw Data'!G23,4),MID('Main Project Raw Data'!G23,4,2),LEFT('Main Project Raw Data'!G23,2))))</f>
        <v>44093</v>
      </c>
      <c r="H23" s="3">
        <f>IF(Table1[[#This Row],[Salary]]="",AVERAGE(Table1[Salary]),Table1[[#This Row],[Salary]])</f>
        <v>96182.56</v>
      </c>
      <c r="I23" s="3" t="s">
        <v>50</v>
      </c>
      <c r="J23" s="3">
        <f>ABS(Table1[[#This Row],[Phone]])</f>
        <v>5990048963</v>
      </c>
      <c r="K23" s="3" t="str">
        <f>PROPER(TRIM(Table1[[#This Row],[Performance_Score]]))</f>
        <v>Good</v>
      </c>
      <c r="L23" s="3" t="b">
        <f>Table1[[#This Row],[Remote_Work]]</f>
        <v>0</v>
      </c>
      <c r="M23" s="3" t="str">
        <f>PROPER(CONCATENATE(Table13[[#This Row],[First_Name]], Table13[[#This Row],[Last_Name]]))</f>
        <v>Bobjones</v>
      </c>
      <c r="N23" s="3" t="str">
        <f t="shared" si="0"/>
        <v>Sep</v>
      </c>
      <c r="O23" s="3" t="str">
        <f>TEXT(Table13[[#This Row],[Join_Date]],"yyyy")</f>
        <v>2020</v>
      </c>
      <c r="P23" s="3" t="str">
        <f>LEFT('Main Project Raw Data'!E23,FIND("-",'Main Project Raw Data'!E23)-1)</f>
        <v>Cloud Tech</v>
      </c>
      <c r="Q23" s="3" t="str">
        <f>RIGHT('Main Project Raw Data'!E23,LEN('Main Project Raw Data'!E23)-FIND("-",'Main Project Raw Data'!E23))</f>
        <v>Illinois</v>
      </c>
    </row>
    <row r="24" spans="1:17" x14ac:dyDescent="0.3">
      <c r="A24" s="3" t="str">
        <f>TRIM(Table1[[#This Row],[Employee_ID]])</f>
        <v>EMP1022</v>
      </c>
      <c r="B24" s="3" t="str">
        <f>TRIM(Table1[[#This Row],[First_Name]])</f>
        <v>Charlie</v>
      </c>
      <c r="C24" s="3" t="str">
        <f>TRIM(Table1[[#This Row],[Last_Name]])</f>
        <v>Johnson</v>
      </c>
      <c r="D24" s="3">
        <f>IF(Table1[[#This Row],[Age]]="",AVERAGE(Table1[Age]),Table1[[#This Row],[Age]])</f>
        <v>35</v>
      </c>
      <c r="E24" s="3" t="s">
        <v>98</v>
      </c>
      <c r="F24" s="3" t="s">
        <v>33</v>
      </c>
      <c r="G24" s="5">
        <f>IF(ISNUMBER('Main Project Raw Data'!G24),'Main Project Raw Data'!G24,IF(ISNUMBER(SEARCH("/",'Main Project Raw Data'!G24)),DATE(RIGHT('Main Project Raw Data'!G24,4),LEFT('Main Project Raw Data'!G24,FIND("/",'Main Project Raw Data'!G24)-1),MID('Main Project Raw Data'!G24,FIND("/",'Main Project Raw Data'!G24)+1,2)),DATE(RIGHT('Main Project Raw Data'!G24,4),MID('Main Project Raw Data'!G24,4,2),LEFT('Main Project Raw Data'!G24,2))))</f>
        <v>44442</v>
      </c>
      <c r="H24" s="3">
        <f>IF(Table1[[#This Row],[Salary]]="",AVERAGE(Table1[Salary]),Table1[[#This Row],[Salary]])</f>
        <v>115023.94</v>
      </c>
      <c r="I24" s="3" t="s">
        <v>57</v>
      </c>
      <c r="J24" s="3">
        <f>ABS(Table1[[#This Row],[Phone]])</f>
        <v>6528092427</v>
      </c>
      <c r="K24" s="3" t="str">
        <f>PROPER(TRIM(Table1[[#This Row],[Performance_Score]]))</f>
        <v>Average</v>
      </c>
      <c r="L24" s="3" t="b">
        <f>Table1[[#This Row],[Remote_Work]]</f>
        <v>1</v>
      </c>
      <c r="M24" s="3" t="str">
        <f>PROPER(CONCATENATE(Table13[[#This Row],[First_Name]], Table13[[#This Row],[Last_Name]]))</f>
        <v>Charliejohnson</v>
      </c>
      <c r="N24" s="3" t="str">
        <f t="shared" si="0"/>
        <v>Sep</v>
      </c>
      <c r="O24" s="3" t="str">
        <f>TEXT(Table13[[#This Row],[Join_Date]],"yyyy")</f>
        <v>2021</v>
      </c>
      <c r="P24" s="3" t="str">
        <f>LEFT('Main Project Raw Data'!E24,FIND("-",'Main Project Raw Data'!E24)-1)</f>
        <v>Sales</v>
      </c>
      <c r="Q24" s="3" t="str">
        <f>RIGHT('Main Project Raw Data'!E24,LEN('Main Project Raw Data'!E24)-FIND("-",'Main Project Raw Data'!E24))</f>
        <v>Illinois</v>
      </c>
    </row>
    <row r="25" spans="1:17" x14ac:dyDescent="0.3">
      <c r="A25" s="3" t="str">
        <f>TRIM(Table1[[#This Row],[Employee_ID]])</f>
        <v>EMP1023</v>
      </c>
      <c r="B25" s="3" t="str">
        <f>TRIM(Table1[[#This Row],[First_Name]])</f>
        <v>David</v>
      </c>
      <c r="C25" s="3" t="str">
        <f>TRIM(Table1[[#This Row],[Last_Name]])</f>
        <v>Garcia</v>
      </c>
      <c r="D25" s="3">
        <f>IF(Table1[[#This Row],[Age]]="",AVERAGE(Table1[Age]),Table1[[#This Row],[Age]])</f>
        <v>35</v>
      </c>
      <c r="E25" s="3" t="s">
        <v>100</v>
      </c>
      <c r="F25" s="3" t="s">
        <v>28</v>
      </c>
      <c r="G25" s="5">
        <f>IF(ISNUMBER('Main Project Raw Data'!G25),'Main Project Raw Data'!G25,IF(ISNUMBER(SEARCH("/",'Main Project Raw Data'!G25)),DATE(RIGHT('Main Project Raw Data'!G25,4),LEFT('Main Project Raw Data'!G25,FIND("/",'Main Project Raw Data'!G25)-1),MID('Main Project Raw Data'!G25,FIND("/",'Main Project Raw Data'!G25)+1,2)),DATE(RIGHT('Main Project Raw Data'!G25,4),MID('Main Project Raw Data'!G25,4,2),LEFT('Main Project Raw Data'!G25,2))))</f>
        <v>44622</v>
      </c>
      <c r="H25" s="3">
        <f>IF(Table1[[#This Row],[Salary]]="",AVERAGE(Table1[Salary]),Table1[[#This Row],[Salary]])</f>
        <v>80667.009999999995</v>
      </c>
      <c r="I25" s="3" t="s">
        <v>101</v>
      </c>
      <c r="J25" s="3">
        <f>ABS(Table1[[#This Row],[Phone]])</f>
        <v>7572158623</v>
      </c>
      <c r="K25" s="3" t="str">
        <f>PROPER(TRIM(Table1[[#This Row],[Performance_Score]]))</f>
        <v>Excellent</v>
      </c>
      <c r="L25" s="3" t="b">
        <f>Table1[[#This Row],[Remote_Work]]</f>
        <v>0</v>
      </c>
      <c r="M25" s="3" t="str">
        <f>PROPER(CONCATENATE(Table13[[#This Row],[First_Name]], Table13[[#This Row],[Last_Name]]))</f>
        <v>Davidgarcia</v>
      </c>
      <c r="N25" s="3" t="str">
        <f t="shared" si="0"/>
        <v>Mar</v>
      </c>
      <c r="O25" s="3" t="str">
        <f>TEXT(Table13[[#This Row],[Join_Date]],"yyyy")</f>
        <v>2022</v>
      </c>
      <c r="P25" s="3" t="str">
        <f>LEFT('Main Project Raw Data'!E25,FIND("-",'Main Project Raw Data'!E25)-1)</f>
        <v>Finance</v>
      </c>
      <c r="Q25" s="3" t="str">
        <f>RIGHT('Main Project Raw Data'!E25,LEN('Main Project Raw Data'!E25)-FIND("-",'Main Project Raw Data'!E25))</f>
        <v>Nevada</v>
      </c>
    </row>
    <row r="26" spans="1:17" x14ac:dyDescent="0.3">
      <c r="A26" s="3" t="str">
        <f>TRIM(Table1[[#This Row],[Employee_ID]])</f>
        <v>EMP1024</v>
      </c>
      <c r="B26" s="3" t="str">
        <f>TRIM(Table1[[#This Row],[First_Name]])</f>
        <v>Bob</v>
      </c>
      <c r="C26" s="3" t="str">
        <f>TRIM(Table1[[#This Row],[Last_Name]])</f>
        <v>Brown</v>
      </c>
      <c r="D26" s="3">
        <f>IF(Table1[[#This Row],[Age]]="",AVERAGE(Table1[Age]),Table1[[#This Row],[Age]])</f>
        <v>30</v>
      </c>
      <c r="E26" s="3" t="s">
        <v>103</v>
      </c>
      <c r="F26" s="3" t="s">
        <v>33</v>
      </c>
      <c r="G26" s="5">
        <f>IF(ISNUMBER('Main Project Raw Data'!G26),'Main Project Raw Data'!G26,IF(ISNUMBER(SEARCH("/",'Main Project Raw Data'!G26)),DATE(RIGHT('Main Project Raw Data'!G26,4),LEFT('Main Project Raw Data'!G26,FIND("/",'Main Project Raw Data'!G26)-1),MID('Main Project Raw Data'!G26,FIND("/",'Main Project Raw Data'!G26)+1,2)),DATE(RIGHT('Main Project Raw Data'!G26,4),MID('Main Project Raw Data'!G26,4,2),LEFT('Main Project Raw Data'!G26,2))))</f>
        <v>43874</v>
      </c>
      <c r="H26" s="3">
        <f>IF(Table1[[#This Row],[Salary]]="",AVERAGE(Table1[Salary]),Table1[[#This Row],[Salary]])</f>
        <v>91181.61</v>
      </c>
      <c r="I26" s="3" t="s">
        <v>22</v>
      </c>
      <c r="J26" s="3">
        <f>ABS(Table1[[#This Row],[Phone]])</f>
        <v>1502745643</v>
      </c>
      <c r="K26" s="3" t="str">
        <f>PROPER(TRIM(Table1[[#This Row],[Performance_Score]]))</f>
        <v>Good</v>
      </c>
      <c r="L26" s="3" t="b">
        <f>Table1[[#This Row],[Remote_Work]]</f>
        <v>1</v>
      </c>
      <c r="M26" s="3" t="str">
        <f>PROPER(CONCATENATE(Table13[[#This Row],[First_Name]], Table13[[#This Row],[Last_Name]]))</f>
        <v>Bobbrown</v>
      </c>
      <c r="N26" s="3" t="str">
        <f t="shared" si="0"/>
        <v>Feb</v>
      </c>
      <c r="O26" s="3" t="str">
        <f>TEXT(Table13[[#This Row],[Join_Date]],"yyyy")</f>
        <v>2020</v>
      </c>
      <c r="P26" s="3" t="str">
        <f>LEFT('Main Project Raw Data'!E26,FIND("-",'Main Project Raw Data'!E26)-1)</f>
        <v>Admin</v>
      </c>
      <c r="Q26" s="3" t="str">
        <f>RIGHT('Main Project Raw Data'!E26,LEN('Main Project Raw Data'!E26)-FIND("-",'Main Project Raw Data'!E26))</f>
        <v>Texas</v>
      </c>
    </row>
    <row r="27" spans="1:17" x14ac:dyDescent="0.3">
      <c r="A27" s="3" t="str">
        <f>TRIM(Table1[[#This Row],[Employee_ID]])</f>
        <v>EMP1025</v>
      </c>
      <c r="B27" s="3" t="str">
        <f>TRIM(Table1[[#This Row],[First_Name]])</f>
        <v>David</v>
      </c>
      <c r="C27" s="3" t="str">
        <f>TRIM(Table1[[#This Row],[Last_Name]])</f>
        <v>Miller</v>
      </c>
      <c r="D27" s="3">
        <f>IF(Table1[[#This Row],[Age]]="",AVERAGE(Table1[Age]),Table1[[#This Row],[Age]])</f>
        <v>25</v>
      </c>
      <c r="E27" s="3" t="s">
        <v>85</v>
      </c>
      <c r="F27" s="3" t="s">
        <v>28</v>
      </c>
      <c r="G27" s="5">
        <f>IF(ISNUMBER('Main Project Raw Data'!G27),'Main Project Raw Data'!G27,IF(ISNUMBER(SEARCH("/",'Main Project Raw Data'!G27)),DATE(RIGHT('Main Project Raw Data'!G27,4),LEFT('Main Project Raw Data'!G27,FIND("/",'Main Project Raw Data'!G27)-1),MID('Main Project Raw Data'!G27,FIND("/",'Main Project Raw Data'!G27)+1,2)),DATE(RIGHT('Main Project Raw Data'!G27,4),MID('Main Project Raw Data'!G27,4,2),LEFT('Main Project Raw Data'!G27,2))))</f>
        <v>43951</v>
      </c>
      <c r="H27" s="3">
        <f>IF(Table1[[#This Row],[Salary]]="",AVERAGE(Table1[Salary]),Table1[[#This Row],[Salary]])</f>
        <v>66025.919999999998</v>
      </c>
      <c r="I27" s="3" t="s">
        <v>107</v>
      </c>
      <c r="J27" s="3">
        <f>ABS(Table1[[#This Row],[Phone]])</f>
        <v>9485625727</v>
      </c>
      <c r="K27" s="3" t="str">
        <f>PROPER(TRIM(Table1[[#This Row],[Performance_Score]]))</f>
        <v>Average</v>
      </c>
      <c r="L27" s="3" t="b">
        <f>Table1[[#This Row],[Remote_Work]]</f>
        <v>0</v>
      </c>
      <c r="M27" s="3" t="str">
        <f>PROPER(CONCATENATE(Table13[[#This Row],[First_Name]], Table13[[#This Row],[Last_Name]]))</f>
        <v>Davidmiller</v>
      </c>
      <c r="N27" s="3" t="str">
        <f t="shared" si="0"/>
        <v>Apr</v>
      </c>
      <c r="O27" s="3" t="str">
        <f>TEXT(Table13[[#This Row],[Join_Date]],"yyyy")</f>
        <v>2020</v>
      </c>
      <c r="P27" s="3" t="str">
        <f>LEFT('Main Project Raw Data'!E27,FIND("-",'Main Project Raw Data'!E27)-1)</f>
        <v>Cloud Tech</v>
      </c>
      <c r="Q27" s="3" t="str">
        <f>RIGHT('Main Project Raw Data'!E27,LEN('Main Project Raw Data'!E27)-FIND("-",'Main Project Raw Data'!E27))</f>
        <v>Nevada</v>
      </c>
    </row>
    <row r="28" spans="1:17" x14ac:dyDescent="0.3">
      <c r="A28" s="3" t="str">
        <f>TRIM(Table1[[#This Row],[Employee_ID]])</f>
        <v>EMP1026</v>
      </c>
      <c r="B28" s="3" t="str">
        <f>TRIM(Table1[[#This Row],[First_Name]])</f>
        <v>Frank</v>
      </c>
      <c r="C28" s="3" t="str">
        <f>TRIM(Table1[[#This Row],[Last_Name]])</f>
        <v>Miller</v>
      </c>
      <c r="D28" s="3">
        <f>IF(Table1[[#This Row],[Age]]="",AVERAGE(Table1[Age]),Table1[[#This Row],[Age]])</f>
        <v>25</v>
      </c>
      <c r="E28" s="3" t="s">
        <v>109</v>
      </c>
      <c r="F28" s="3" t="s">
        <v>33</v>
      </c>
      <c r="G28" s="5">
        <f>IF(ISNUMBER('Main Project Raw Data'!G28),'Main Project Raw Data'!G28,IF(ISNUMBER(SEARCH("/",'Main Project Raw Data'!G28)),DATE(RIGHT('Main Project Raw Data'!G28,4),LEFT('Main Project Raw Data'!G28,FIND("/",'Main Project Raw Data'!G28)-1),MID('Main Project Raw Data'!G28,FIND("/",'Main Project Raw Data'!G28)+1,2)),DATE(RIGHT('Main Project Raw Data'!G28,4),MID('Main Project Raw Data'!G28,4,2),LEFT('Main Project Raw Data'!G28,2))))</f>
        <v>44967</v>
      </c>
      <c r="H28" s="3">
        <f>IF(Table1[[#This Row],[Salary]]="",AVERAGE(Table1[Salary]),Table1[[#This Row],[Salary]])</f>
        <v>83979.01</v>
      </c>
      <c r="I28" s="3" t="s">
        <v>110</v>
      </c>
      <c r="J28" s="3">
        <f>ABS(Table1[[#This Row],[Phone]])</f>
        <v>7032032073</v>
      </c>
      <c r="K28" s="3" t="str">
        <f>PROPER(TRIM(Table1[[#This Row],[Performance_Score]]))</f>
        <v>Average</v>
      </c>
      <c r="L28" s="3" t="b">
        <f>Table1[[#This Row],[Remote_Work]]</f>
        <v>0</v>
      </c>
      <c r="M28" s="3" t="str">
        <f>PROPER(CONCATENATE(Table13[[#This Row],[First_Name]], Table13[[#This Row],[Last_Name]]))</f>
        <v>Frankmiller</v>
      </c>
      <c r="N28" s="3" t="str">
        <f t="shared" si="0"/>
        <v>Feb</v>
      </c>
      <c r="O28" s="3" t="str">
        <f>TEXT(Table13[[#This Row],[Join_Date]],"yyyy")</f>
        <v>2023</v>
      </c>
      <c r="P28" s="3" t="str">
        <f>LEFT('Main Project Raw Data'!E28,FIND("-",'Main Project Raw Data'!E28)-1)</f>
        <v>Sales</v>
      </c>
      <c r="Q28" s="3" t="str">
        <f>RIGHT('Main Project Raw Data'!E28,LEN('Main Project Raw Data'!E28)-FIND("-",'Main Project Raw Data'!E28))</f>
        <v>New York</v>
      </c>
    </row>
    <row r="29" spans="1:17" x14ac:dyDescent="0.3">
      <c r="A29" s="3" t="str">
        <f>TRIM(Table1[[#This Row],[Employee_ID]])</f>
        <v>EMP1027</v>
      </c>
      <c r="B29" s="3" t="str">
        <f>TRIM(Table1[[#This Row],[First_Name]])</f>
        <v>Heidi</v>
      </c>
      <c r="C29" s="3" t="str">
        <f>TRIM(Table1[[#This Row],[Last_Name]])</f>
        <v>Johnson</v>
      </c>
      <c r="D29" s="3">
        <f>IF(Table1[[#This Row],[Age]]="",AVERAGE(Table1[Age]),Table1[[#This Row],[Age]])</f>
        <v>30</v>
      </c>
      <c r="E29" s="3" t="s">
        <v>112</v>
      </c>
      <c r="F29" s="3" t="s">
        <v>16</v>
      </c>
      <c r="G29" s="5">
        <f>IF(ISNUMBER('Main Project Raw Data'!G29),'Main Project Raw Data'!G29,IF(ISNUMBER(SEARCH("/",'Main Project Raw Data'!G29)),DATE(RIGHT('Main Project Raw Data'!G29,4),LEFT('Main Project Raw Data'!G29,FIND("/",'Main Project Raw Data'!G29)-1),MID('Main Project Raw Data'!G29,FIND("/",'Main Project Raw Data'!G29)+1,2)),DATE(RIGHT('Main Project Raw Data'!G29,4),MID('Main Project Raw Data'!G29,4,2),LEFT('Main Project Raw Data'!G29,2))))</f>
        <v>44172</v>
      </c>
      <c r="H29" s="3">
        <f>IF(Table1[[#This Row],[Salary]]="",AVERAGE(Table1[Salary]),Table1[[#This Row],[Salary]])</f>
        <v>56785.16</v>
      </c>
      <c r="I29" s="3" t="s">
        <v>113</v>
      </c>
      <c r="J29" s="3">
        <f>ABS(Table1[[#This Row],[Phone]])</f>
        <v>2761707586</v>
      </c>
      <c r="K29" s="3" t="str">
        <f>PROPER(TRIM(Table1[[#This Row],[Performance_Score]]))</f>
        <v>Excellent</v>
      </c>
      <c r="L29" s="3" t="b">
        <f>Table1[[#This Row],[Remote_Work]]</f>
        <v>1</v>
      </c>
      <c r="M29" s="3" t="str">
        <f>PROPER(CONCATENATE(Table13[[#This Row],[First_Name]], Table13[[#This Row],[Last_Name]]))</f>
        <v>Heidijohnson</v>
      </c>
      <c r="N29" s="3" t="str">
        <f t="shared" si="0"/>
        <v>Dec</v>
      </c>
      <c r="O29" s="3" t="str">
        <f>TEXT(Table13[[#This Row],[Join_Date]],"yyyy")</f>
        <v>2020</v>
      </c>
      <c r="P29" s="3" t="str">
        <f>LEFT('Main Project Raw Data'!E29,FIND("-",'Main Project Raw Data'!E29)-1)</f>
        <v>Finance</v>
      </c>
      <c r="Q29" s="3" t="str">
        <f>RIGHT('Main Project Raw Data'!E29,LEN('Main Project Raw Data'!E29)-FIND("-",'Main Project Raw Data'!E29))</f>
        <v>Florida</v>
      </c>
    </row>
    <row r="30" spans="1:17" x14ac:dyDescent="0.3">
      <c r="A30" s="3" t="str">
        <f>TRIM(Table1[[#This Row],[Employee_ID]])</f>
        <v>EMP1028</v>
      </c>
      <c r="B30" s="3" t="str">
        <f>TRIM(Table1[[#This Row],[First_Name]])</f>
        <v>Grace</v>
      </c>
      <c r="C30" s="3" t="str">
        <f>TRIM(Table1[[#This Row],[Last_Name]])</f>
        <v>Garcia</v>
      </c>
      <c r="D30" s="3">
        <f>IF(Table1[[#This Row],[Age]]="",AVERAGE(Table1[Age]),Table1[[#This Row],[Age]])</f>
        <v>40</v>
      </c>
      <c r="E30" s="3" t="s">
        <v>100</v>
      </c>
      <c r="F30" s="3" t="s">
        <v>16</v>
      </c>
      <c r="G30" s="5">
        <f>IF(ISNUMBER('Main Project Raw Data'!G30),'Main Project Raw Data'!G30,IF(ISNUMBER(SEARCH("/",'Main Project Raw Data'!G30)),DATE(RIGHT('Main Project Raw Data'!G30,4),LEFT('Main Project Raw Data'!G30,FIND("/",'Main Project Raw Data'!G30)-1),MID('Main Project Raw Data'!G30,FIND("/",'Main Project Raw Data'!G30)+1,2)),DATE(RIGHT('Main Project Raw Data'!G30,4),MID('Main Project Raw Data'!G30,4,2),LEFT('Main Project Raw Data'!G30,2))))</f>
        <v>45240</v>
      </c>
      <c r="H30" s="3">
        <f>IF(Table1[[#This Row],[Salary]]="",AVERAGE(Table1[Salary]),Table1[[#This Row],[Salary]])</f>
        <v>95741.88</v>
      </c>
      <c r="I30" s="3" t="s">
        <v>83</v>
      </c>
      <c r="J30" s="3">
        <f>ABS(Table1[[#This Row],[Phone]])</f>
        <v>7712151341</v>
      </c>
      <c r="K30" s="3" t="str">
        <f>PROPER(TRIM(Table1[[#This Row],[Performance_Score]]))</f>
        <v>Excellent</v>
      </c>
      <c r="L30" s="3" t="b">
        <f>Table1[[#This Row],[Remote_Work]]</f>
        <v>0</v>
      </c>
      <c r="M30" s="3" t="str">
        <f>PROPER(CONCATENATE(Table13[[#This Row],[First_Name]], Table13[[#This Row],[Last_Name]]))</f>
        <v>Gracegarcia</v>
      </c>
      <c r="N30" s="3" t="str">
        <f t="shared" si="0"/>
        <v>Nov</v>
      </c>
      <c r="O30" s="3" t="str">
        <f>TEXT(Table13[[#This Row],[Join_Date]],"yyyy")</f>
        <v>2023</v>
      </c>
      <c r="P30" s="3" t="str">
        <f>LEFT('Main Project Raw Data'!E30,FIND("-",'Main Project Raw Data'!E30)-1)</f>
        <v>Finance</v>
      </c>
      <c r="Q30" s="3" t="str">
        <f>RIGHT('Main Project Raw Data'!E30,LEN('Main Project Raw Data'!E30)-FIND("-",'Main Project Raw Data'!E30))</f>
        <v>Nevada</v>
      </c>
    </row>
    <row r="31" spans="1:17" x14ac:dyDescent="0.3">
      <c r="A31" s="3" t="str">
        <f>TRIM(Table1[[#This Row],[Employee_ID]])</f>
        <v>EMP1029</v>
      </c>
      <c r="B31" s="3" t="str">
        <f>TRIM(Table1[[#This Row],[First_Name]])</f>
        <v>Alice</v>
      </c>
      <c r="C31" s="3" t="str">
        <f>TRIM(Table1[[#This Row],[Last_Name]])</f>
        <v>Brown</v>
      </c>
      <c r="D31" s="3">
        <f>IF(Table1[[#This Row],[Age]]="",AVERAGE(Table1[Age]),Table1[[#This Row],[Age]])</f>
        <v>40</v>
      </c>
      <c r="E31" s="3" t="s">
        <v>15</v>
      </c>
      <c r="F31" s="3" t="s">
        <v>16</v>
      </c>
      <c r="G31" s="5">
        <f>IF(ISNUMBER('Main Project Raw Data'!G31),'Main Project Raw Data'!G31,IF(ISNUMBER(SEARCH("/",'Main Project Raw Data'!G31)),DATE(RIGHT('Main Project Raw Data'!G31,4),LEFT('Main Project Raw Data'!G31,FIND("/",'Main Project Raw Data'!G31)-1),MID('Main Project Raw Data'!G31,FIND("/",'Main Project Raw Data'!G31)+1,2)),DATE(RIGHT('Main Project Raw Data'!G31,4),MID('Main Project Raw Data'!G31,4,2),LEFT('Main Project Raw Data'!G31,2))))</f>
        <v>44340</v>
      </c>
      <c r="H31" s="3">
        <f>IF(Table1[[#This Row],[Salary]]="",AVERAGE(Table1[Salary]),Table1[[#This Row],[Salary]])</f>
        <v>63411.31</v>
      </c>
      <c r="I31" s="3" t="s">
        <v>80</v>
      </c>
      <c r="J31" s="3">
        <f>ABS(Table1[[#This Row],[Phone]])</f>
        <v>2849939088</v>
      </c>
      <c r="K31" s="3" t="str">
        <f>PROPER(TRIM(Table1[[#This Row],[Performance_Score]]))</f>
        <v>Excellent</v>
      </c>
      <c r="L31" s="3" t="b">
        <f>Table1[[#This Row],[Remote_Work]]</f>
        <v>1</v>
      </c>
      <c r="M31" s="3" t="str">
        <f>PROPER(CONCATENATE(Table13[[#This Row],[First_Name]], Table13[[#This Row],[Last_Name]]))</f>
        <v>Alicebrown</v>
      </c>
      <c r="N31" s="3" t="str">
        <f t="shared" si="0"/>
        <v>May</v>
      </c>
      <c r="O31" s="3" t="str">
        <f>TEXT(Table13[[#This Row],[Join_Date]],"yyyy")</f>
        <v>2021</v>
      </c>
      <c r="P31" s="3" t="str">
        <f>LEFT('Main Project Raw Data'!E31,FIND("-",'Main Project Raw Data'!E31)-1)</f>
        <v>DevOps</v>
      </c>
      <c r="Q31" s="3" t="str">
        <f>RIGHT('Main Project Raw Data'!E31,LEN('Main Project Raw Data'!E31)-FIND("-",'Main Project Raw Data'!E31))</f>
        <v>California</v>
      </c>
    </row>
    <row r="32" spans="1:17" x14ac:dyDescent="0.3">
      <c r="A32" s="3" t="str">
        <f>TRIM(Table1[[#This Row],[Employee_ID]])</f>
        <v>EMP1030</v>
      </c>
      <c r="B32" s="3" t="str">
        <f>TRIM(Table1[[#This Row],[First_Name]])</f>
        <v>Charlie</v>
      </c>
      <c r="C32" s="3" t="str">
        <f>TRIM(Table1[[#This Row],[Last_Name]])</f>
        <v>Jones</v>
      </c>
      <c r="D32" s="3">
        <f>IF(Table1[[#This Row],[Age]]="",AVERAGE(Table1[Age]),Table1[[#This Row],[Age]])</f>
        <v>40</v>
      </c>
      <c r="E32" s="3" t="s">
        <v>118</v>
      </c>
      <c r="F32" s="3" t="s">
        <v>33</v>
      </c>
      <c r="G32" s="5">
        <f>IF(ISNUMBER('Main Project Raw Data'!G32),'Main Project Raw Data'!G32,IF(ISNUMBER(SEARCH("/",'Main Project Raw Data'!G32)),DATE(RIGHT('Main Project Raw Data'!G32,4),LEFT('Main Project Raw Data'!G32,FIND("/",'Main Project Raw Data'!G32)-1),MID('Main Project Raw Data'!G32,FIND("/",'Main Project Raw Data'!G32)+1,2)),DATE(RIGHT('Main Project Raw Data'!G32,4),MID('Main Project Raw Data'!G32,4,2),LEFT('Main Project Raw Data'!G32,2))))</f>
        <v>44342</v>
      </c>
      <c r="H32" s="3">
        <f>IF(Table1[[#This Row],[Salary]]="",AVERAGE(Table1[Salary]),Table1[[#This Row],[Salary]])</f>
        <v>111214.02</v>
      </c>
      <c r="I32" s="3" t="s">
        <v>120</v>
      </c>
      <c r="J32" s="3">
        <f>ABS(Table1[[#This Row],[Phone]])</f>
        <v>2613715040</v>
      </c>
      <c r="K32" s="3" t="str">
        <f>PROPER(TRIM(Table1[[#This Row],[Performance_Score]]))</f>
        <v>Good</v>
      </c>
      <c r="L32" s="3" t="b">
        <f>Table1[[#This Row],[Remote_Work]]</f>
        <v>1</v>
      </c>
      <c r="M32" s="3" t="str">
        <f>PROPER(CONCATENATE(Table13[[#This Row],[First_Name]], Table13[[#This Row],[Last_Name]]))</f>
        <v>Charliejones</v>
      </c>
      <c r="N32" s="3" t="str">
        <f t="shared" si="0"/>
        <v>May</v>
      </c>
      <c r="O32" s="3" t="str">
        <f>TEXT(Table13[[#This Row],[Join_Date]],"yyyy")</f>
        <v>2021</v>
      </c>
      <c r="P32" s="3" t="str">
        <f>LEFT('Main Project Raw Data'!E32,FIND("-",'Main Project Raw Data'!E32)-1)</f>
        <v>Admin</v>
      </c>
      <c r="Q32" s="3" t="str">
        <f>RIGHT('Main Project Raw Data'!E32,LEN('Main Project Raw Data'!E32)-FIND("-",'Main Project Raw Data'!E32))</f>
        <v>California</v>
      </c>
    </row>
    <row r="33" spans="1:17" x14ac:dyDescent="0.3">
      <c r="A33" s="3" t="str">
        <f>TRIM(Table1[[#This Row],[Employee_ID]])</f>
        <v>EMP1031</v>
      </c>
      <c r="B33" s="3" t="str">
        <f>TRIM(Table1[[#This Row],[First_Name]])</f>
        <v>Bob</v>
      </c>
      <c r="C33" s="3" t="str">
        <f>TRIM(Table1[[#This Row],[Last_Name]])</f>
        <v>Smith</v>
      </c>
      <c r="D33" s="3">
        <f>IF(Table1[[#This Row],[Age]]="",AVERAGE(Table1[Age]),Table1[[#This Row],[Age]])</f>
        <v>25</v>
      </c>
      <c r="E33" s="3" t="s">
        <v>78</v>
      </c>
      <c r="F33" s="3" t="s">
        <v>16</v>
      </c>
      <c r="G33" s="5">
        <f>IF(ISNUMBER('Main Project Raw Data'!G33),'Main Project Raw Data'!G33,IF(ISNUMBER(SEARCH("/",'Main Project Raw Data'!G33)),DATE(RIGHT('Main Project Raw Data'!G33,4),LEFT('Main Project Raw Data'!G33,FIND("/",'Main Project Raw Data'!G33)-1),MID('Main Project Raw Data'!G33,FIND("/",'Main Project Raw Data'!G33)+1,2)),DATE(RIGHT('Main Project Raw Data'!G33,4),MID('Main Project Raw Data'!G33,4,2),LEFT('Main Project Raw Data'!G33,2))))</f>
        <v>44111</v>
      </c>
      <c r="H33" s="3">
        <f>IF(Table1[[#This Row],[Salary]]="",AVERAGE(Table1[Salary]),Table1[[#This Row],[Salary]])</f>
        <v>114845.69</v>
      </c>
      <c r="I33" s="3" t="s">
        <v>123</v>
      </c>
      <c r="J33" s="3">
        <f>ABS(Table1[[#This Row],[Phone]])</f>
        <v>6591520176</v>
      </c>
      <c r="K33" s="3" t="str">
        <f>PROPER(TRIM(Table1[[#This Row],[Performance_Score]]))</f>
        <v>Excellent</v>
      </c>
      <c r="L33" s="3" t="b">
        <f>Table1[[#This Row],[Remote_Work]]</f>
        <v>1</v>
      </c>
      <c r="M33" s="3" t="str">
        <f>PROPER(CONCATENATE(Table13[[#This Row],[First_Name]], Table13[[#This Row],[Last_Name]]))</f>
        <v>Bobsmith</v>
      </c>
      <c r="N33" s="3" t="str">
        <f t="shared" si="0"/>
        <v>Oct</v>
      </c>
      <c r="O33" s="3" t="str">
        <f>TEXT(Table13[[#This Row],[Join_Date]],"yyyy")</f>
        <v>2020</v>
      </c>
      <c r="P33" s="3" t="str">
        <f>LEFT('Main Project Raw Data'!E33,FIND("-",'Main Project Raw Data'!E33)-1)</f>
        <v>DevOps</v>
      </c>
      <c r="Q33" s="3" t="str">
        <f>RIGHT('Main Project Raw Data'!E33,LEN('Main Project Raw Data'!E33)-FIND("-",'Main Project Raw Data'!E33))</f>
        <v>Illinois</v>
      </c>
    </row>
    <row r="34" spans="1:17" x14ac:dyDescent="0.3">
      <c r="A34" s="3" t="str">
        <f>TRIM(Table1[[#This Row],[Employee_ID]])</f>
        <v>EMP1032</v>
      </c>
      <c r="B34" s="3" t="str">
        <f>TRIM(Table1[[#This Row],[First_Name]])</f>
        <v>Charlie</v>
      </c>
      <c r="C34" s="3" t="str">
        <f>TRIM(Table1[[#This Row],[Last_Name]])</f>
        <v>Brown</v>
      </c>
      <c r="D34" s="3">
        <f>IF(Table1[[#This Row],[Age]]="",AVERAGE(Table1[Age]),Table1[[#This Row],[Age]])</f>
        <v>40</v>
      </c>
      <c r="E34" s="3" t="s">
        <v>112</v>
      </c>
      <c r="F34" s="3" t="s">
        <v>16</v>
      </c>
      <c r="G34" s="5">
        <f>IF(ISNUMBER('Main Project Raw Data'!G34),'Main Project Raw Data'!G34,IF(ISNUMBER(SEARCH("/",'Main Project Raw Data'!G34)),DATE(RIGHT('Main Project Raw Data'!G34,4),LEFT('Main Project Raw Data'!G34,FIND("/",'Main Project Raw Data'!G34)-1),MID('Main Project Raw Data'!G34,FIND("/",'Main Project Raw Data'!G34)+1,2)),DATE(RIGHT('Main Project Raw Data'!G34,4),MID('Main Project Raw Data'!G34,4,2),LEFT('Main Project Raw Data'!G34,2))))</f>
        <v>45423</v>
      </c>
      <c r="H34" s="3">
        <f>IF(Table1[[#This Row],[Salary]]="",AVERAGE(Table1[Salary]),Table1[[#This Row],[Salary]])</f>
        <v>78072.820000000007</v>
      </c>
      <c r="I34" s="3" t="s">
        <v>125</v>
      </c>
      <c r="J34" s="3">
        <f>ABS(Table1[[#This Row],[Phone]])</f>
        <v>7490509758</v>
      </c>
      <c r="K34" s="3" t="str">
        <f>PROPER(TRIM(Table1[[#This Row],[Performance_Score]]))</f>
        <v>Average</v>
      </c>
      <c r="L34" s="3" t="b">
        <f>Table1[[#This Row],[Remote_Work]]</f>
        <v>0</v>
      </c>
      <c r="M34" s="3" t="str">
        <f>PROPER(CONCATENATE(Table13[[#This Row],[First_Name]], Table13[[#This Row],[Last_Name]]))</f>
        <v>Charliebrown</v>
      </c>
      <c r="N34" s="3" t="str">
        <f t="shared" si="0"/>
        <v>May</v>
      </c>
      <c r="O34" s="3" t="str">
        <f>TEXT(Table13[[#This Row],[Join_Date]],"yyyy")</f>
        <v>2024</v>
      </c>
      <c r="P34" s="3" t="str">
        <f>LEFT('Main Project Raw Data'!E34,FIND("-",'Main Project Raw Data'!E34)-1)</f>
        <v>Finance</v>
      </c>
      <c r="Q34" s="3" t="str">
        <f>RIGHT('Main Project Raw Data'!E34,LEN('Main Project Raw Data'!E34)-FIND("-",'Main Project Raw Data'!E34))</f>
        <v>Florida</v>
      </c>
    </row>
    <row r="35" spans="1:17" x14ac:dyDescent="0.3">
      <c r="A35" s="3" t="str">
        <f>TRIM(Table1[[#This Row],[Employee_ID]])</f>
        <v>EMP1033</v>
      </c>
      <c r="B35" s="3" t="str">
        <f>TRIM(Table1[[#This Row],[First_Name]])</f>
        <v>Grace</v>
      </c>
      <c r="C35" s="3" t="str">
        <f>TRIM(Table1[[#This Row],[Last_Name]])</f>
        <v>Johnson</v>
      </c>
      <c r="D35" s="3">
        <f>IF(Table1[[#This Row],[Age]]="",AVERAGE(Table1[Age]),Table1[[#This Row],[Age]])</f>
        <v>25</v>
      </c>
      <c r="E35" s="3" t="s">
        <v>70</v>
      </c>
      <c r="F35" s="3" t="s">
        <v>33</v>
      </c>
      <c r="G35" s="5">
        <f>IF(ISNUMBER('Main Project Raw Data'!G35),'Main Project Raw Data'!G35,IF(ISNUMBER(SEARCH("/",'Main Project Raw Data'!G35)),DATE(RIGHT('Main Project Raw Data'!G35,4),LEFT('Main Project Raw Data'!G35,FIND("/",'Main Project Raw Data'!G35)-1),MID('Main Project Raw Data'!G35,FIND("/",'Main Project Raw Data'!G35)+1,2)),DATE(RIGHT('Main Project Raw Data'!G35,4),MID('Main Project Raw Data'!G35,4,2),LEFT('Main Project Raw Data'!G35,2))))</f>
        <v>44385</v>
      </c>
      <c r="H35" s="3">
        <f>IF(Table1[[#This Row],[Salary]]="",AVERAGE(Table1[Salary]),Table1[[#This Row],[Salary]])</f>
        <v>79610.52</v>
      </c>
      <c r="I35" s="3" t="s">
        <v>127</v>
      </c>
      <c r="J35" s="3">
        <f>ABS(Table1[[#This Row],[Phone]])</f>
        <v>2304501895</v>
      </c>
      <c r="K35" s="3" t="str">
        <f>PROPER(TRIM(Table1[[#This Row],[Performance_Score]]))</f>
        <v>Average</v>
      </c>
      <c r="L35" s="3" t="b">
        <f>Table1[[#This Row],[Remote_Work]]</f>
        <v>0</v>
      </c>
      <c r="M35" s="3" t="str">
        <f>PROPER(CONCATENATE(Table13[[#This Row],[First_Name]], Table13[[#This Row],[Last_Name]]))</f>
        <v>Gracejohnson</v>
      </c>
      <c r="N35" s="3" t="str">
        <f t="shared" si="0"/>
        <v>Jul</v>
      </c>
      <c r="O35" s="3" t="str">
        <f>TEXT(Table13[[#This Row],[Join_Date]],"yyyy")</f>
        <v>2021</v>
      </c>
      <c r="P35" s="3" t="str">
        <f>LEFT('Main Project Raw Data'!E35,FIND("-",'Main Project Raw Data'!E35)-1)</f>
        <v>Finance</v>
      </c>
      <c r="Q35" s="3" t="str">
        <f>RIGHT('Main Project Raw Data'!E35,LEN('Main Project Raw Data'!E35)-FIND("-",'Main Project Raw Data'!E35))</f>
        <v>California</v>
      </c>
    </row>
    <row r="36" spans="1:17" x14ac:dyDescent="0.3">
      <c r="A36" s="3" t="str">
        <f>TRIM(Table1[[#This Row],[Employee_ID]])</f>
        <v>EMP1034</v>
      </c>
      <c r="B36" s="3" t="str">
        <f>TRIM(Table1[[#This Row],[First_Name]])</f>
        <v>Heidi</v>
      </c>
      <c r="C36" s="3" t="str">
        <f>TRIM(Table1[[#This Row],[Last_Name]])</f>
        <v>Miller</v>
      </c>
      <c r="D36" s="3">
        <f>IF(Table1[[#This Row],[Age]]="",AVERAGE(Table1[Age]),Table1[[#This Row],[Age]])</f>
        <v>30</v>
      </c>
      <c r="E36" s="3" t="s">
        <v>118</v>
      </c>
      <c r="F36" s="3" t="s">
        <v>16</v>
      </c>
      <c r="G36" s="5">
        <f>IF(ISNUMBER('Main Project Raw Data'!G36),'Main Project Raw Data'!G36,IF(ISNUMBER(SEARCH("/",'Main Project Raw Data'!G36)),DATE(RIGHT('Main Project Raw Data'!G36,4),LEFT('Main Project Raw Data'!G36,FIND("/",'Main Project Raw Data'!G36)-1),MID('Main Project Raw Data'!G36,FIND("/",'Main Project Raw Data'!G36)+1,2)),DATE(RIGHT('Main Project Raw Data'!G36,4),MID('Main Project Raw Data'!G36,4,2),LEFT('Main Project Raw Data'!G36,2))))</f>
        <v>43950</v>
      </c>
      <c r="H36" s="3">
        <f>IF(Table1[[#This Row],[Salary]]="",AVERAGE(Table1[Salary]),Table1[[#This Row],[Salary]])</f>
        <v>90542.62</v>
      </c>
      <c r="I36" s="3" t="s">
        <v>130</v>
      </c>
      <c r="J36" s="3">
        <f>ABS(Table1[[#This Row],[Phone]])</f>
        <v>1642361031</v>
      </c>
      <c r="K36" s="3" t="str">
        <f>PROPER(TRIM(Table1[[#This Row],[Performance_Score]]))</f>
        <v>Excellent</v>
      </c>
      <c r="L36" s="3" t="b">
        <f>Table1[[#This Row],[Remote_Work]]</f>
        <v>1</v>
      </c>
      <c r="M36" s="3" t="str">
        <f>PROPER(CONCATENATE(Table13[[#This Row],[First_Name]], Table13[[#This Row],[Last_Name]]))</f>
        <v>Heidimiller</v>
      </c>
      <c r="N36" s="3" t="str">
        <f t="shared" si="0"/>
        <v>Apr</v>
      </c>
      <c r="O36" s="3" t="str">
        <f>TEXT(Table13[[#This Row],[Join_Date]],"yyyy")</f>
        <v>2020</v>
      </c>
      <c r="P36" s="3" t="str">
        <f>LEFT('Main Project Raw Data'!E36,FIND("-",'Main Project Raw Data'!E36)-1)</f>
        <v>Admin</v>
      </c>
      <c r="Q36" s="3" t="str">
        <f>RIGHT('Main Project Raw Data'!E36,LEN('Main Project Raw Data'!E36)-FIND("-",'Main Project Raw Data'!E36))</f>
        <v>California</v>
      </c>
    </row>
    <row r="37" spans="1:17" x14ac:dyDescent="0.3">
      <c r="A37" s="3" t="str">
        <f>TRIM(Table1[[#This Row],[Employee_ID]])</f>
        <v>EMP1035</v>
      </c>
      <c r="B37" s="3" t="str">
        <f>TRIM(Table1[[#This Row],[First_Name]])</f>
        <v>Frank</v>
      </c>
      <c r="C37" s="3" t="str">
        <f>TRIM(Table1[[#This Row],[Last_Name]])</f>
        <v>Jones</v>
      </c>
      <c r="D37" s="3">
        <f>IF(Table1[[#This Row],[Age]]="",AVERAGE(Table1[Age]),Table1[[#This Row],[Age]])</f>
        <v>25</v>
      </c>
      <c r="E37" s="3" t="s">
        <v>95</v>
      </c>
      <c r="F37" s="3" t="s">
        <v>33</v>
      </c>
      <c r="G37" s="5">
        <f>IF(ISNUMBER('Main Project Raw Data'!G37),'Main Project Raw Data'!G37,IF(ISNUMBER(SEARCH("/",'Main Project Raw Data'!G37)),DATE(RIGHT('Main Project Raw Data'!G37,4),LEFT('Main Project Raw Data'!G37,FIND("/",'Main Project Raw Data'!G37)-1),MID('Main Project Raw Data'!G37,FIND("/",'Main Project Raw Data'!G37)+1,2)),DATE(RIGHT('Main Project Raw Data'!G37,4),MID('Main Project Raw Data'!G37,4,2),LEFT('Main Project Raw Data'!G37,2))))</f>
        <v>44860</v>
      </c>
      <c r="H37" s="3">
        <f>IF(Table1[[#This Row],[Salary]]="",AVERAGE(Table1[Salary]),Table1[[#This Row],[Salary]])</f>
        <v>114357.1</v>
      </c>
      <c r="I37" s="3" t="s">
        <v>47</v>
      </c>
      <c r="J37" s="3">
        <f>ABS(Table1[[#This Row],[Phone]])</f>
        <v>6642147648</v>
      </c>
      <c r="K37" s="3" t="str">
        <f>PROPER(TRIM(Table1[[#This Row],[Performance_Score]]))</f>
        <v>Excellent</v>
      </c>
      <c r="L37" s="3" t="b">
        <f>Table1[[#This Row],[Remote_Work]]</f>
        <v>1</v>
      </c>
      <c r="M37" s="3" t="str">
        <f>PROPER(CONCATENATE(Table13[[#This Row],[First_Name]], Table13[[#This Row],[Last_Name]]))</f>
        <v>Frankjones</v>
      </c>
      <c r="N37" s="3" t="str">
        <f t="shared" si="0"/>
        <v>Oct</v>
      </c>
      <c r="O37" s="3" t="str">
        <f>TEXT(Table13[[#This Row],[Join_Date]],"yyyy")</f>
        <v>2022</v>
      </c>
      <c r="P37" s="3" t="str">
        <f>LEFT('Main Project Raw Data'!E37,FIND("-",'Main Project Raw Data'!E37)-1)</f>
        <v>Cloud Tech</v>
      </c>
      <c r="Q37" s="3" t="str">
        <f>RIGHT('Main Project Raw Data'!E37,LEN('Main Project Raw Data'!E37)-FIND("-",'Main Project Raw Data'!E37))</f>
        <v>Illinois</v>
      </c>
    </row>
    <row r="38" spans="1:17" x14ac:dyDescent="0.3">
      <c r="A38" s="3" t="str">
        <f>TRIM(Table1[[#This Row],[Employee_ID]])</f>
        <v>EMP1036</v>
      </c>
      <c r="B38" s="3" t="str">
        <f>TRIM(Table1[[#This Row],[First_Name]])</f>
        <v>Alice</v>
      </c>
      <c r="C38" s="3" t="str">
        <f>TRIM(Table1[[#This Row],[Last_Name]])</f>
        <v>Brown</v>
      </c>
      <c r="D38" s="3">
        <f>IF(Table1[[#This Row],[Age]]="",AVERAGE(Table1[Age]),Table1[[#This Row],[Age]])</f>
        <v>32.484548825710753</v>
      </c>
      <c r="E38" s="3" t="s">
        <v>60</v>
      </c>
      <c r="F38" s="3" t="s">
        <v>16</v>
      </c>
      <c r="G38" s="5">
        <f>IF(ISNUMBER('Main Project Raw Data'!G38),'Main Project Raw Data'!G38,IF(ISNUMBER(SEARCH("/",'Main Project Raw Data'!G38)),DATE(RIGHT('Main Project Raw Data'!G38,4),LEFT('Main Project Raw Data'!G38,FIND("/",'Main Project Raw Data'!G38)-1),MID('Main Project Raw Data'!G38,FIND("/",'Main Project Raw Data'!G38)+1,2)),DATE(RIGHT('Main Project Raw Data'!G38,4),MID('Main Project Raw Data'!G38,4,2),LEFT('Main Project Raw Data'!G38,2))))</f>
        <v>44990</v>
      </c>
      <c r="H38" s="3">
        <f>IF(Table1[[#This Row],[Salary]]="",AVERAGE(Table1[Salary]),Table1[[#This Row],[Salary]])</f>
        <v>54757.26</v>
      </c>
      <c r="I38" s="3" t="s">
        <v>80</v>
      </c>
      <c r="J38" s="3">
        <f>ABS(Table1[[#This Row],[Phone]])</f>
        <v>2515837766</v>
      </c>
      <c r="K38" s="3" t="str">
        <f>PROPER(TRIM(Table1[[#This Row],[Performance_Score]]))</f>
        <v>Poor</v>
      </c>
      <c r="L38" s="3" t="b">
        <f>Table1[[#This Row],[Remote_Work]]</f>
        <v>0</v>
      </c>
      <c r="M38" s="3" t="str">
        <f>PROPER(CONCATENATE(Table13[[#This Row],[First_Name]], Table13[[#This Row],[Last_Name]]))</f>
        <v>Alicebrown</v>
      </c>
      <c r="N38" s="3" t="str">
        <f t="shared" si="0"/>
        <v>Mar</v>
      </c>
      <c r="O38" s="3" t="str">
        <f>TEXT(Table13[[#This Row],[Join_Date]],"yyyy")</f>
        <v>2023</v>
      </c>
      <c r="P38" s="3" t="str">
        <f>LEFT('Main Project Raw Data'!E38,FIND("-",'Main Project Raw Data'!E38)-1)</f>
        <v>Cloud Tech</v>
      </c>
      <c r="Q38" s="3" t="str">
        <f>RIGHT('Main Project Raw Data'!E38,LEN('Main Project Raw Data'!E38)-FIND("-",'Main Project Raw Data'!E38))</f>
        <v>New York</v>
      </c>
    </row>
    <row r="39" spans="1:17" x14ac:dyDescent="0.3">
      <c r="A39" s="3" t="str">
        <f>TRIM(Table1[[#This Row],[Employee_ID]])</f>
        <v>EMP1037</v>
      </c>
      <c r="B39" s="3" t="str">
        <f>TRIM(Table1[[#This Row],[First_Name]])</f>
        <v>Grace</v>
      </c>
      <c r="C39" s="3" t="str">
        <f>TRIM(Table1[[#This Row],[Last_Name]])</f>
        <v>Smith</v>
      </c>
      <c r="D39" s="3">
        <f>IF(Table1[[#This Row],[Age]]="",AVERAGE(Table1[Age]),Table1[[#This Row],[Age]])</f>
        <v>25</v>
      </c>
      <c r="E39" s="3" t="s">
        <v>109</v>
      </c>
      <c r="F39" s="3" t="s">
        <v>28</v>
      </c>
      <c r="G39" s="5">
        <f>IF(ISNUMBER('Main Project Raw Data'!G39),'Main Project Raw Data'!G39,IF(ISNUMBER(SEARCH("/",'Main Project Raw Data'!G39)),DATE(RIGHT('Main Project Raw Data'!G39,4),LEFT('Main Project Raw Data'!G39,FIND("/",'Main Project Raw Data'!G39)-1),MID('Main Project Raw Data'!G39,FIND("/",'Main Project Raw Data'!G39)+1,2)),DATE(RIGHT('Main Project Raw Data'!G39,4),MID('Main Project Raw Data'!G39,4,2),LEFT('Main Project Raw Data'!G39,2))))</f>
        <v>44962</v>
      </c>
      <c r="H39" s="3">
        <f>IF(Table1[[#This Row],[Salary]]="",AVERAGE(Table1[Salary]),Table1[[#This Row],[Salary]])</f>
        <v>52781.919999999998</v>
      </c>
      <c r="I39" s="3" t="s">
        <v>135</v>
      </c>
      <c r="J39" s="3">
        <f>ABS(Table1[[#This Row],[Phone]])</f>
        <v>4996165925</v>
      </c>
      <c r="K39" s="3" t="str">
        <f>PROPER(TRIM(Table1[[#This Row],[Performance_Score]]))</f>
        <v>Average</v>
      </c>
      <c r="L39" s="3" t="b">
        <f>Table1[[#This Row],[Remote_Work]]</f>
        <v>1</v>
      </c>
      <c r="M39" s="3" t="str">
        <f>PROPER(CONCATENATE(Table13[[#This Row],[First_Name]], Table13[[#This Row],[Last_Name]]))</f>
        <v>Gracesmith</v>
      </c>
      <c r="N39" s="3" t="str">
        <f t="shared" si="0"/>
        <v>Feb</v>
      </c>
      <c r="O39" s="3" t="str">
        <f>TEXT(Table13[[#This Row],[Join_Date]],"yyyy")</f>
        <v>2023</v>
      </c>
      <c r="P39" s="3" t="str">
        <f>LEFT('Main Project Raw Data'!E39,FIND("-",'Main Project Raw Data'!E39)-1)</f>
        <v>Sales</v>
      </c>
      <c r="Q39" s="3" t="str">
        <f>RIGHT('Main Project Raw Data'!E39,LEN('Main Project Raw Data'!E39)-FIND("-",'Main Project Raw Data'!E39))</f>
        <v>New York</v>
      </c>
    </row>
    <row r="40" spans="1:17" x14ac:dyDescent="0.3">
      <c r="A40" s="3" t="str">
        <f>TRIM(Table1[[#This Row],[Employee_ID]])</f>
        <v>EMP1038</v>
      </c>
      <c r="B40" s="3" t="str">
        <f>TRIM(Table1[[#This Row],[First_Name]])</f>
        <v>Frank</v>
      </c>
      <c r="C40" s="3" t="str">
        <f>TRIM(Table1[[#This Row],[Last_Name]])</f>
        <v>Smith</v>
      </c>
      <c r="D40" s="3">
        <f>IF(Table1[[#This Row],[Age]]="",AVERAGE(Table1[Age]),Table1[[#This Row],[Age]])</f>
        <v>35</v>
      </c>
      <c r="E40" s="3" t="s">
        <v>27</v>
      </c>
      <c r="F40" s="3" t="s">
        <v>28</v>
      </c>
      <c r="G40" s="5">
        <f>IF(ISNUMBER('Main Project Raw Data'!G40),'Main Project Raw Data'!G40,IF(ISNUMBER(SEARCH("/",'Main Project Raw Data'!G40)),DATE(RIGHT('Main Project Raw Data'!G40,4),LEFT('Main Project Raw Data'!G40,FIND("/",'Main Project Raw Data'!G40)-1),MID('Main Project Raw Data'!G40,FIND("/",'Main Project Raw Data'!G40)+1,2)),DATE(RIGHT('Main Project Raw Data'!G40,4),MID('Main Project Raw Data'!G40,4,2),LEFT('Main Project Raw Data'!G40,2))))</f>
        <v>44326</v>
      </c>
      <c r="H40" s="3">
        <f>IF(Table1[[#This Row],[Salary]]="",AVERAGE(Table1[Salary]),Table1[[#This Row],[Salary]])</f>
        <v>66708.02</v>
      </c>
      <c r="I40" s="3" t="s">
        <v>137</v>
      </c>
      <c r="J40" s="3">
        <f>ABS(Table1[[#This Row],[Phone]])</f>
        <v>6108573277</v>
      </c>
      <c r="K40" s="3" t="str">
        <f>PROPER(TRIM(Table1[[#This Row],[Performance_Score]]))</f>
        <v>Good</v>
      </c>
      <c r="L40" s="3" t="b">
        <f>Table1[[#This Row],[Remote_Work]]</f>
        <v>1</v>
      </c>
      <c r="M40" s="3" t="str">
        <f>PROPER(CONCATENATE(Table13[[#This Row],[First_Name]], Table13[[#This Row],[Last_Name]]))</f>
        <v>Franksmith</v>
      </c>
      <c r="N40" s="3" t="str">
        <f t="shared" si="0"/>
        <v>May</v>
      </c>
      <c r="O40" s="3" t="str">
        <f>TEXT(Table13[[#This Row],[Join_Date]],"yyyy")</f>
        <v>2021</v>
      </c>
      <c r="P40" s="3" t="str">
        <f>LEFT('Main Project Raw Data'!E40,FIND("-",'Main Project Raw Data'!E40)-1)</f>
        <v>Admin</v>
      </c>
      <c r="Q40" s="3" t="str">
        <f>RIGHT('Main Project Raw Data'!E40,LEN('Main Project Raw Data'!E40)-FIND("-",'Main Project Raw Data'!E40))</f>
        <v>Nevada</v>
      </c>
    </row>
    <row r="41" spans="1:17" x14ac:dyDescent="0.3">
      <c r="A41" s="3" t="str">
        <f>TRIM(Table1[[#This Row],[Employee_ID]])</f>
        <v>EMP1039</v>
      </c>
      <c r="B41" s="3" t="str">
        <f>TRIM(Table1[[#This Row],[First_Name]])</f>
        <v>Eva</v>
      </c>
      <c r="C41" s="3" t="str">
        <f>TRIM(Table1[[#This Row],[Last_Name]])</f>
        <v>Williams</v>
      </c>
      <c r="D41" s="3">
        <f>IF(Table1[[#This Row],[Age]]="",AVERAGE(Table1[Age]),Table1[[#This Row],[Age]])</f>
        <v>40</v>
      </c>
      <c r="E41" s="3" t="s">
        <v>139</v>
      </c>
      <c r="F41" s="3" t="s">
        <v>16</v>
      </c>
      <c r="G41" s="5">
        <f>IF(ISNUMBER('Main Project Raw Data'!G41),'Main Project Raw Data'!G41,IF(ISNUMBER(SEARCH("/",'Main Project Raw Data'!G41)),DATE(RIGHT('Main Project Raw Data'!G41,4),LEFT('Main Project Raw Data'!G41,FIND("/",'Main Project Raw Data'!G41)-1),MID('Main Project Raw Data'!G41,FIND("/",'Main Project Raw Data'!G41)+1,2)),DATE(RIGHT('Main Project Raw Data'!G41,4),MID('Main Project Raw Data'!G41,4,2),LEFT('Main Project Raw Data'!G41,2))))</f>
        <v>44769</v>
      </c>
      <c r="H41" s="3">
        <f>IF(Table1[[#This Row],[Salary]]="",AVERAGE(Table1[Salary]),Table1[[#This Row],[Salary]])</f>
        <v>93481.15</v>
      </c>
      <c r="I41" s="3" t="s">
        <v>141</v>
      </c>
      <c r="J41" s="3">
        <f>ABS(Table1[[#This Row],[Phone]])</f>
        <v>8147617421</v>
      </c>
      <c r="K41" s="3" t="str">
        <f>PROPER(TRIM(Table1[[#This Row],[Performance_Score]]))</f>
        <v>Poor</v>
      </c>
      <c r="L41" s="3" t="b">
        <f>Table1[[#This Row],[Remote_Work]]</f>
        <v>0</v>
      </c>
      <c r="M41" s="3" t="str">
        <f>PROPER(CONCATENATE(Table13[[#This Row],[First_Name]], Table13[[#This Row],[Last_Name]]))</f>
        <v>Evawilliams</v>
      </c>
      <c r="N41" s="3" t="str">
        <f t="shared" si="0"/>
        <v>Jul</v>
      </c>
      <c r="O41" s="3" t="str">
        <f>TEXT(Table13[[#This Row],[Join_Date]],"yyyy")</f>
        <v>2022</v>
      </c>
      <c r="P41" s="3" t="str">
        <f>LEFT('Main Project Raw Data'!E41,FIND("-",'Main Project Raw Data'!E41)-1)</f>
        <v>HR</v>
      </c>
      <c r="Q41" s="3" t="str">
        <f>RIGHT('Main Project Raw Data'!E41,LEN('Main Project Raw Data'!E41)-FIND("-",'Main Project Raw Data'!E41))</f>
        <v>Texas</v>
      </c>
    </row>
    <row r="42" spans="1:17" x14ac:dyDescent="0.3">
      <c r="A42" s="3" t="str">
        <f>TRIM(Table1[[#This Row],[Employee_ID]])</f>
        <v>EMP1040</v>
      </c>
      <c r="B42" s="3" t="str">
        <f>TRIM(Table1[[#This Row],[First_Name]])</f>
        <v>Bob</v>
      </c>
      <c r="C42" s="3" t="str">
        <f>TRIM(Table1[[#This Row],[Last_Name]])</f>
        <v>Williams</v>
      </c>
      <c r="D42" s="3">
        <f>IF(Table1[[#This Row],[Age]]="",AVERAGE(Table1[Age]),Table1[[#This Row],[Age]])</f>
        <v>25</v>
      </c>
      <c r="E42" s="3" t="s">
        <v>109</v>
      </c>
      <c r="F42" s="3" t="s">
        <v>28</v>
      </c>
      <c r="G42" s="5">
        <f>IF(ISNUMBER('Main Project Raw Data'!G42),'Main Project Raw Data'!G42,IF(ISNUMBER(SEARCH("/",'Main Project Raw Data'!G42)),DATE(RIGHT('Main Project Raw Data'!G42,4),LEFT('Main Project Raw Data'!G42,FIND("/",'Main Project Raw Data'!G42)-1),MID('Main Project Raw Data'!G42,FIND("/",'Main Project Raw Data'!G42)+1,2)),DATE(RIGHT('Main Project Raw Data'!G42,4),MID('Main Project Raw Data'!G42,4,2),LEFT('Main Project Raw Data'!G42,2))))</f>
        <v>44374</v>
      </c>
      <c r="H42" s="3">
        <f>IF(Table1[[#This Row],[Salary]]="",AVERAGE(Table1[Salary]),Table1[[#This Row],[Salary]])</f>
        <v>59271.96</v>
      </c>
      <c r="I42" s="3" t="s">
        <v>144</v>
      </c>
      <c r="J42" s="3">
        <f>ABS(Table1[[#This Row],[Phone]])</f>
        <v>4386490809</v>
      </c>
      <c r="K42" s="3" t="str">
        <f>PROPER(TRIM(Table1[[#This Row],[Performance_Score]]))</f>
        <v>Excellent</v>
      </c>
      <c r="L42" s="3" t="b">
        <f>Table1[[#This Row],[Remote_Work]]</f>
        <v>1</v>
      </c>
      <c r="M42" s="3" t="str">
        <f>PROPER(CONCATENATE(Table13[[#This Row],[First_Name]], Table13[[#This Row],[Last_Name]]))</f>
        <v>Bobwilliams</v>
      </c>
      <c r="N42" s="3" t="str">
        <f t="shared" si="0"/>
        <v>Jun</v>
      </c>
      <c r="O42" s="3" t="str">
        <f>TEXT(Table13[[#This Row],[Join_Date]],"yyyy")</f>
        <v>2021</v>
      </c>
      <c r="P42" s="3" t="str">
        <f>LEFT('Main Project Raw Data'!E42,FIND("-",'Main Project Raw Data'!E42)-1)</f>
        <v>Sales</v>
      </c>
      <c r="Q42" s="3" t="str">
        <f>RIGHT('Main Project Raw Data'!E42,LEN('Main Project Raw Data'!E42)-FIND("-",'Main Project Raw Data'!E42))</f>
        <v>New York</v>
      </c>
    </row>
    <row r="43" spans="1:17" x14ac:dyDescent="0.3">
      <c r="A43" s="3" t="str">
        <f>TRIM(Table1[[#This Row],[Employee_ID]])</f>
        <v>EMP1041</v>
      </c>
      <c r="B43" s="3" t="str">
        <f>TRIM(Table1[[#This Row],[First_Name]])</f>
        <v>Bob</v>
      </c>
      <c r="C43" s="3" t="str">
        <f>TRIM(Table1[[#This Row],[Last_Name]])</f>
        <v>Davis</v>
      </c>
      <c r="D43" s="3">
        <f>IF(Table1[[#This Row],[Age]]="",AVERAGE(Table1[Age]),Table1[[#This Row],[Age]])</f>
        <v>30</v>
      </c>
      <c r="E43" s="3" t="s">
        <v>146</v>
      </c>
      <c r="F43" s="3" t="s">
        <v>16</v>
      </c>
      <c r="G43" s="5">
        <f>IF(ISNUMBER('Main Project Raw Data'!G43),'Main Project Raw Data'!G43,IF(ISNUMBER(SEARCH("/",'Main Project Raw Data'!G43)),DATE(RIGHT('Main Project Raw Data'!G43,4),LEFT('Main Project Raw Data'!G43,FIND("/",'Main Project Raw Data'!G43)-1),MID('Main Project Raw Data'!G43,FIND("/",'Main Project Raw Data'!G43)+1,2)),DATE(RIGHT('Main Project Raw Data'!G43,4),MID('Main Project Raw Data'!G43,4,2),LEFT('Main Project Raw Data'!G43,2))))</f>
        <v>44728</v>
      </c>
      <c r="H43" s="3">
        <f>IF(Table1[[#This Row],[Salary]]="",AVERAGE(Table1[Salary]),Table1[[#This Row],[Salary]])</f>
        <v>108362.15</v>
      </c>
      <c r="I43" s="3" t="s">
        <v>17</v>
      </c>
      <c r="J43" s="3">
        <f>ABS(Table1[[#This Row],[Phone]])</f>
        <v>8186617944</v>
      </c>
      <c r="K43" s="3" t="str">
        <f>PROPER(TRIM(Table1[[#This Row],[Performance_Score]]))</f>
        <v>Excellent</v>
      </c>
      <c r="L43" s="3" t="b">
        <f>Table1[[#This Row],[Remote_Work]]</f>
        <v>0</v>
      </c>
      <c r="M43" s="3" t="str">
        <f>PROPER(CONCATENATE(Table13[[#This Row],[First_Name]], Table13[[#This Row],[Last_Name]]))</f>
        <v>Bobdavis</v>
      </c>
      <c r="N43" s="3" t="str">
        <f t="shared" si="0"/>
        <v>Jun</v>
      </c>
      <c r="O43" s="3" t="str">
        <f>TEXT(Table13[[#This Row],[Join_Date]],"yyyy")</f>
        <v>2022</v>
      </c>
      <c r="P43" s="3" t="str">
        <f>LEFT('Main Project Raw Data'!E43,FIND("-",'Main Project Raw Data'!E43)-1)</f>
        <v>HR</v>
      </c>
      <c r="Q43" s="3" t="str">
        <f>RIGHT('Main Project Raw Data'!E43,LEN('Main Project Raw Data'!E43)-FIND("-",'Main Project Raw Data'!E43))</f>
        <v>California</v>
      </c>
    </row>
    <row r="44" spans="1:17" x14ac:dyDescent="0.3">
      <c r="A44" s="3" t="str">
        <f>TRIM(Table1[[#This Row],[Employee_ID]])</f>
        <v>EMP1042</v>
      </c>
      <c r="B44" s="3" t="str">
        <f>TRIM(Table1[[#This Row],[First_Name]])</f>
        <v>Alice</v>
      </c>
      <c r="C44" s="3" t="str">
        <f>TRIM(Table1[[#This Row],[Last_Name]])</f>
        <v>Johnson</v>
      </c>
      <c r="D44" s="3">
        <f>IF(Table1[[#This Row],[Age]]="",AVERAGE(Table1[Age]),Table1[[#This Row],[Age]])</f>
        <v>32.484548825710753</v>
      </c>
      <c r="E44" s="3" t="s">
        <v>149</v>
      </c>
      <c r="F44" s="3" t="s">
        <v>16</v>
      </c>
      <c r="G44" s="5">
        <f>IF(ISNUMBER('Main Project Raw Data'!G44),'Main Project Raw Data'!G44,IF(ISNUMBER(SEARCH("/",'Main Project Raw Data'!G44)),DATE(RIGHT('Main Project Raw Data'!G44,4),LEFT('Main Project Raw Data'!G44,FIND("/",'Main Project Raw Data'!G44)-1),MID('Main Project Raw Data'!G44,FIND("/",'Main Project Raw Data'!G44)+1,2)),DATE(RIGHT('Main Project Raw Data'!G44,4),MID('Main Project Raw Data'!G44,4,2),LEFT('Main Project Raw Data'!G44,2))))</f>
        <v>45363</v>
      </c>
      <c r="H44" s="3">
        <f>IF(Table1[[#This Row],[Salary]]="",AVERAGE(Table1[Salary]),Table1[[#This Row],[Salary]])</f>
        <v>59400.38</v>
      </c>
      <c r="I44" s="3" t="s">
        <v>150</v>
      </c>
      <c r="J44" s="3">
        <f>ABS(Table1[[#This Row],[Phone]])</f>
        <v>4918017225</v>
      </c>
      <c r="K44" s="3" t="str">
        <f>PROPER(TRIM(Table1[[#This Row],[Performance_Score]]))</f>
        <v>Average</v>
      </c>
      <c r="L44" s="3" t="b">
        <f>Table1[[#This Row],[Remote_Work]]</f>
        <v>1</v>
      </c>
      <c r="M44" s="3" t="str">
        <f>PROPER(CONCATENATE(Table13[[#This Row],[First_Name]], Table13[[#This Row],[Last_Name]]))</f>
        <v>Alicejohnson</v>
      </c>
      <c r="N44" s="3" t="str">
        <f t="shared" si="0"/>
        <v>Mar</v>
      </c>
      <c r="O44" s="3" t="str">
        <f>TEXT(Table13[[#This Row],[Join_Date]],"yyyy")</f>
        <v>2024</v>
      </c>
      <c r="P44" s="3" t="str">
        <f>LEFT('Main Project Raw Data'!E44,FIND("-",'Main Project Raw Data'!E44)-1)</f>
        <v>HR</v>
      </c>
      <c r="Q44" s="3" t="str">
        <f>RIGHT('Main Project Raw Data'!E44,LEN('Main Project Raw Data'!E44)-FIND("-",'Main Project Raw Data'!E44))</f>
        <v>Nevada</v>
      </c>
    </row>
    <row r="45" spans="1:17" x14ac:dyDescent="0.3">
      <c r="A45" s="3" t="str">
        <f>TRIM(Table1[[#This Row],[Employee_ID]])</f>
        <v>EMP1043</v>
      </c>
      <c r="B45" s="3" t="str">
        <f>TRIM(Table1[[#This Row],[First_Name]])</f>
        <v>Bob</v>
      </c>
      <c r="C45" s="3" t="str">
        <f>TRIM(Table1[[#This Row],[Last_Name]])</f>
        <v>Garcia</v>
      </c>
      <c r="D45" s="3">
        <f>IF(Table1[[#This Row],[Age]]="",AVERAGE(Table1[Age]),Table1[[#This Row],[Age]])</f>
        <v>32.484548825710753</v>
      </c>
      <c r="E45" s="3" t="s">
        <v>118</v>
      </c>
      <c r="F45" s="3" t="s">
        <v>33</v>
      </c>
      <c r="G45" s="5">
        <f>IF(ISNUMBER('Main Project Raw Data'!G45),'Main Project Raw Data'!G45,IF(ISNUMBER(SEARCH("/",'Main Project Raw Data'!G45)),DATE(RIGHT('Main Project Raw Data'!G45,4),LEFT('Main Project Raw Data'!G45,FIND("/",'Main Project Raw Data'!G45)-1),MID('Main Project Raw Data'!G45,FIND("/",'Main Project Raw Data'!G45)+1,2)),DATE(RIGHT('Main Project Raw Data'!G45,4),MID('Main Project Raw Data'!G45,4,2),LEFT('Main Project Raw Data'!G45,2))))</f>
        <v>45069</v>
      </c>
      <c r="H45" s="3">
        <f>IF(Table1[[#This Row],[Salary]]="",AVERAGE(Table1[Salary]),Table1[[#This Row],[Salary]])</f>
        <v>64744.08</v>
      </c>
      <c r="I45" s="3" t="s">
        <v>153</v>
      </c>
      <c r="J45" s="3">
        <f>ABS(Table1[[#This Row],[Phone]])</f>
        <v>164597793</v>
      </c>
      <c r="K45" s="3" t="str">
        <f>PROPER(TRIM(Table1[[#This Row],[Performance_Score]]))</f>
        <v>Excellent</v>
      </c>
      <c r="L45" s="3" t="b">
        <f>Table1[[#This Row],[Remote_Work]]</f>
        <v>0</v>
      </c>
      <c r="M45" s="3" t="str">
        <f>PROPER(CONCATENATE(Table13[[#This Row],[First_Name]], Table13[[#This Row],[Last_Name]]))</f>
        <v>Bobgarcia</v>
      </c>
      <c r="N45" s="3" t="str">
        <f t="shared" si="0"/>
        <v>May</v>
      </c>
      <c r="O45" s="3" t="str">
        <f>TEXT(Table13[[#This Row],[Join_Date]],"yyyy")</f>
        <v>2023</v>
      </c>
      <c r="P45" s="3" t="str">
        <f>LEFT('Main Project Raw Data'!E45,FIND("-",'Main Project Raw Data'!E45)-1)</f>
        <v>Admin</v>
      </c>
      <c r="Q45" s="3" t="str">
        <f>RIGHT('Main Project Raw Data'!E45,LEN('Main Project Raw Data'!E45)-FIND("-",'Main Project Raw Data'!E45))</f>
        <v>California</v>
      </c>
    </row>
    <row r="46" spans="1:17" x14ac:dyDescent="0.3">
      <c r="A46" s="3" t="str">
        <f>TRIM(Table1[[#This Row],[Employee_ID]])</f>
        <v>EMP1044</v>
      </c>
      <c r="B46" s="3" t="str">
        <f>TRIM(Table1[[#This Row],[First_Name]])</f>
        <v>Eva</v>
      </c>
      <c r="C46" s="3" t="str">
        <f>TRIM(Table1[[#This Row],[Last_Name]])</f>
        <v>Brown</v>
      </c>
      <c r="D46" s="3">
        <f>IF(Table1[[#This Row],[Age]]="",AVERAGE(Table1[Age]),Table1[[#This Row],[Age]])</f>
        <v>32.484548825710753</v>
      </c>
      <c r="E46" s="3" t="s">
        <v>70</v>
      </c>
      <c r="F46" s="3" t="s">
        <v>16</v>
      </c>
      <c r="G46" s="5">
        <f>IF(ISNUMBER('Main Project Raw Data'!G46),'Main Project Raw Data'!G46,IF(ISNUMBER(SEARCH("/",'Main Project Raw Data'!G46)),DATE(RIGHT('Main Project Raw Data'!G46,4),LEFT('Main Project Raw Data'!G46,FIND("/",'Main Project Raw Data'!G46)-1),MID('Main Project Raw Data'!G46,FIND("/",'Main Project Raw Data'!G46)+1,2)),DATE(RIGHT('Main Project Raw Data'!G46,4),MID('Main Project Raw Data'!G46,4,2),LEFT('Main Project Raw Data'!G46,2))))</f>
        <v>44050</v>
      </c>
      <c r="H46" s="3">
        <f>IF(Table1[[#This Row],[Salary]]="",AVERAGE(Table1[Salary]),Table1[[#This Row],[Salary]])</f>
        <v>94399.91</v>
      </c>
      <c r="I46" s="3" t="s">
        <v>155</v>
      </c>
      <c r="J46" s="3">
        <f>ABS(Table1[[#This Row],[Phone]])</f>
        <v>5232194167</v>
      </c>
      <c r="K46" s="3" t="str">
        <f>PROPER(TRIM(Table1[[#This Row],[Performance_Score]]))</f>
        <v>Good</v>
      </c>
      <c r="L46" s="3" t="b">
        <f>Table1[[#This Row],[Remote_Work]]</f>
        <v>1</v>
      </c>
      <c r="M46" s="3" t="str">
        <f>PROPER(CONCATENATE(Table13[[#This Row],[First_Name]], Table13[[#This Row],[Last_Name]]))</f>
        <v>Evabrown</v>
      </c>
      <c r="N46" s="3" t="str">
        <f t="shared" si="0"/>
        <v>Aug</v>
      </c>
      <c r="O46" s="3" t="str">
        <f>TEXT(Table13[[#This Row],[Join_Date]],"yyyy")</f>
        <v>2020</v>
      </c>
      <c r="P46" s="3" t="str">
        <f>LEFT('Main Project Raw Data'!E46,FIND("-",'Main Project Raw Data'!E46)-1)</f>
        <v>Finance</v>
      </c>
      <c r="Q46" s="3" t="str">
        <f>RIGHT('Main Project Raw Data'!E46,LEN('Main Project Raw Data'!E46)-FIND("-",'Main Project Raw Data'!E46))</f>
        <v>California</v>
      </c>
    </row>
    <row r="47" spans="1:17" x14ac:dyDescent="0.3">
      <c r="A47" s="3" t="str">
        <f>TRIM(Table1[[#This Row],[Employee_ID]])</f>
        <v>EMP1045</v>
      </c>
      <c r="B47" s="3" t="str">
        <f>TRIM(Table1[[#This Row],[First_Name]])</f>
        <v>Alice</v>
      </c>
      <c r="C47" s="3" t="str">
        <f>TRIM(Table1[[#This Row],[Last_Name]])</f>
        <v>Brown</v>
      </c>
      <c r="D47" s="3">
        <f>IF(Table1[[#This Row],[Age]]="",AVERAGE(Table1[Age]),Table1[[#This Row],[Age]])</f>
        <v>25</v>
      </c>
      <c r="E47" s="3" t="s">
        <v>66</v>
      </c>
      <c r="F47" s="3" t="s">
        <v>28</v>
      </c>
      <c r="G47" s="5">
        <f>IF(ISNUMBER('Main Project Raw Data'!G47),'Main Project Raw Data'!G47,IF(ISNUMBER(SEARCH("/",'Main Project Raw Data'!G47)),DATE(RIGHT('Main Project Raw Data'!G47,4),LEFT('Main Project Raw Data'!G47,FIND("/",'Main Project Raw Data'!G47)-1),MID('Main Project Raw Data'!G47,FIND("/",'Main Project Raw Data'!G47)+1,2)),DATE(RIGHT('Main Project Raw Data'!G47,4),MID('Main Project Raw Data'!G47,4,2),LEFT('Main Project Raw Data'!G47,2))))</f>
        <v>44367</v>
      </c>
      <c r="H47" s="3">
        <f>IF(Table1[[#This Row],[Salary]]="",AVERAGE(Table1[Salary]),Table1[[#This Row],[Salary]])</f>
        <v>61310.74</v>
      </c>
      <c r="I47" s="3" t="s">
        <v>80</v>
      </c>
      <c r="J47" s="3">
        <f>ABS(Table1[[#This Row],[Phone]])</f>
        <v>61027768</v>
      </c>
      <c r="K47" s="3" t="str">
        <f>PROPER(TRIM(Table1[[#This Row],[Performance_Score]]))</f>
        <v>Average</v>
      </c>
      <c r="L47" s="3" t="b">
        <f>Table1[[#This Row],[Remote_Work]]</f>
        <v>1</v>
      </c>
      <c r="M47" s="3" t="str">
        <f>PROPER(CONCATENATE(Table13[[#This Row],[First_Name]], Table13[[#This Row],[Last_Name]]))</f>
        <v>Alicebrown</v>
      </c>
      <c r="N47" s="3" t="str">
        <f t="shared" si="0"/>
        <v>Jun</v>
      </c>
      <c r="O47" s="3" t="str">
        <f>TEXT(Table13[[#This Row],[Join_Date]],"yyyy")</f>
        <v>2021</v>
      </c>
      <c r="P47" s="3" t="str">
        <f>LEFT('Main Project Raw Data'!E47,FIND("-",'Main Project Raw Data'!E47)-1)</f>
        <v>HR</v>
      </c>
      <c r="Q47" s="3" t="str">
        <f>RIGHT('Main Project Raw Data'!E47,LEN('Main Project Raw Data'!E47)-FIND("-",'Main Project Raw Data'!E47))</f>
        <v>New York</v>
      </c>
    </row>
    <row r="48" spans="1:17" x14ac:dyDescent="0.3">
      <c r="A48" s="3" t="str">
        <f>TRIM(Table1[[#This Row],[Employee_ID]])</f>
        <v>EMP1046</v>
      </c>
      <c r="B48" s="3" t="str">
        <f>TRIM(Table1[[#This Row],[First_Name]])</f>
        <v>Grace</v>
      </c>
      <c r="C48" s="3" t="str">
        <f>TRIM(Table1[[#This Row],[Last_Name]])</f>
        <v>Garcia</v>
      </c>
      <c r="D48" s="3">
        <f>IF(Table1[[#This Row],[Age]]="",AVERAGE(Table1[Age]),Table1[[#This Row],[Age]])</f>
        <v>32.484548825710753</v>
      </c>
      <c r="E48" s="3" t="s">
        <v>159</v>
      </c>
      <c r="F48" s="3" t="s">
        <v>16</v>
      </c>
      <c r="G48" s="5">
        <f>IF(ISNUMBER('Main Project Raw Data'!G48),'Main Project Raw Data'!G48,IF(ISNUMBER(SEARCH("/",'Main Project Raw Data'!G48)),DATE(RIGHT('Main Project Raw Data'!G48,4),LEFT('Main Project Raw Data'!G48,FIND("/",'Main Project Raw Data'!G48)-1),MID('Main Project Raw Data'!G48,FIND("/",'Main Project Raw Data'!G48)+1,2)),DATE(RIGHT('Main Project Raw Data'!G48,4),MID('Main Project Raw Data'!G48,4,2),LEFT('Main Project Raw Data'!G48,2))))</f>
        <v>45639</v>
      </c>
      <c r="H48" s="3">
        <f>IF(Table1[[#This Row],[Salary]]="",AVERAGE(Table1[Salary]),Table1[[#This Row],[Salary]])</f>
        <v>98371.37</v>
      </c>
      <c r="I48" s="3" t="s">
        <v>83</v>
      </c>
      <c r="J48" s="3">
        <f>ABS(Table1[[#This Row],[Phone]])</f>
        <v>7499564121</v>
      </c>
      <c r="K48" s="3" t="str">
        <f>PROPER(TRIM(Table1[[#This Row],[Performance_Score]]))</f>
        <v>Excellent</v>
      </c>
      <c r="L48" s="3" t="b">
        <f>Table1[[#This Row],[Remote_Work]]</f>
        <v>0</v>
      </c>
      <c r="M48" s="3" t="str">
        <f>PROPER(CONCATENATE(Table13[[#This Row],[First_Name]], Table13[[#This Row],[Last_Name]]))</f>
        <v>Gracegarcia</v>
      </c>
      <c r="N48" s="3" t="str">
        <f t="shared" si="0"/>
        <v>Dec</v>
      </c>
      <c r="O48" s="3" t="str">
        <f>TEXT(Table13[[#This Row],[Join_Date]],"yyyy")</f>
        <v>2024</v>
      </c>
      <c r="P48" s="3" t="str">
        <f>LEFT('Main Project Raw Data'!E48,FIND("-",'Main Project Raw Data'!E48)-1)</f>
        <v>Cloud Tech</v>
      </c>
      <c r="Q48" s="3" t="str">
        <f>RIGHT('Main Project Raw Data'!E48,LEN('Main Project Raw Data'!E48)-FIND("-",'Main Project Raw Data'!E48))</f>
        <v>Texas</v>
      </c>
    </row>
    <row r="49" spans="1:17" x14ac:dyDescent="0.3">
      <c r="A49" s="3" t="str">
        <f>TRIM(Table1[[#This Row],[Employee_ID]])</f>
        <v>EMP1047</v>
      </c>
      <c r="B49" s="3" t="str">
        <f>TRIM(Table1[[#This Row],[First_Name]])</f>
        <v>Alice</v>
      </c>
      <c r="C49" s="3" t="str">
        <f>TRIM(Table1[[#This Row],[Last_Name]])</f>
        <v>Davis</v>
      </c>
      <c r="D49" s="3">
        <f>IF(Table1[[#This Row],[Age]]="",AVERAGE(Table1[Age]),Table1[[#This Row],[Age]])</f>
        <v>35</v>
      </c>
      <c r="E49" s="3" t="s">
        <v>98</v>
      </c>
      <c r="F49" s="3" t="s">
        <v>16</v>
      </c>
      <c r="G49" s="5">
        <f>IF(ISNUMBER('Main Project Raw Data'!G49),'Main Project Raw Data'!G49,IF(ISNUMBER(SEARCH("/",'Main Project Raw Data'!G49)),DATE(RIGHT('Main Project Raw Data'!G49,4),LEFT('Main Project Raw Data'!G49,FIND("/",'Main Project Raw Data'!G49)-1),MID('Main Project Raw Data'!G49,FIND("/",'Main Project Raw Data'!G49)+1,2)),DATE(RIGHT('Main Project Raw Data'!G49,4),MID('Main Project Raw Data'!G49,4,2),LEFT('Main Project Raw Data'!G49,2))))</f>
        <v>44711</v>
      </c>
      <c r="H49" s="3">
        <f>IF(Table1[[#This Row],[Salary]]="",AVERAGE(Table1[Salary]),Table1[[#This Row],[Salary]])</f>
        <v>58921.19</v>
      </c>
      <c r="I49" s="3" t="s">
        <v>163</v>
      </c>
      <c r="J49" s="3">
        <f>ABS(Table1[[#This Row],[Phone]])</f>
        <v>310303722</v>
      </c>
      <c r="K49" s="3" t="str">
        <f>PROPER(TRIM(Table1[[#This Row],[Performance_Score]]))</f>
        <v>Average</v>
      </c>
      <c r="L49" s="3" t="b">
        <f>Table1[[#This Row],[Remote_Work]]</f>
        <v>1</v>
      </c>
      <c r="M49" s="3" t="str">
        <f>PROPER(CONCATENATE(Table13[[#This Row],[First_Name]], Table13[[#This Row],[Last_Name]]))</f>
        <v>Alicedavis</v>
      </c>
      <c r="N49" s="3" t="str">
        <f t="shared" si="0"/>
        <v>May</v>
      </c>
      <c r="O49" s="3" t="str">
        <f>TEXT(Table13[[#This Row],[Join_Date]],"yyyy")</f>
        <v>2022</v>
      </c>
      <c r="P49" s="3" t="str">
        <f>LEFT('Main Project Raw Data'!E49,FIND("-",'Main Project Raw Data'!E49)-1)</f>
        <v>Sales</v>
      </c>
      <c r="Q49" s="3" t="str">
        <f>RIGHT('Main Project Raw Data'!E49,LEN('Main Project Raw Data'!E49)-FIND("-",'Main Project Raw Data'!E49))</f>
        <v>Illinois</v>
      </c>
    </row>
    <row r="50" spans="1:17" x14ac:dyDescent="0.3">
      <c r="A50" s="3" t="str">
        <f>TRIM(Table1[[#This Row],[Employee_ID]])</f>
        <v>EMP1048</v>
      </c>
      <c r="B50" s="3" t="str">
        <f>TRIM(Table1[[#This Row],[First_Name]])</f>
        <v>Alice</v>
      </c>
      <c r="C50" s="3" t="str">
        <f>TRIM(Table1[[#This Row],[Last_Name]])</f>
        <v>Miller</v>
      </c>
      <c r="D50" s="3">
        <f>IF(Table1[[#This Row],[Age]]="",AVERAGE(Table1[Age]),Table1[[#This Row],[Age]])</f>
        <v>35</v>
      </c>
      <c r="E50" s="3" t="s">
        <v>27</v>
      </c>
      <c r="F50" s="3" t="s">
        <v>16</v>
      </c>
      <c r="G50" s="5">
        <f>IF(ISNUMBER('Main Project Raw Data'!G50),'Main Project Raw Data'!G50,IF(ISNUMBER(SEARCH("/",'Main Project Raw Data'!G50)),DATE(RIGHT('Main Project Raw Data'!G50,4),LEFT('Main Project Raw Data'!G50,FIND("/",'Main Project Raw Data'!G50)-1),MID('Main Project Raw Data'!G50,FIND("/",'Main Project Raw Data'!G50)+1,2)),DATE(RIGHT('Main Project Raw Data'!G50,4),MID('Main Project Raw Data'!G50,4,2),LEFT('Main Project Raw Data'!G50,2))))</f>
        <v>45196</v>
      </c>
      <c r="H50" s="3">
        <f>IF(Table1[[#This Row],[Salary]]="",AVERAGE(Table1[Salary]),Table1[[#This Row],[Salary]])</f>
        <v>57195.55</v>
      </c>
      <c r="I50" s="3" t="s">
        <v>166</v>
      </c>
      <c r="J50" s="3">
        <f>ABS(Table1[[#This Row],[Phone]])</f>
        <v>6831472759</v>
      </c>
      <c r="K50" s="3" t="str">
        <f>PROPER(TRIM(Table1[[#This Row],[Performance_Score]]))</f>
        <v>Excellent</v>
      </c>
      <c r="L50" s="3" t="b">
        <f>Table1[[#This Row],[Remote_Work]]</f>
        <v>0</v>
      </c>
      <c r="M50" s="3" t="str">
        <f>PROPER(CONCATENATE(Table13[[#This Row],[First_Name]], Table13[[#This Row],[Last_Name]]))</f>
        <v>Alicemiller</v>
      </c>
      <c r="N50" s="3" t="str">
        <f t="shared" si="0"/>
        <v>Sep</v>
      </c>
      <c r="O50" s="3" t="str">
        <f>TEXT(Table13[[#This Row],[Join_Date]],"yyyy")</f>
        <v>2023</v>
      </c>
      <c r="P50" s="3" t="str">
        <f>LEFT('Main Project Raw Data'!E50,FIND("-",'Main Project Raw Data'!E50)-1)</f>
        <v>Admin</v>
      </c>
      <c r="Q50" s="3" t="str">
        <f>RIGHT('Main Project Raw Data'!E50,LEN('Main Project Raw Data'!E50)-FIND("-",'Main Project Raw Data'!E50))</f>
        <v>Nevada</v>
      </c>
    </row>
    <row r="51" spans="1:17" x14ac:dyDescent="0.3">
      <c r="A51" s="3" t="str">
        <f>TRIM(Table1[[#This Row],[Employee_ID]])</f>
        <v>EMP1049</v>
      </c>
      <c r="B51" s="3" t="str">
        <f>TRIM(Table1[[#This Row],[First_Name]])</f>
        <v>Grace</v>
      </c>
      <c r="C51" s="3" t="str">
        <f>TRIM(Table1[[#This Row],[Last_Name]])</f>
        <v>Miller</v>
      </c>
      <c r="D51" s="3">
        <f>IF(Table1[[#This Row],[Age]]="",AVERAGE(Table1[Age]),Table1[[#This Row],[Age]])</f>
        <v>32.484548825710753</v>
      </c>
      <c r="E51" s="3" t="s">
        <v>56</v>
      </c>
      <c r="F51" s="3" t="s">
        <v>16</v>
      </c>
      <c r="G51" s="5">
        <f>IF(ISNUMBER('Main Project Raw Data'!G51),'Main Project Raw Data'!G51,IF(ISNUMBER(SEARCH("/",'Main Project Raw Data'!G51)),DATE(RIGHT('Main Project Raw Data'!G51,4),LEFT('Main Project Raw Data'!G51,FIND("/",'Main Project Raw Data'!G51)-1),MID('Main Project Raw Data'!G51,FIND("/",'Main Project Raw Data'!G51)+1,2)),DATE(RIGHT('Main Project Raw Data'!G51,4),MID('Main Project Raw Data'!G51,4,2),LEFT('Main Project Raw Data'!G51,2))))</f>
        <v>45423</v>
      </c>
      <c r="H51" s="3">
        <f>IF(Table1[[#This Row],[Salary]]="",AVERAGE(Table1[Salary]),Table1[[#This Row],[Salary]])</f>
        <v>61375.12</v>
      </c>
      <c r="I51" s="3" t="s">
        <v>168</v>
      </c>
      <c r="J51" s="3">
        <f>ABS(Table1[[#This Row],[Phone]])</f>
        <v>1227770792</v>
      </c>
      <c r="K51" s="3" t="str">
        <f>PROPER(TRIM(Table1[[#This Row],[Performance_Score]]))</f>
        <v>Excellent</v>
      </c>
      <c r="L51" s="3" t="b">
        <f>Table1[[#This Row],[Remote_Work]]</f>
        <v>1</v>
      </c>
      <c r="M51" s="3" t="str">
        <f>PROPER(CONCATENATE(Table13[[#This Row],[First_Name]], Table13[[#This Row],[Last_Name]]))</f>
        <v>Gracemiller</v>
      </c>
      <c r="N51" s="3" t="str">
        <f t="shared" si="0"/>
        <v>May</v>
      </c>
      <c r="O51" s="3" t="str">
        <f>TEXT(Table13[[#This Row],[Join_Date]],"yyyy")</f>
        <v>2024</v>
      </c>
      <c r="P51" s="3" t="str">
        <f>LEFT('Main Project Raw Data'!E51,FIND("-",'Main Project Raw Data'!E51)-1)</f>
        <v>DevOps</v>
      </c>
      <c r="Q51" s="3" t="str">
        <f>RIGHT('Main Project Raw Data'!E51,LEN('Main Project Raw Data'!E51)-FIND("-",'Main Project Raw Data'!E51))</f>
        <v>New York</v>
      </c>
    </row>
    <row r="52" spans="1:17" x14ac:dyDescent="0.3">
      <c r="A52" s="3" t="str">
        <f>TRIM(Table1[[#This Row],[Employee_ID]])</f>
        <v>EMP1050</v>
      </c>
      <c r="B52" s="3" t="str">
        <f>TRIM(Table1[[#This Row],[First_Name]])</f>
        <v>Charlie</v>
      </c>
      <c r="C52" s="3" t="str">
        <f>TRIM(Table1[[#This Row],[Last_Name]])</f>
        <v>Davis</v>
      </c>
      <c r="D52" s="3">
        <f>IF(Table1[[#This Row],[Age]]="",AVERAGE(Table1[Age]),Table1[[#This Row],[Age]])</f>
        <v>40</v>
      </c>
      <c r="E52" s="3" t="s">
        <v>60</v>
      </c>
      <c r="F52" s="3" t="s">
        <v>28</v>
      </c>
      <c r="G52" s="5">
        <f>IF(ISNUMBER('Main Project Raw Data'!G52),'Main Project Raw Data'!G52,IF(ISNUMBER(SEARCH("/",'Main Project Raw Data'!G52)),DATE(RIGHT('Main Project Raw Data'!G52,4),LEFT('Main Project Raw Data'!G52,FIND("/",'Main Project Raw Data'!G52)-1),MID('Main Project Raw Data'!G52,FIND("/",'Main Project Raw Data'!G52)+1,2)),DATE(RIGHT('Main Project Raw Data'!G52,4),MID('Main Project Raw Data'!G52,4,2),LEFT('Main Project Raw Data'!G52,2))))</f>
        <v>44511</v>
      </c>
      <c r="H52" s="3">
        <f>IF(Table1[[#This Row],[Salary]]="",AVERAGE(Table1[Salary]),Table1[[#This Row],[Salary]])</f>
        <v>104767.05</v>
      </c>
      <c r="I52" s="3" t="s">
        <v>170</v>
      </c>
      <c r="J52" s="3">
        <f>ABS(Table1[[#This Row],[Phone]])</f>
        <v>3496050165</v>
      </c>
      <c r="K52" s="3" t="str">
        <f>PROPER(TRIM(Table1[[#This Row],[Performance_Score]]))</f>
        <v>Excellent</v>
      </c>
      <c r="L52" s="3" t="b">
        <f>Table1[[#This Row],[Remote_Work]]</f>
        <v>0</v>
      </c>
      <c r="M52" s="3" t="str">
        <f>PROPER(CONCATENATE(Table13[[#This Row],[First_Name]], Table13[[#This Row],[Last_Name]]))</f>
        <v>Charliedavis</v>
      </c>
      <c r="N52" s="3" t="str">
        <f t="shared" si="0"/>
        <v>Nov</v>
      </c>
      <c r="O52" s="3" t="str">
        <f>TEXT(Table13[[#This Row],[Join_Date]],"yyyy")</f>
        <v>2021</v>
      </c>
      <c r="P52" s="3" t="str">
        <f>LEFT('Main Project Raw Data'!E52,FIND("-",'Main Project Raw Data'!E52)-1)</f>
        <v>Cloud Tech</v>
      </c>
      <c r="Q52" s="3" t="str">
        <f>RIGHT('Main Project Raw Data'!E52,LEN('Main Project Raw Data'!E52)-FIND("-",'Main Project Raw Data'!E52))</f>
        <v>New York</v>
      </c>
    </row>
    <row r="53" spans="1:17" x14ac:dyDescent="0.3">
      <c r="A53" s="3" t="str">
        <f>TRIM(Table1[[#This Row],[Employee_ID]])</f>
        <v>EMP1051</v>
      </c>
      <c r="B53" s="3" t="str">
        <f>TRIM(Table1[[#This Row],[First_Name]])</f>
        <v>David</v>
      </c>
      <c r="C53" s="3" t="str">
        <f>TRIM(Table1[[#This Row],[Last_Name]])</f>
        <v>Miller</v>
      </c>
      <c r="D53" s="3">
        <f>IF(Table1[[#This Row],[Age]]="",AVERAGE(Table1[Age]),Table1[[#This Row],[Age]])</f>
        <v>35</v>
      </c>
      <c r="E53" s="3" t="s">
        <v>27</v>
      </c>
      <c r="F53" s="3" t="s">
        <v>16</v>
      </c>
      <c r="G53" s="5">
        <f>IF(ISNUMBER('Main Project Raw Data'!G53),'Main Project Raw Data'!G53,IF(ISNUMBER(SEARCH("/",'Main Project Raw Data'!G53)),DATE(RIGHT('Main Project Raw Data'!G53,4),LEFT('Main Project Raw Data'!G53,FIND("/",'Main Project Raw Data'!G53)-1),MID('Main Project Raw Data'!G53,FIND("/",'Main Project Raw Data'!G53)+1,2)),DATE(RIGHT('Main Project Raw Data'!G53,4),MID('Main Project Raw Data'!G53,4,2),LEFT('Main Project Raw Data'!G53,2))))</f>
        <v>44614</v>
      </c>
      <c r="H53" s="3">
        <f>IF(Table1[[#This Row],[Salary]]="",AVERAGE(Table1[Salary]),Table1[[#This Row],[Salary]])</f>
        <v>111051.67</v>
      </c>
      <c r="I53" s="3" t="s">
        <v>107</v>
      </c>
      <c r="J53" s="3">
        <f>ABS(Table1[[#This Row],[Phone]])</f>
        <v>7998407677</v>
      </c>
      <c r="K53" s="3" t="str">
        <f>PROPER(TRIM(Table1[[#This Row],[Performance_Score]]))</f>
        <v>Good</v>
      </c>
      <c r="L53" s="3" t="b">
        <f>Table1[[#This Row],[Remote_Work]]</f>
        <v>0</v>
      </c>
      <c r="M53" s="3" t="str">
        <f>PROPER(CONCATENATE(Table13[[#This Row],[First_Name]], Table13[[#This Row],[Last_Name]]))</f>
        <v>Davidmiller</v>
      </c>
      <c r="N53" s="3" t="str">
        <f t="shared" si="0"/>
        <v>Feb</v>
      </c>
      <c r="O53" s="3" t="str">
        <f>TEXT(Table13[[#This Row],[Join_Date]],"yyyy")</f>
        <v>2022</v>
      </c>
      <c r="P53" s="3" t="str">
        <f>LEFT('Main Project Raw Data'!E53,FIND("-",'Main Project Raw Data'!E53)-1)</f>
        <v>Admin</v>
      </c>
      <c r="Q53" s="3" t="str">
        <f>RIGHT('Main Project Raw Data'!E53,LEN('Main Project Raw Data'!E53)-FIND("-",'Main Project Raw Data'!E53))</f>
        <v>Nevada</v>
      </c>
    </row>
    <row r="54" spans="1:17" x14ac:dyDescent="0.3">
      <c r="A54" s="3" t="str">
        <f>TRIM(Table1[[#This Row],[Employee_ID]])</f>
        <v>EMP1052</v>
      </c>
      <c r="B54" s="3" t="str">
        <f>TRIM(Table1[[#This Row],[First_Name]])</f>
        <v>David</v>
      </c>
      <c r="C54" s="3" t="str">
        <f>TRIM(Table1[[#This Row],[Last_Name]])</f>
        <v>Williams</v>
      </c>
      <c r="D54" s="3">
        <f>IF(Table1[[#This Row],[Age]]="",AVERAGE(Table1[Age]),Table1[[#This Row],[Age]])</f>
        <v>30</v>
      </c>
      <c r="E54" s="3" t="s">
        <v>70</v>
      </c>
      <c r="F54" s="3" t="s">
        <v>33</v>
      </c>
      <c r="G54" s="5">
        <f>IF(ISNUMBER('Main Project Raw Data'!G54),'Main Project Raw Data'!G54,IF(ISNUMBER(SEARCH("/",'Main Project Raw Data'!G54)),DATE(RIGHT('Main Project Raw Data'!G54,4),LEFT('Main Project Raw Data'!G54,FIND("/",'Main Project Raw Data'!G54)-1),MID('Main Project Raw Data'!G54,FIND("/",'Main Project Raw Data'!G54)+1,2)),DATE(RIGHT('Main Project Raw Data'!G54,4),MID('Main Project Raw Data'!G54,4,2),LEFT('Main Project Raw Data'!G54,2))))</f>
        <v>45481</v>
      </c>
      <c r="H54" s="3">
        <f>IF(Table1[[#This Row],[Salary]]="",AVERAGE(Table1[Salary]),Table1[[#This Row],[Salary]])</f>
        <v>105674.18</v>
      </c>
      <c r="I54" s="3" t="s">
        <v>61</v>
      </c>
      <c r="J54" s="3">
        <f>ABS(Table1[[#This Row],[Phone]])</f>
        <v>9973080694</v>
      </c>
      <c r="K54" s="3" t="str">
        <f>PROPER(TRIM(Table1[[#This Row],[Performance_Score]]))</f>
        <v>Good</v>
      </c>
      <c r="L54" s="3" t="b">
        <f>Table1[[#This Row],[Remote_Work]]</f>
        <v>0</v>
      </c>
      <c r="M54" s="3" t="str">
        <f>PROPER(CONCATENATE(Table13[[#This Row],[First_Name]], Table13[[#This Row],[Last_Name]]))</f>
        <v>Davidwilliams</v>
      </c>
      <c r="N54" s="3" t="str">
        <f t="shared" si="0"/>
        <v>Jul</v>
      </c>
      <c r="O54" s="3" t="str">
        <f>TEXT(Table13[[#This Row],[Join_Date]],"yyyy")</f>
        <v>2024</v>
      </c>
      <c r="P54" s="3" t="str">
        <f>LEFT('Main Project Raw Data'!E54,FIND("-",'Main Project Raw Data'!E54)-1)</f>
        <v>Finance</v>
      </c>
      <c r="Q54" s="3" t="str">
        <f>RIGHT('Main Project Raw Data'!E54,LEN('Main Project Raw Data'!E54)-FIND("-",'Main Project Raw Data'!E54))</f>
        <v>California</v>
      </c>
    </row>
    <row r="55" spans="1:17" x14ac:dyDescent="0.3">
      <c r="A55" s="3" t="str">
        <f>TRIM(Table1[[#This Row],[Employee_ID]])</f>
        <v>EMP1053</v>
      </c>
      <c r="B55" s="3" t="str">
        <f>TRIM(Table1[[#This Row],[First_Name]])</f>
        <v>Alice</v>
      </c>
      <c r="C55" s="3" t="str">
        <f>TRIM(Table1[[#This Row],[Last_Name]])</f>
        <v>Brown</v>
      </c>
      <c r="D55" s="3">
        <f>IF(Table1[[#This Row],[Age]]="",AVERAGE(Table1[Age]),Table1[[#This Row],[Age]])</f>
        <v>30</v>
      </c>
      <c r="E55" s="3" t="s">
        <v>70</v>
      </c>
      <c r="F55" s="3" t="s">
        <v>33</v>
      </c>
      <c r="G55" s="5">
        <f>IF(ISNUMBER('Main Project Raw Data'!G55),'Main Project Raw Data'!G55,IF(ISNUMBER(SEARCH("/",'Main Project Raw Data'!G55)),DATE(RIGHT('Main Project Raw Data'!G55,4),LEFT('Main Project Raw Data'!G55,FIND("/",'Main Project Raw Data'!G55)-1),MID('Main Project Raw Data'!G55,FIND("/",'Main Project Raw Data'!G55)+1,2)),DATE(RIGHT('Main Project Raw Data'!G55,4),MID('Main Project Raw Data'!G55,4,2),LEFT('Main Project Raw Data'!G55,2))))</f>
        <v>45423</v>
      </c>
      <c r="H55" s="3">
        <f>IF(Table1[[#This Row],[Salary]]="",AVERAGE(Table1[Salary]),Table1[[#This Row],[Salary]])</f>
        <v>54859.45</v>
      </c>
      <c r="I55" s="3" t="s">
        <v>80</v>
      </c>
      <c r="J55" s="3">
        <f>ABS(Table1[[#This Row],[Phone]])</f>
        <v>8146717956</v>
      </c>
      <c r="K55" s="3" t="str">
        <f>PROPER(TRIM(Table1[[#This Row],[Performance_Score]]))</f>
        <v>Average</v>
      </c>
      <c r="L55" s="3" t="b">
        <f>Table1[[#This Row],[Remote_Work]]</f>
        <v>0</v>
      </c>
      <c r="M55" s="3" t="str">
        <f>PROPER(CONCATENATE(Table13[[#This Row],[First_Name]], Table13[[#This Row],[Last_Name]]))</f>
        <v>Alicebrown</v>
      </c>
      <c r="N55" s="3" t="str">
        <f t="shared" si="0"/>
        <v>May</v>
      </c>
      <c r="O55" s="3" t="str">
        <f>TEXT(Table13[[#This Row],[Join_Date]],"yyyy")</f>
        <v>2024</v>
      </c>
      <c r="P55" s="3" t="str">
        <f>LEFT('Main Project Raw Data'!E55,FIND("-",'Main Project Raw Data'!E55)-1)</f>
        <v>Finance</v>
      </c>
      <c r="Q55" s="3" t="str">
        <f>RIGHT('Main Project Raw Data'!E55,LEN('Main Project Raw Data'!E55)-FIND("-",'Main Project Raw Data'!E55))</f>
        <v>California</v>
      </c>
    </row>
    <row r="56" spans="1:17" x14ac:dyDescent="0.3">
      <c r="A56" s="3" t="str">
        <f>TRIM(Table1[[#This Row],[Employee_ID]])</f>
        <v>EMP1054</v>
      </c>
      <c r="B56" s="3" t="str">
        <f>TRIM(Table1[[#This Row],[First_Name]])</f>
        <v>Frank</v>
      </c>
      <c r="C56" s="3" t="str">
        <f>TRIM(Table1[[#This Row],[Last_Name]])</f>
        <v>Davis</v>
      </c>
      <c r="D56" s="3">
        <f>IF(Table1[[#This Row],[Age]]="",AVERAGE(Table1[Age]),Table1[[#This Row],[Age]])</f>
        <v>32.484548825710753</v>
      </c>
      <c r="E56" s="3" t="s">
        <v>100</v>
      </c>
      <c r="F56" s="3" t="s">
        <v>28</v>
      </c>
      <c r="G56" s="5">
        <f>IF(ISNUMBER('Main Project Raw Data'!G56),'Main Project Raw Data'!G56,IF(ISNUMBER(SEARCH("/",'Main Project Raw Data'!G56)),DATE(RIGHT('Main Project Raw Data'!G56,4),LEFT('Main Project Raw Data'!G56,FIND("/",'Main Project Raw Data'!G56)-1),MID('Main Project Raw Data'!G56,FIND("/",'Main Project Raw Data'!G56)+1,2)),DATE(RIGHT('Main Project Raw Data'!G56,4),MID('Main Project Raw Data'!G56,4,2),LEFT('Main Project Raw Data'!G56,2))))</f>
        <v>44450</v>
      </c>
      <c r="H56" s="3">
        <f>IF(Table1[[#This Row],[Salary]]="",AVERAGE(Table1[Salary]),Table1[[#This Row],[Salary]])</f>
        <v>115746.6</v>
      </c>
      <c r="I56" s="3" t="s">
        <v>52</v>
      </c>
      <c r="J56" s="3">
        <f>ABS(Table1[[#This Row],[Phone]])</f>
        <v>6024375737</v>
      </c>
      <c r="K56" s="3" t="str">
        <f>PROPER(TRIM(Table1[[#This Row],[Performance_Score]]))</f>
        <v>Excellent</v>
      </c>
      <c r="L56" s="3" t="b">
        <f>Table1[[#This Row],[Remote_Work]]</f>
        <v>1</v>
      </c>
      <c r="M56" s="3" t="str">
        <f>PROPER(CONCATENATE(Table13[[#This Row],[First_Name]], Table13[[#This Row],[Last_Name]]))</f>
        <v>Frankdavis</v>
      </c>
      <c r="N56" s="3" t="str">
        <f t="shared" si="0"/>
        <v>Sep</v>
      </c>
      <c r="O56" s="3" t="str">
        <f>TEXT(Table13[[#This Row],[Join_Date]],"yyyy")</f>
        <v>2021</v>
      </c>
      <c r="P56" s="3" t="str">
        <f>LEFT('Main Project Raw Data'!E56,FIND("-",'Main Project Raw Data'!E56)-1)</f>
        <v>Finance</v>
      </c>
      <c r="Q56" s="3" t="str">
        <f>RIGHT('Main Project Raw Data'!E56,LEN('Main Project Raw Data'!E56)-FIND("-",'Main Project Raw Data'!E56))</f>
        <v>Nevada</v>
      </c>
    </row>
    <row r="57" spans="1:17" x14ac:dyDescent="0.3">
      <c r="A57" s="3" t="str">
        <f>TRIM(Table1[[#This Row],[Employee_ID]])</f>
        <v>EMP1055</v>
      </c>
      <c r="B57" s="3" t="str">
        <f>TRIM(Table1[[#This Row],[First_Name]])</f>
        <v>Eva</v>
      </c>
      <c r="C57" s="3" t="str">
        <f>TRIM(Table1[[#This Row],[Last_Name]])</f>
        <v>Brown</v>
      </c>
      <c r="D57" s="3">
        <f>IF(Table1[[#This Row],[Age]]="",AVERAGE(Table1[Age]),Table1[[#This Row],[Age]])</f>
        <v>30</v>
      </c>
      <c r="E57" s="3" t="s">
        <v>177</v>
      </c>
      <c r="F57" s="3" t="s">
        <v>16</v>
      </c>
      <c r="G57" s="5">
        <f>IF(ISNUMBER('Main Project Raw Data'!G57),'Main Project Raw Data'!G57,IF(ISNUMBER(SEARCH("/",'Main Project Raw Data'!G57)),DATE(RIGHT('Main Project Raw Data'!G57,4),LEFT('Main Project Raw Data'!G57,FIND("/",'Main Project Raw Data'!G57)-1),MID('Main Project Raw Data'!G57,FIND("/",'Main Project Raw Data'!G57)+1,2)),DATE(RIGHT('Main Project Raw Data'!G57,4),MID('Main Project Raw Data'!G57,4,2),LEFT('Main Project Raw Data'!G57,2))))</f>
        <v>44112</v>
      </c>
      <c r="H57" s="3">
        <f>IF(Table1[[#This Row],[Salary]]="",AVERAGE(Table1[Salary]),Table1[[#This Row],[Salary]])</f>
        <v>91759.99</v>
      </c>
      <c r="I57" s="3" t="s">
        <v>155</v>
      </c>
      <c r="J57" s="3">
        <f>ABS(Table1[[#This Row],[Phone]])</f>
        <v>3959724664</v>
      </c>
      <c r="K57" s="3" t="str">
        <f>PROPER(TRIM(Table1[[#This Row],[Performance_Score]]))</f>
        <v>Excellent</v>
      </c>
      <c r="L57" s="3" t="b">
        <f>Table1[[#This Row],[Remote_Work]]</f>
        <v>1</v>
      </c>
      <c r="M57" s="3" t="str">
        <f>PROPER(CONCATENATE(Table13[[#This Row],[First_Name]], Table13[[#This Row],[Last_Name]]))</f>
        <v>Evabrown</v>
      </c>
      <c r="N57" s="3" t="str">
        <f t="shared" si="0"/>
        <v>Oct</v>
      </c>
      <c r="O57" s="3" t="str">
        <f>TEXT(Table13[[#This Row],[Join_Date]],"yyyy")</f>
        <v>2020</v>
      </c>
      <c r="P57" s="3" t="str">
        <f>LEFT('Main Project Raw Data'!E57,FIND("-",'Main Project Raw Data'!E57)-1)</f>
        <v>Sales</v>
      </c>
      <c r="Q57" s="3" t="str">
        <f>RIGHT('Main Project Raw Data'!E57,LEN('Main Project Raw Data'!E57)-FIND("-",'Main Project Raw Data'!E57))</f>
        <v>California</v>
      </c>
    </row>
    <row r="58" spans="1:17" x14ac:dyDescent="0.3">
      <c r="A58" s="3" t="str">
        <f>TRIM(Table1[[#This Row],[Employee_ID]])</f>
        <v>EMP1056</v>
      </c>
      <c r="B58" s="3" t="str">
        <f>TRIM(Table1[[#This Row],[First_Name]])</f>
        <v>Frank</v>
      </c>
      <c r="C58" s="3" t="str">
        <f>TRIM(Table1[[#This Row],[Last_Name]])</f>
        <v>Garcia</v>
      </c>
      <c r="D58" s="3">
        <f>IF(Table1[[#This Row],[Age]]="",AVERAGE(Table1[Age]),Table1[[#This Row],[Age]])</f>
        <v>40</v>
      </c>
      <c r="E58" s="3" t="s">
        <v>98</v>
      </c>
      <c r="F58" s="3" t="s">
        <v>16</v>
      </c>
      <c r="G58" s="5">
        <f>IF(ISNUMBER('Main Project Raw Data'!G58),'Main Project Raw Data'!G58,IF(ISNUMBER(SEARCH("/",'Main Project Raw Data'!G58)),DATE(RIGHT('Main Project Raw Data'!G58,4),LEFT('Main Project Raw Data'!G58,FIND("/",'Main Project Raw Data'!G58)-1),MID('Main Project Raw Data'!G58,FIND("/",'Main Project Raw Data'!G58)+1,2)),DATE(RIGHT('Main Project Raw Data'!G58,4),MID('Main Project Raw Data'!G58,4,2),LEFT('Main Project Raw Data'!G58,2))))</f>
        <v>44619</v>
      </c>
      <c r="H58" s="3">
        <f>IF(Table1[[#This Row],[Salary]]="",AVERAGE(Table1[Salary]),Table1[[#This Row],[Salary]])</f>
        <v>112965.33</v>
      </c>
      <c r="I58" s="3" t="s">
        <v>180</v>
      </c>
      <c r="J58" s="3">
        <f>ABS(Table1[[#This Row],[Phone]])</f>
        <v>7293417222</v>
      </c>
      <c r="K58" s="3" t="str">
        <f>PROPER(TRIM(Table1[[#This Row],[Performance_Score]]))</f>
        <v>Good</v>
      </c>
      <c r="L58" s="3" t="b">
        <f>Table1[[#This Row],[Remote_Work]]</f>
        <v>0</v>
      </c>
      <c r="M58" s="3" t="str">
        <f>PROPER(CONCATENATE(Table13[[#This Row],[First_Name]], Table13[[#This Row],[Last_Name]]))</f>
        <v>Frankgarcia</v>
      </c>
      <c r="N58" s="3" t="str">
        <f t="shared" si="0"/>
        <v>Feb</v>
      </c>
      <c r="O58" s="3" t="str">
        <f>TEXT(Table13[[#This Row],[Join_Date]],"yyyy")</f>
        <v>2022</v>
      </c>
      <c r="P58" s="3" t="str">
        <f>LEFT('Main Project Raw Data'!E58,FIND("-",'Main Project Raw Data'!E58)-1)</f>
        <v>Sales</v>
      </c>
      <c r="Q58" s="3" t="str">
        <f>RIGHT('Main Project Raw Data'!E58,LEN('Main Project Raw Data'!E58)-FIND("-",'Main Project Raw Data'!E58))</f>
        <v>Illinois</v>
      </c>
    </row>
    <row r="59" spans="1:17" x14ac:dyDescent="0.3">
      <c r="A59" s="3" t="str">
        <f>TRIM(Table1[[#This Row],[Employee_ID]])</f>
        <v>EMP1057</v>
      </c>
      <c r="B59" s="3" t="str">
        <f>TRIM(Table1[[#This Row],[First_Name]])</f>
        <v>Alice</v>
      </c>
      <c r="C59" s="3" t="str">
        <f>TRIM(Table1[[#This Row],[Last_Name]])</f>
        <v>Smith</v>
      </c>
      <c r="D59" s="3">
        <f>IF(Table1[[#This Row],[Age]]="",AVERAGE(Table1[Age]),Table1[[#This Row],[Age]])</f>
        <v>40</v>
      </c>
      <c r="E59" s="3" t="s">
        <v>95</v>
      </c>
      <c r="F59" s="3" t="s">
        <v>28</v>
      </c>
      <c r="G59" s="5">
        <f>IF(ISNUMBER('Main Project Raw Data'!G59),'Main Project Raw Data'!G59,IF(ISNUMBER(SEARCH("/",'Main Project Raw Data'!G59)),DATE(RIGHT('Main Project Raw Data'!G59,4),LEFT('Main Project Raw Data'!G59,FIND("/",'Main Project Raw Data'!G59)-1),MID('Main Project Raw Data'!G59,FIND("/",'Main Project Raw Data'!G59)+1,2)),DATE(RIGHT('Main Project Raw Data'!G59,4),MID('Main Project Raw Data'!G59,4,2),LEFT('Main Project Raw Data'!G59,2))))</f>
        <v>45118</v>
      </c>
      <c r="H59" s="3">
        <f>IF(Table1[[#This Row],[Salary]]="",AVERAGE(Table1[Salary]),Table1[[#This Row],[Salary]])</f>
        <v>100360.1</v>
      </c>
      <c r="I59" s="3" t="s">
        <v>182</v>
      </c>
      <c r="J59" s="3">
        <f>ABS(Table1[[#This Row],[Phone]])</f>
        <v>2971674337</v>
      </c>
      <c r="K59" s="3" t="str">
        <f>PROPER(TRIM(Table1[[#This Row],[Performance_Score]]))</f>
        <v>Excellent</v>
      </c>
      <c r="L59" s="3" t="b">
        <f>Table1[[#This Row],[Remote_Work]]</f>
        <v>0</v>
      </c>
      <c r="M59" s="3" t="str">
        <f>PROPER(CONCATENATE(Table13[[#This Row],[First_Name]], Table13[[#This Row],[Last_Name]]))</f>
        <v>Alicesmith</v>
      </c>
      <c r="N59" s="3" t="str">
        <f t="shared" si="0"/>
        <v>Jul</v>
      </c>
      <c r="O59" s="3" t="str">
        <f>TEXT(Table13[[#This Row],[Join_Date]],"yyyy")</f>
        <v>2023</v>
      </c>
      <c r="P59" s="3" t="str">
        <f>LEFT('Main Project Raw Data'!E59,FIND("-",'Main Project Raw Data'!E59)-1)</f>
        <v>Cloud Tech</v>
      </c>
      <c r="Q59" s="3" t="str">
        <f>RIGHT('Main Project Raw Data'!E59,LEN('Main Project Raw Data'!E59)-FIND("-",'Main Project Raw Data'!E59))</f>
        <v>Illinois</v>
      </c>
    </row>
    <row r="60" spans="1:17" x14ac:dyDescent="0.3">
      <c r="A60" s="3" t="str">
        <f>TRIM(Table1[[#This Row],[Employee_ID]])</f>
        <v>EMP1058</v>
      </c>
      <c r="B60" s="3" t="str">
        <f>TRIM(Table1[[#This Row],[First_Name]])</f>
        <v>David</v>
      </c>
      <c r="C60" s="3" t="str">
        <f>TRIM(Table1[[#This Row],[Last_Name]])</f>
        <v>Williams</v>
      </c>
      <c r="D60" s="3">
        <f>IF(Table1[[#This Row],[Age]]="",AVERAGE(Table1[Age]),Table1[[#This Row],[Age]])</f>
        <v>35</v>
      </c>
      <c r="E60" s="3" t="s">
        <v>21</v>
      </c>
      <c r="F60" s="3" t="s">
        <v>28</v>
      </c>
      <c r="G60" s="5">
        <f>IF(ISNUMBER('Main Project Raw Data'!G60),'Main Project Raw Data'!G60,IF(ISNUMBER(SEARCH("/",'Main Project Raw Data'!G60)),DATE(RIGHT('Main Project Raw Data'!G60,4),LEFT('Main Project Raw Data'!G60,FIND("/",'Main Project Raw Data'!G60)-1),MID('Main Project Raw Data'!G60,FIND("/",'Main Project Raw Data'!G60)+1,2)),DATE(RIGHT('Main Project Raw Data'!G60,4),MID('Main Project Raw Data'!G60,4,2),LEFT('Main Project Raw Data'!G60,2))))</f>
        <v>44388</v>
      </c>
      <c r="H60" s="3">
        <f>IF(Table1[[#This Row],[Salary]]="",AVERAGE(Table1[Salary]),Table1[[#This Row],[Salary]])</f>
        <v>93620.88</v>
      </c>
      <c r="I60" s="3" t="s">
        <v>61</v>
      </c>
      <c r="J60" s="3">
        <f>ABS(Table1[[#This Row],[Phone]])</f>
        <v>54522800</v>
      </c>
      <c r="K60" s="3" t="str">
        <f>PROPER(TRIM(Table1[[#This Row],[Performance_Score]]))</f>
        <v>Good</v>
      </c>
      <c r="L60" s="3" t="b">
        <f>Table1[[#This Row],[Remote_Work]]</f>
        <v>0</v>
      </c>
      <c r="M60" s="3" t="str">
        <f>PROPER(CONCATENATE(Table13[[#This Row],[First_Name]], Table13[[#This Row],[Last_Name]]))</f>
        <v>Davidwilliams</v>
      </c>
      <c r="N60" s="3" t="str">
        <f t="shared" si="0"/>
        <v>Jul</v>
      </c>
      <c r="O60" s="3" t="str">
        <f>TEXT(Table13[[#This Row],[Join_Date]],"yyyy")</f>
        <v>2021</v>
      </c>
      <c r="P60" s="3" t="str">
        <f>LEFT('Main Project Raw Data'!E60,FIND("-",'Main Project Raw Data'!E60)-1)</f>
        <v>Finance</v>
      </c>
      <c r="Q60" s="3" t="str">
        <f>RIGHT('Main Project Raw Data'!E60,LEN('Main Project Raw Data'!E60)-FIND("-",'Main Project Raw Data'!E60))</f>
        <v>Texas</v>
      </c>
    </row>
    <row r="61" spans="1:17" x14ac:dyDescent="0.3">
      <c r="A61" s="3" t="str">
        <f>TRIM(Table1[[#This Row],[Employee_ID]])</f>
        <v>EMP1059</v>
      </c>
      <c r="B61" s="3" t="str">
        <f>TRIM(Table1[[#This Row],[First_Name]])</f>
        <v>Bob</v>
      </c>
      <c r="C61" s="3" t="str">
        <f>TRIM(Table1[[#This Row],[Last_Name]])</f>
        <v>Jones</v>
      </c>
      <c r="D61" s="3">
        <f>IF(Table1[[#This Row],[Age]]="",AVERAGE(Table1[Age]),Table1[[#This Row],[Age]])</f>
        <v>35</v>
      </c>
      <c r="E61" s="3" t="s">
        <v>177</v>
      </c>
      <c r="F61" s="3" t="s">
        <v>28</v>
      </c>
      <c r="G61" s="5">
        <f>IF(ISNUMBER('Main Project Raw Data'!G61),'Main Project Raw Data'!G61,IF(ISNUMBER(SEARCH("/",'Main Project Raw Data'!G61)),DATE(RIGHT('Main Project Raw Data'!G61,4),LEFT('Main Project Raw Data'!G61,FIND("/",'Main Project Raw Data'!G61)-1),MID('Main Project Raw Data'!G61,FIND("/",'Main Project Raw Data'!G61)+1,2)),DATE(RIGHT('Main Project Raw Data'!G61,4),MID('Main Project Raw Data'!G61,4,2),LEFT('Main Project Raw Data'!G61,2))))</f>
        <v>44667</v>
      </c>
      <c r="H61" s="3">
        <f>IF(Table1[[#This Row],[Salary]]="",AVERAGE(Table1[Salary]),Table1[[#This Row],[Salary]])</f>
        <v>72832.800000000003</v>
      </c>
      <c r="I61" s="3" t="s">
        <v>50</v>
      </c>
      <c r="J61" s="3">
        <f>ABS(Table1[[#This Row],[Phone]])</f>
        <v>5619318373</v>
      </c>
      <c r="K61" s="3" t="str">
        <f>PROPER(TRIM(Table1[[#This Row],[Performance_Score]]))</f>
        <v>Excellent</v>
      </c>
      <c r="L61" s="3" t="b">
        <f>Table1[[#This Row],[Remote_Work]]</f>
        <v>1</v>
      </c>
      <c r="M61" s="3" t="str">
        <f>PROPER(CONCATENATE(Table13[[#This Row],[First_Name]], Table13[[#This Row],[Last_Name]]))</f>
        <v>Bobjones</v>
      </c>
      <c r="N61" s="3" t="str">
        <f t="shared" si="0"/>
        <v>Apr</v>
      </c>
      <c r="O61" s="3" t="str">
        <f>TEXT(Table13[[#This Row],[Join_Date]],"yyyy")</f>
        <v>2022</v>
      </c>
      <c r="P61" s="3" t="str">
        <f>LEFT('Main Project Raw Data'!E61,FIND("-",'Main Project Raw Data'!E61)-1)</f>
        <v>Sales</v>
      </c>
      <c r="Q61" s="3" t="str">
        <f>RIGHT('Main Project Raw Data'!E61,LEN('Main Project Raw Data'!E61)-FIND("-",'Main Project Raw Data'!E61))</f>
        <v>California</v>
      </c>
    </row>
    <row r="62" spans="1:17" x14ac:dyDescent="0.3">
      <c r="A62" s="3" t="str">
        <f>TRIM(Table1[[#This Row],[Employee_ID]])</f>
        <v>EMP1060</v>
      </c>
      <c r="B62" s="3" t="str">
        <f>TRIM(Table1[[#This Row],[First_Name]])</f>
        <v>Charlie</v>
      </c>
      <c r="C62" s="3" t="str">
        <f>TRIM(Table1[[#This Row],[Last_Name]])</f>
        <v>Williams</v>
      </c>
      <c r="D62" s="3">
        <f>IF(Table1[[#This Row],[Age]]="",AVERAGE(Table1[Age]),Table1[[#This Row],[Age]])</f>
        <v>30</v>
      </c>
      <c r="E62" s="3" t="s">
        <v>100</v>
      </c>
      <c r="F62" s="3" t="s">
        <v>33</v>
      </c>
      <c r="G62" s="5">
        <f>IF(ISNUMBER('Main Project Raw Data'!G62),'Main Project Raw Data'!G62,IF(ISNUMBER(SEARCH("/",'Main Project Raw Data'!G62)),DATE(RIGHT('Main Project Raw Data'!G62,4),LEFT('Main Project Raw Data'!G62,FIND("/",'Main Project Raw Data'!G62)-1),MID('Main Project Raw Data'!G62,FIND("/",'Main Project Raw Data'!G62)+1,2)),DATE(RIGHT('Main Project Raw Data'!G62,4),MID('Main Project Raw Data'!G62,4,2),LEFT('Main Project Raw Data'!G62,2))))</f>
        <v>45218</v>
      </c>
      <c r="H62" s="3">
        <f>IF(Table1[[#This Row],[Salary]]="",AVERAGE(Table1[Salary]),Table1[[#This Row],[Salary]])</f>
        <v>102369.42</v>
      </c>
      <c r="I62" s="3" t="s">
        <v>90</v>
      </c>
      <c r="J62" s="3">
        <f>ABS(Table1[[#This Row],[Phone]])</f>
        <v>5508428909</v>
      </c>
      <c r="K62" s="3" t="str">
        <f>PROPER(TRIM(Table1[[#This Row],[Performance_Score]]))</f>
        <v>Average</v>
      </c>
      <c r="L62" s="3" t="b">
        <f>Table1[[#This Row],[Remote_Work]]</f>
        <v>1</v>
      </c>
      <c r="M62" s="3" t="str">
        <f>PROPER(CONCATENATE(Table13[[#This Row],[First_Name]], Table13[[#This Row],[Last_Name]]))</f>
        <v>Charliewilliams</v>
      </c>
      <c r="N62" s="3" t="str">
        <f t="shared" si="0"/>
        <v>Oct</v>
      </c>
      <c r="O62" s="3" t="str">
        <f>TEXT(Table13[[#This Row],[Join_Date]],"yyyy")</f>
        <v>2023</v>
      </c>
      <c r="P62" s="3" t="str">
        <f>LEFT('Main Project Raw Data'!E62,FIND("-",'Main Project Raw Data'!E62)-1)</f>
        <v>Finance</v>
      </c>
      <c r="Q62" s="3" t="str">
        <f>RIGHT('Main Project Raw Data'!E62,LEN('Main Project Raw Data'!E62)-FIND("-",'Main Project Raw Data'!E62))</f>
        <v>Nevada</v>
      </c>
    </row>
    <row r="63" spans="1:17" x14ac:dyDescent="0.3">
      <c r="A63" s="3" t="str">
        <f>TRIM(Table1[[#This Row],[Employee_ID]])</f>
        <v>EMP1061</v>
      </c>
      <c r="B63" s="3" t="str">
        <f>TRIM(Table1[[#This Row],[First_Name]])</f>
        <v>Eva</v>
      </c>
      <c r="C63" s="3" t="str">
        <f>TRIM(Table1[[#This Row],[Last_Name]])</f>
        <v>Davis</v>
      </c>
      <c r="D63" s="3">
        <f>IF(Table1[[#This Row],[Age]]="",AVERAGE(Table1[Age]),Table1[[#This Row],[Age]])</f>
        <v>40</v>
      </c>
      <c r="E63" s="3" t="s">
        <v>44</v>
      </c>
      <c r="F63" s="3" t="s">
        <v>33</v>
      </c>
      <c r="G63" s="5">
        <f>IF(ISNUMBER('Main Project Raw Data'!G63),'Main Project Raw Data'!G63,IF(ISNUMBER(SEARCH("/",'Main Project Raw Data'!G63)),DATE(RIGHT('Main Project Raw Data'!G63,4),LEFT('Main Project Raw Data'!G63,FIND("/",'Main Project Raw Data'!G63)-1),MID('Main Project Raw Data'!G63,FIND("/",'Main Project Raw Data'!G63)+1,2)),DATE(RIGHT('Main Project Raw Data'!G63,4),MID('Main Project Raw Data'!G63,4,2),LEFT('Main Project Raw Data'!G63,2))))</f>
        <v>44477</v>
      </c>
      <c r="H63" s="3">
        <f>IF(Table1[[#This Row],[Salary]]="",AVERAGE(Table1[Salary]),Table1[[#This Row],[Salary]])</f>
        <v>64712.79</v>
      </c>
      <c r="I63" s="3" t="s">
        <v>35</v>
      </c>
      <c r="J63" s="3">
        <f>ABS(Table1[[#This Row],[Phone]])</f>
        <v>7711991807</v>
      </c>
      <c r="K63" s="3" t="str">
        <f>PROPER(TRIM(Table1[[#This Row],[Performance_Score]]))</f>
        <v>Excellent</v>
      </c>
      <c r="L63" s="3" t="b">
        <f>Table1[[#This Row],[Remote_Work]]</f>
        <v>1</v>
      </c>
      <c r="M63" s="3" t="str">
        <f>PROPER(CONCATENATE(Table13[[#This Row],[First_Name]], Table13[[#This Row],[Last_Name]]))</f>
        <v>Evadavis</v>
      </c>
      <c r="N63" s="3" t="str">
        <f t="shared" si="0"/>
        <v>Oct</v>
      </c>
      <c r="O63" s="3" t="str">
        <f>TEXT(Table13[[#This Row],[Join_Date]],"yyyy")</f>
        <v>2021</v>
      </c>
      <c r="P63" s="3" t="str">
        <f>LEFT('Main Project Raw Data'!E63,FIND("-",'Main Project Raw Data'!E63)-1)</f>
        <v>Sales</v>
      </c>
      <c r="Q63" s="3" t="str">
        <f>RIGHT('Main Project Raw Data'!E63,LEN('Main Project Raw Data'!E63)-FIND("-",'Main Project Raw Data'!E63))</f>
        <v>Texas</v>
      </c>
    </row>
    <row r="64" spans="1:17" x14ac:dyDescent="0.3">
      <c r="A64" s="3" t="str">
        <f>TRIM(Table1[[#This Row],[Employee_ID]])</f>
        <v>EMP1062</v>
      </c>
      <c r="B64" s="3" t="str">
        <f>TRIM(Table1[[#This Row],[First_Name]])</f>
        <v>Frank</v>
      </c>
      <c r="C64" s="3" t="str">
        <f>TRIM(Table1[[#This Row],[Last_Name]])</f>
        <v>Jones</v>
      </c>
      <c r="D64" s="3">
        <f>IF(Table1[[#This Row],[Age]]="",AVERAGE(Table1[Age]),Table1[[#This Row],[Age]])</f>
        <v>40</v>
      </c>
      <c r="E64" s="3" t="s">
        <v>112</v>
      </c>
      <c r="F64" s="3" t="s">
        <v>28</v>
      </c>
      <c r="G64" s="5">
        <f>IF(ISNUMBER('Main Project Raw Data'!G64),'Main Project Raw Data'!G64,IF(ISNUMBER(SEARCH("/",'Main Project Raw Data'!G64)),DATE(RIGHT('Main Project Raw Data'!G64,4),LEFT('Main Project Raw Data'!G64,FIND("/",'Main Project Raw Data'!G64)-1),MID('Main Project Raw Data'!G64,FIND("/",'Main Project Raw Data'!G64)+1,2)),DATE(RIGHT('Main Project Raw Data'!G64,4),MID('Main Project Raw Data'!G64,4,2),LEFT('Main Project Raw Data'!G64,2))))</f>
        <v>44268</v>
      </c>
      <c r="H64" s="3">
        <f>IF(Table1[[#This Row],[Salary]]="",AVERAGE(Table1[Salary]),Table1[[#This Row],[Salary]])</f>
        <v>85782.18</v>
      </c>
      <c r="I64" s="3" t="s">
        <v>47</v>
      </c>
      <c r="J64" s="3">
        <f>ABS(Table1[[#This Row],[Phone]])</f>
        <v>1213524786</v>
      </c>
      <c r="K64" s="3" t="str">
        <f>PROPER(TRIM(Table1[[#This Row],[Performance_Score]]))</f>
        <v>Excellent</v>
      </c>
      <c r="L64" s="3" t="b">
        <f>Table1[[#This Row],[Remote_Work]]</f>
        <v>1</v>
      </c>
      <c r="M64" s="3" t="str">
        <f>PROPER(CONCATENATE(Table13[[#This Row],[First_Name]], Table13[[#This Row],[Last_Name]]))</f>
        <v>Frankjones</v>
      </c>
      <c r="N64" s="3" t="str">
        <f t="shared" si="0"/>
        <v>Mar</v>
      </c>
      <c r="O64" s="3" t="str">
        <f>TEXT(Table13[[#This Row],[Join_Date]],"yyyy")</f>
        <v>2021</v>
      </c>
      <c r="P64" s="3" t="str">
        <f>LEFT('Main Project Raw Data'!E64,FIND("-",'Main Project Raw Data'!E64)-1)</f>
        <v>Finance</v>
      </c>
      <c r="Q64" s="3" t="str">
        <f>RIGHT('Main Project Raw Data'!E64,LEN('Main Project Raw Data'!E64)-FIND("-",'Main Project Raw Data'!E64))</f>
        <v>Florida</v>
      </c>
    </row>
    <row r="65" spans="1:17" x14ac:dyDescent="0.3">
      <c r="A65" s="3" t="str">
        <f>TRIM(Table1[[#This Row],[Employee_ID]])</f>
        <v>EMP1063</v>
      </c>
      <c r="B65" s="3" t="str">
        <f>TRIM(Table1[[#This Row],[First_Name]])</f>
        <v>Charlie</v>
      </c>
      <c r="C65" s="3" t="str">
        <f>TRIM(Table1[[#This Row],[Last_Name]])</f>
        <v>Smith</v>
      </c>
      <c r="D65" s="3">
        <f>IF(Table1[[#This Row],[Age]]="",AVERAGE(Table1[Age]),Table1[[#This Row],[Age]])</f>
        <v>25</v>
      </c>
      <c r="E65" s="3" t="s">
        <v>192</v>
      </c>
      <c r="F65" s="3" t="s">
        <v>28</v>
      </c>
      <c r="G65" s="5">
        <f>IF(ISNUMBER('Main Project Raw Data'!G65),'Main Project Raw Data'!G65,IF(ISNUMBER(SEARCH("/",'Main Project Raw Data'!G65)),DATE(RIGHT('Main Project Raw Data'!G65,4),LEFT('Main Project Raw Data'!G65,FIND("/",'Main Project Raw Data'!G65)-1),MID('Main Project Raw Data'!G65,FIND("/",'Main Project Raw Data'!G65)+1,2)),DATE(RIGHT('Main Project Raw Data'!G65,4),MID('Main Project Raw Data'!G65,4,2),LEFT('Main Project Raw Data'!G65,2))))</f>
        <v>45127</v>
      </c>
      <c r="H65" s="3">
        <f>IF(Table1[[#This Row],[Salary]]="",AVERAGE(Table1[Salary]),Table1[[#This Row],[Salary]])</f>
        <v>93348.26</v>
      </c>
      <c r="I65" s="3" t="s">
        <v>194</v>
      </c>
      <c r="J65" s="3">
        <f>ABS(Table1[[#This Row],[Phone]])</f>
        <v>1255213759</v>
      </c>
      <c r="K65" s="3" t="str">
        <f>PROPER(TRIM(Table1[[#This Row],[Performance_Score]]))</f>
        <v>Poor</v>
      </c>
      <c r="L65" s="3" t="b">
        <f>Table1[[#This Row],[Remote_Work]]</f>
        <v>0</v>
      </c>
      <c r="M65" s="3" t="str">
        <f>PROPER(CONCATENATE(Table13[[#This Row],[First_Name]], Table13[[#This Row],[Last_Name]]))</f>
        <v>Charliesmith</v>
      </c>
      <c r="N65" s="3" t="str">
        <f t="shared" si="0"/>
        <v>Jul</v>
      </c>
      <c r="O65" s="3" t="str">
        <f>TEXT(Table13[[#This Row],[Join_Date]],"yyyy")</f>
        <v>2023</v>
      </c>
      <c r="P65" s="3" t="str">
        <f>LEFT('Main Project Raw Data'!E65,FIND("-",'Main Project Raw Data'!E65)-1)</f>
        <v>HR</v>
      </c>
      <c r="Q65" s="3" t="str">
        <f>RIGHT('Main Project Raw Data'!E65,LEN('Main Project Raw Data'!E65)-FIND("-",'Main Project Raw Data'!E65))</f>
        <v>Illinois</v>
      </c>
    </row>
    <row r="66" spans="1:17" x14ac:dyDescent="0.3">
      <c r="A66" s="3" t="str">
        <f>TRIM(Table1[[#This Row],[Employee_ID]])</f>
        <v>EMP1064</v>
      </c>
      <c r="B66" s="3" t="str">
        <f>TRIM(Table1[[#This Row],[First_Name]])</f>
        <v>David</v>
      </c>
      <c r="C66" s="3" t="str">
        <f>TRIM(Table1[[#This Row],[Last_Name]])</f>
        <v>Davis</v>
      </c>
      <c r="D66" s="3">
        <f>IF(Table1[[#This Row],[Age]]="",AVERAGE(Table1[Age]),Table1[[#This Row],[Age]])</f>
        <v>35</v>
      </c>
      <c r="E66" s="3" t="s">
        <v>196</v>
      </c>
      <c r="F66" s="3" t="s">
        <v>16</v>
      </c>
      <c r="G66" s="5">
        <f>IF(ISNUMBER('Main Project Raw Data'!G66),'Main Project Raw Data'!G66,IF(ISNUMBER(SEARCH("/",'Main Project Raw Data'!G66)),DATE(RIGHT('Main Project Raw Data'!G66,4),LEFT('Main Project Raw Data'!G66,FIND("/",'Main Project Raw Data'!G66)-1),MID('Main Project Raw Data'!G66,FIND("/",'Main Project Raw Data'!G66)+1,2)),DATE(RIGHT('Main Project Raw Data'!G66,4),MID('Main Project Raw Data'!G66,4,2),LEFT('Main Project Raw Data'!G66,2))))</f>
        <v>43881</v>
      </c>
      <c r="H66" s="3">
        <f>IF(Table1[[#This Row],[Salary]]="",AVERAGE(Table1[Salary]),Table1[[#This Row],[Salary]])</f>
        <v>53234.96</v>
      </c>
      <c r="I66" s="3" t="s">
        <v>63</v>
      </c>
      <c r="J66" s="3">
        <f>ABS(Table1[[#This Row],[Phone]])</f>
        <v>3754821455</v>
      </c>
      <c r="K66" s="3" t="str">
        <f>PROPER(TRIM(Table1[[#This Row],[Performance_Score]]))</f>
        <v>Good</v>
      </c>
      <c r="L66" s="3" t="b">
        <f>Table1[[#This Row],[Remote_Work]]</f>
        <v>0</v>
      </c>
      <c r="M66" s="3" t="str">
        <f>PROPER(CONCATENATE(Table13[[#This Row],[First_Name]], Table13[[#This Row],[Last_Name]]))</f>
        <v>Daviddavis</v>
      </c>
      <c r="N66" s="3" t="str">
        <f t="shared" ref="N66:N129" si="1">TEXT(G66,"mmm")</f>
        <v>Feb</v>
      </c>
      <c r="O66" s="3" t="str">
        <f>TEXT(Table13[[#This Row],[Join_Date]],"yyyy")</f>
        <v>2020</v>
      </c>
      <c r="P66" s="3" t="str">
        <f>LEFT('Main Project Raw Data'!E66,FIND("-",'Main Project Raw Data'!E66)-1)</f>
        <v>Admin</v>
      </c>
      <c r="Q66" s="3" t="str">
        <f>RIGHT('Main Project Raw Data'!E66,LEN('Main Project Raw Data'!E66)-FIND("-",'Main Project Raw Data'!E66))</f>
        <v>New York</v>
      </c>
    </row>
    <row r="67" spans="1:17" x14ac:dyDescent="0.3">
      <c r="A67" s="3" t="str">
        <f>TRIM(Table1[[#This Row],[Employee_ID]])</f>
        <v>EMP1065</v>
      </c>
      <c r="B67" s="3" t="str">
        <f>TRIM(Table1[[#This Row],[First_Name]])</f>
        <v>Bob</v>
      </c>
      <c r="C67" s="3" t="str">
        <f>TRIM(Table1[[#This Row],[Last_Name]])</f>
        <v>Johnson</v>
      </c>
      <c r="D67" s="3">
        <f>IF(Table1[[#This Row],[Age]]="",AVERAGE(Table1[Age]),Table1[[#This Row],[Age]])</f>
        <v>40</v>
      </c>
      <c r="E67" s="3" t="s">
        <v>100</v>
      </c>
      <c r="F67" s="3" t="s">
        <v>28</v>
      </c>
      <c r="G67" s="5">
        <f>IF(ISNUMBER('Main Project Raw Data'!G67),'Main Project Raw Data'!G67,IF(ISNUMBER(SEARCH("/",'Main Project Raw Data'!G67)),DATE(RIGHT('Main Project Raw Data'!G67,4),LEFT('Main Project Raw Data'!G67,FIND("/",'Main Project Raw Data'!G67)-1),MID('Main Project Raw Data'!G67,FIND("/",'Main Project Raw Data'!G67)+1,2)),DATE(RIGHT('Main Project Raw Data'!G67,4),MID('Main Project Raw Data'!G67,4,2),LEFT('Main Project Raw Data'!G67,2))))</f>
        <v>44229</v>
      </c>
      <c r="H67" s="3">
        <f>IF(Table1[[#This Row],[Salary]]="",AVERAGE(Table1[Salary]),Table1[[#This Row],[Salary]])</f>
        <v>100284.21</v>
      </c>
      <c r="I67" s="3" t="s">
        <v>199</v>
      </c>
      <c r="J67" s="3">
        <f>ABS(Table1[[#This Row],[Phone]])</f>
        <v>5328632665</v>
      </c>
      <c r="K67" s="3" t="str">
        <f>PROPER(TRIM(Table1[[#This Row],[Performance_Score]]))</f>
        <v>Excellent</v>
      </c>
      <c r="L67" s="3" t="b">
        <f>Table1[[#This Row],[Remote_Work]]</f>
        <v>0</v>
      </c>
      <c r="M67" s="3" t="str">
        <f>PROPER(CONCATENATE(Table13[[#This Row],[First_Name]], Table13[[#This Row],[Last_Name]]))</f>
        <v>Bobjohnson</v>
      </c>
      <c r="N67" s="3" t="str">
        <f t="shared" si="1"/>
        <v>Feb</v>
      </c>
      <c r="O67" s="3" t="str">
        <f>TEXT(Table13[[#This Row],[Join_Date]],"yyyy")</f>
        <v>2021</v>
      </c>
      <c r="P67" s="3" t="str">
        <f>LEFT('Main Project Raw Data'!E67,FIND("-",'Main Project Raw Data'!E67)-1)</f>
        <v>Finance</v>
      </c>
      <c r="Q67" s="3" t="str">
        <f>RIGHT('Main Project Raw Data'!E67,LEN('Main Project Raw Data'!E67)-FIND("-",'Main Project Raw Data'!E67))</f>
        <v>Nevada</v>
      </c>
    </row>
    <row r="68" spans="1:17" x14ac:dyDescent="0.3">
      <c r="A68" s="3" t="str">
        <f>TRIM(Table1[[#This Row],[Employee_ID]])</f>
        <v>EMP1066</v>
      </c>
      <c r="B68" s="3" t="str">
        <f>TRIM(Table1[[#This Row],[First_Name]])</f>
        <v>Grace</v>
      </c>
      <c r="C68" s="3" t="str">
        <f>TRIM(Table1[[#This Row],[Last_Name]])</f>
        <v>Brown</v>
      </c>
      <c r="D68" s="3">
        <f>IF(Table1[[#This Row],[Age]]="",AVERAGE(Table1[Age]),Table1[[#This Row],[Age]])</f>
        <v>30</v>
      </c>
      <c r="E68" s="3" t="s">
        <v>27</v>
      </c>
      <c r="F68" s="3" t="s">
        <v>28</v>
      </c>
      <c r="G68" s="5">
        <f>IF(ISNUMBER('Main Project Raw Data'!G68),'Main Project Raw Data'!G68,IF(ISNUMBER(SEARCH("/",'Main Project Raw Data'!G68)),DATE(RIGHT('Main Project Raw Data'!G68,4),LEFT('Main Project Raw Data'!G68,FIND("/",'Main Project Raw Data'!G68)-1),MID('Main Project Raw Data'!G68,FIND("/",'Main Project Raw Data'!G68)+1,2)),DATE(RIGHT('Main Project Raw Data'!G68,4),MID('Main Project Raw Data'!G68,4,2),LEFT('Main Project Raw Data'!G68,2))))</f>
        <v>44166</v>
      </c>
      <c r="H68" s="3">
        <f>IF(Table1[[#This Row],[Salary]]="",AVERAGE(Table1[Salary]),Table1[[#This Row],[Salary]])</f>
        <v>112486.19</v>
      </c>
      <c r="I68" s="3" t="s">
        <v>201</v>
      </c>
      <c r="J68" s="3">
        <f>ABS(Table1[[#This Row],[Phone]])</f>
        <v>7850720810</v>
      </c>
      <c r="K68" s="3" t="str">
        <f>PROPER(TRIM(Table1[[#This Row],[Performance_Score]]))</f>
        <v>Excellent</v>
      </c>
      <c r="L68" s="3" t="b">
        <f>Table1[[#This Row],[Remote_Work]]</f>
        <v>1</v>
      </c>
      <c r="M68" s="3" t="str">
        <f>PROPER(CONCATENATE(Table13[[#This Row],[First_Name]], Table13[[#This Row],[Last_Name]]))</f>
        <v>Gracebrown</v>
      </c>
      <c r="N68" s="3" t="str">
        <f t="shared" si="1"/>
        <v>Dec</v>
      </c>
      <c r="O68" s="3" t="str">
        <f>TEXT(Table13[[#This Row],[Join_Date]],"yyyy")</f>
        <v>2020</v>
      </c>
      <c r="P68" s="3" t="str">
        <f>LEFT('Main Project Raw Data'!E68,FIND("-",'Main Project Raw Data'!E68)-1)</f>
        <v>Admin</v>
      </c>
      <c r="Q68" s="3" t="str">
        <f>RIGHT('Main Project Raw Data'!E68,LEN('Main Project Raw Data'!E68)-FIND("-",'Main Project Raw Data'!E68))</f>
        <v>Nevada</v>
      </c>
    </row>
    <row r="69" spans="1:17" x14ac:dyDescent="0.3">
      <c r="A69" s="3" t="str">
        <f>TRIM(Table1[[#This Row],[Employee_ID]])</f>
        <v>EMP1067</v>
      </c>
      <c r="B69" s="3" t="str">
        <f>TRIM(Table1[[#This Row],[First_Name]])</f>
        <v>Bob</v>
      </c>
      <c r="C69" s="3" t="str">
        <f>TRIM(Table1[[#This Row],[Last_Name]])</f>
        <v>Smith</v>
      </c>
      <c r="D69" s="3">
        <f>IF(Table1[[#This Row],[Age]]="",AVERAGE(Table1[Age]),Table1[[#This Row],[Age]])</f>
        <v>40</v>
      </c>
      <c r="E69" s="3" t="s">
        <v>196</v>
      </c>
      <c r="F69" s="3" t="s">
        <v>28</v>
      </c>
      <c r="G69" s="5">
        <f>IF(ISNUMBER('Main Project Raw Data'!G69),'Main Project Raw Data'!G69,IF(ISNUMBER(SEARCH("/",'Main Project Raw Data'!G69)),DATE(RIGHT('Main Project Raw Data'!G69,4),LEFT('Main Project Raw Data'!G69,FIND("/",'Main Project Raw Data'!G69)-1),MID('Main Project Raw Data'!G69,FIND("/",'Main Project Raw Data'!G69)+1,2)),DATE(RIGHT('Main Project Raw Data'!G69,4),MID('Main Project Raw Data'!G69,4,2),LEFT('Main Project Raw Data'!G69,2))))</f>
        <v>44891</v>
      </c>
      <c r="H69" s="3">
        <f>IF(Table1[[#This Row],[Salary]]="",AVERAGE(Table1[Salary]),Table1[[#This Row],[Salary]])</f>
        <v>82518.490000000005</v>
      </c>
      <c r="I69" s="3" t="s">
        <v>123</v>
      </c>
      <c r="J69" s="3">
        <f>ABS(Table1[[#This Row],[Phone]])</f>
        <v>5562606028</v>
      </c>
      <c r="K69" s="3" t="str">
        <f>PROPER(TRIM(Table1[[#This Row],[Performance_Score]]))</f>
        <v>Poor</v>
      </c>
      <c r="L69" s="3" t="b">
        <f>Table1[[#This Row],[Remote_Work]]</f>
        <v>1</v>
      </c>
      <c r="M69" s="3" t="str">
        <f>PROPER(CONCATENATE(Table13[[#This Row],[First_Name]], Table13[[#This Row],[Last_Name]]))</f>
        <v>Bobsmith</v>
      </c>
      <c r="N69" s="3" t="str">
        <f t="shared" si="1"/>
        <v>Nov</v>
      </c>
      <c r="O69" s="3" t="str">
        <f>TEXT(Table13[[#This Row],[Join_Date]],"yyyy")</f>
        <v>2022</v>
      </c>
      <c r="P69" s="3" t="str">
        <f>LEFT('Main Project Raw Data'!E69,FIND("-",'Main Project Raw Data'!E69)-1)</f>
        <v>Admin</v>
      </c>
      <c r="Q69" s="3" t="str">
        <f>RIGHT('Main Project Raw Data'!E69,LEN('Main Project Raw Data'!E69)-FIND("-",'Main Project Raw Data'!E69))</f>
        <v>New York</v>
      </c>
    </row>
    <row r="70" spans="1:17" x14ac:dyDescent="0.3">
      <c r="A70" s="3" t="str">
        <f>TRIM(Table1[[#This Row],[Employee_ID]])</f>
        <v>EMP1068</v>
      </c>
      <c r="B70" s="3" t="str">
        <f>TRIM(Table1[[#This Row],[First_Name]])</f>
        <v>Bob</v>
      </c>
      <c r="C70" s="3" t="str">
        <f>TRIM(Table1[[#This Row],[Last_Name]])</f>
        <v>Brown</v>
      </c>
      <c r="D70" s="3">
        <f>IF(Table1[[#This Row],[Age]]="",AVERAGE(Table1[Age]),Table1[[#This Row],[Age]])</f>
        <v>40</v>
      </c>
      <c r="E70" s="3" t="s">
        <v>205</v>
      </c>
      <c r="F70" s="3" t="s">
        <v>28</v>
      </c>
      <c r="G70" s="5">
        <f>IF(ISNUMBER('Main Project Raw Data'!G70),'Main Project Raw Data'!G70,IF(ISNUMBER(SEARCH("/",'Main Project Raw Data'!G70)),DATE(RIGHT('Main Project Raw Data'!G70,4),LEFT('Main Project Raw Data'!G70,FIND("/",'Main Project Raw Data'!G70)-1),MID('Main Project Raw Data'!G70,FIND("/",'Main Project Raw Data'!G70)+1,2)),DATE(RIGHT('Main Project Raw Data'!G70,4),MID('Main Project Raw Data'!G70,4,2),LEFT('Main Project Raw Data'!G70,2))))</f>
        <v>44918</v>
      </c>
      <c r="H70" s="3">
        <f>IF(Table1[[#This Row],[Salary]]="",AVERAGE(Table1[Salary]),Table1[[#This Row],[Salary]])</f>
        <v>119152.47</v>
      </c>
      <c r="I70" s="3" t="s">
        <v>22</v>
      </c>
      <c r="J70" s="3">
        <f>ABS(Table1[[#This Row],[Phone]])</f>
        <v>846684549</v>
      </c>
      <c r="K70" s="3" t="str">
        <f>PROPER(TRIM(Table1[[#This Row],[Performance_Score]]))</f>
        <v>Poor</v>
      </c>
      <c r="L70" s="3" t="b">
        <f>Table1[[#This Row],[Remote_Work]]</f>
        <v>1</v>
      </c>
      <c r="M70" s="3" t="str">
        <f>PROPER(CONCATENATE(Table13[[#This Row],[First_Name]], Table13[[#This Row],[Last_Name]]))</f>
        <v>Bobbrown</v>
      </c>
      <c r="N70" s="3" t="str">
        <f t="shared" si="1"/>
        <v>Dec</v>
      </c>
      <c r="O70" s="3" t="str">
        <f>TEXT(Table13[[#This Row],[Join_Date]],"yyyy")</f>
        <v>2022</v>
      </c>
      <c r="P70" s="3" t="str">
        <f>LEFT('Main Project Raw Data'!E70,FIND("-",'Main Project Raw Data'!E70)-1)</f>
        <v>Admin</v>
      </c>
      <c r="Q70" s="3" t="str">
        <f>RIGHT('Main Project Raw Data'!E70,LEN('Main Project Raw Data'!E70)-FIND("-",'Main Project Raw Data'!E70))</f>
        <v>Florida</v>
      </c>
    </row>
    <row r="71" spans="1:17" x14ac:dyDescent="0.3">
      <c r="A71" s="3" t="str">
        <f>TRIM(Table1[[#This Row],[Employee_ID]])</f>
        <v>EMP1069</v>
      </c>
      <c r="B71" s="3" t="str">
        <f>TRIM(Table1[[#This Row],[First_Name]])</f>
        <v>Heidi</v>
      </c>
      <c r="C71" s="3" t="str">
        <f>TRIM(Table1[[#This Row],[Last_Name]])</f>
        <v>Miller</v>
      </c>
      <c r="D71" s="3">
        <f>IF(Table1[[#This Row],[Age]]="",AVERAGE(Table1[Age]),Table1[[#This Row],[Age]])</f>
        <v>32.484548825710753</v>
      </c>
      <c r="E71" s="3" t="s">
        <v>78</v>
      </c>
      <c r="F71" s="3" t="s">
        <v>33</v>
      </c>
      <c r="G71" s="5">
        <f>IF(ISNUMBER('Main Project Raw Data'!G71),'Main Project Raw Data'!G71,IF(ISNUMBER(SEARCH("/",'Main Project Raw Data'!G71)),DATE(RIGHT('Main Project Raw Data'!G71,4),LEFT('Main Project Raw Data'!G71,FIND("/",'Main Project Raw Data'!G71)-1),MID('Main Project Raw Data'!G71,FIND("/",'Main Project Raw Data'!G71)+1,2)),DATE(RIGHT('Main Project Raw Data'!G71,4),MID('Main Project Raw Data'!G71,4,2),LEFT('Main Project Raw Data'!G71,2))))</f>
        <v>45532</v>
      </c>
      <c r="H71" s="3">
        <f>IF(Table1[[#This Row],[Salary]]="",AVERAGE(Table1[Salary]),Table1[[#This Row],[Salary]])</f>
        <v>113479.83</v>
      </c>
      <c r="I71" s="3" t="s">
        <v>130</v>
      </c>
      <c r="J71" s="3">
        <f>ABS(Table1[[#This Row],[Phone]])</f>
        <v>4892673898</v>
      </c>
      <c r="K71" s="3" t="str">
        <f>PROPER(TRIM(Table1[[#This Row],[Performance_Score]]))</f>
        <v>Good</v>
      </c>
      <c r="L71" s="3" t="b">
        <f>Table1[[#This Row],[Remote_Work]]</f>
        <v>0</v>
      </c>
      <c r="M71" s="3" t="str">
        <f>PROPER(CONCATENATE(Table13[[#This Row],[First_Name]], Table13[[#This Row],[Last_Name]]))</f>
        <v>Heidimiller</v>
      </c>
      <c r="N71" s="3" t="str">
        <f t="shared" si="1"/>
        <v>Aug</v>
      </c>
      <c r="O71" s="3" t="str">
        <f>TEXT(Table13[[#This Row],[Join_Date]],"yyyy")</f>
        <v>2024</v>
      </c>
      <c r="P71" s="3" t="str">
        <f>LEFT('Main Project Raw Data'!E71,FIND("-",'Main Project Raw Data'!E71)-1)</f>
        <v>DevOps</v>
      </c>
      <c r="Q71" s="3" t="str">
        <f>RIGHT('Main Project Raw Data'!E71,LEN('Main Project Raw Data'!E71)-FIND("-",'Main Project Raw Data'!E71))</f>
        <v>Illinois</v>
      </c>
    </row>
    <row r="72" spans="1:17" x14ac:dyDescent="0.3">
      <c r="A72" s="3" t="str">
        <f>TRIM(Table1[[#This Row],[Employee_ID]])</f>
        <v>EMP1070</v>
      </c>
      <c r="B72" s="3" t="str">
        <f>TRIM(Table1[[#This Row],[First_Name]])</f>
        <v>Charlie</v>
      </c>
      <c r="C72" s="3" t="str">
        <f>TRIM(Table1[[#This Row],[Last_Name]])</f>
        <v>Johnson</v>
      </c>
      <c r="D72" s="3">
        <f>IF(Table1[[#This Row],[Age]]="",AVERAGE(Table1[Age]),Table1[[#This Row],[Age]])</f>
        <v>40</v>
      </c>
      <c r="E72" s="3" t="s">
        <v>70</v>
      </c>
      <c r="F72" s="3" t="s">
        <v>16</v>
      </c>
      <c r="G72" s="5">
        <f>IF(ISNUMBER('Main Project Raw Data'!G72),'Main Project Raw Data'!G72,IF(ISNUMBER(SEARCH("/",'Main Project Raw Data'!G72)),DATE(RIGHT('Main Project Raw Data'!G72,4),LEFT('Main Project Raw Data'!G72,FIND("/",'Main Project Raw Data'!G72)-1),MID('Main Project Raw Data'!G72,FIND("/",'Main Project Raw Data'!G72)+1,2)),DATE(RIGHT('Main Project Raw Data'!G72,4),MID('Main Project Raw Data'!G72,4,2),LEFT('Main Project Raw Data'!G72,2))))</f>
        <v>45551</v>
      </c>
      <c r="H72" s="3">
        <f>IF(Table1[[#This Row],[Salary]]="",AVERAGE(Table1[Salary]),Table1[[#This Row],[Salary]])</f>
        <v>94636.3</v>
      </c>
      <c r="I72" s="3" t="s">
        <v>57</v>
      </c>
      <c r="J72" s="3">
        <f>ABS(Table1[[#This Row],[Phone]])</f>
        <v>7563410855</v>
      </c>
      <c r="K72" s="3" t="str">
        <f>PROPER(TRIM(Table1[[#This Row],[Performance_Score]]))</f>
        <v>Poor</v>
      </c>
      <c r="L72" s="3" t="b">
        <f>Table1[[#This Row],[Remote_Work]]</f>
        <v>0</v>
      </c>
      <c r="M72" s="3" t="str">
        <f>PROPER(CONCATENATE(Table13[[#This Row],[First_Name]], Table13[[#This Row],[Last_Name]]))</f>
        <v>Charliejohnson</v>
      </c>
      <c r="N72" s="3" t="str">
        <f t="shared" si="1"/>
        <v>Sep</v>
      </c>
      <c r="O72" s="3" t="str">
        <f>TEXT(Table13[[#This Row],[Join_Date]],"yyyy")</f>
        <v>2024</v>
      </c>
      <c r="P72" s="3" t="str">
        <f>LEFT('Main Project Raw Data'!E72,FIND("-",'Main Project Raw Data'!E72)-1)</f>
        <v>Finance</v>
      </c>
      <c r="Q72" s="3" t="str">
        <f>RIGHT('Main Project Raw Data'!E72,LEN('Main Project Raw Data'!E72)-FIND("-",'Main Project Raw Data'!E72))</f>
        <v>California</v>
      </c>
    </row>
    <row r="73" spans="1:17" x14ac:dyDescent="0.3">
      <c r="A73" s="3" t="str">
        <f>TRIM(Table1[[#This Row],[Employee_ID]])</f>
        <v>EMP1071</v>
      </c>
      <c r="B73" s="3" t="str">
        <f>TRIM(Table1[[#This Row],[First_Name]])</f>
        <v>Heidi</v>
      </c>
      <c r="C73" s="3" t="str">
        <f>TRIM(Table1[[#This Row],[Last_Name]])</f>
        <v>Johnson</v>
      </c>
      <c r="D73" s="3">
        <f>IF(Table1[[#This Row],[Age]]="",AVERAGE(Table1[Age]),Table1[[#This Row],[Age]])</f>
        <v>30</v>
      </c>
      <c r="E73" s="3" t="s">
        <v>212</v>
      </c>
      <c r="F73" s="3" t="s">
        <v>16</v>
      </c>
      <c r="G73" s="5">
        <f>IF(ISNUMBER('Main Project Raw Data'!G73),'Main Project Raw Data'!G73,IF(ISNUMBER(SEARCH("/",'Main Project Raw Data'!G73)),DATE(RIGHT('Main Project Raw Data'!G73,4),LEFT('Main Project Raw Data'!G73,FIND("/",'Main Project Raw Data'!G73)-1),MID('Main Project Raw Data'!G73,FIND("/",'Main Project Raw Data'!G73)+1,2)),DATE(RIGHT('Main Project Raw Data'!G73,4),MID('Main Project Raw Data'!G73,4,2),LEFT('Main Project Raw Data'!G73,2))))</f>
        <v>45292</v>
      </c>
      <c r="H73" s="3">
        <f>IF(Table1[[#This Row],[Salary]]="",AVERAGE(Table1[Salary]),Table1[[#This Row],[Salary]])</f>
        <v>70000.97</v>
      </c>
      <c r="I73" s="3" t="s">
        <v>113</v>
      </c>
      <c r="J73" s="3">
        <f>ABS(Table1[[#This Row],[Phone]])</f>
        <v>2884318847</v>
      </c>
      <c r="K73" s="3" t="str">
        <f>PROPER(TRIM(Table1[[#This Row],[Performance_Score]]))</f>
        <v>Average</v>
      </c>
      <c r="L73" s="3" t="b">
        <f>Table1[[#This Row],[Remote_Work]]</f>
        <v>1</v>
      </c>
      <c r="M73" s="3" t="str">
        <f>PROPER(CONCATENATE(Table13[[#This Row],[First_Name]], Table13[[#This Row],[Last_Name]]))</f>
        <v>Heidijohnson</v>
      </c>
      <c r="N73" s="3" t="str">
        <f t="shared" si="1"/>
        <v>Jan</v>
      </c>
      <c r="O73" s="3" t="str">
        <f>TEXT(Table13[[#This Row],[Join_Date]],"yyyy")</f>
        <v>2024</v>
      </c>
      <c r="P73" s="3" t="str">
        <f>LEFT('Main Project Raw Data'!E73,FIND("-",'Main Project Raw Data'!E73)-1)</f>
        <v>HR</v>
      </c>
      <c r="Q73" s="3" t="str">
        <f>RIGHT('Main Project Raw Data'!E73,LEN('Main Project Raw Data'!E73)-FIND("-",'Main Project Raw Data'!E73))</f>
        <v>Florida</v>
      </c>
    </row>
    <row r="74" spans="1:17" x14ac:dyDescent="0.3">
      <c r="A74" s="3" t="str">
        <f>TRIM(Table1[[#This Row],[Employee_ID]])</f>
        <v>EMP1072</v>
      </c>
      <c r="B74" s="3" t="str">
        <f>TRIM(Table1[[#This Row],[First_Name]])</f>
        <v>Frank</v>
      </c>
      <c r="C74" s="3" t="str">
        <f>TRIM(Table1[[#This Row],[Last_Name]])</f>
        <v>Smith</v>
      </c>
      <c r="D74" s="3">
        <f>IF(Table1[[#This Row],[Age]]="",AVERAGE(Table1[Age]),Table1[[#This Row],[Age]])</f>
        <v>32.484548825710753</v>
      </c>
      <c r="E74" s="3" t="s">
        <v>60</v>
      </c>
      <c r="F74" s="3" t="s">
        <v>16</v>
      </c>
      <c r="G74" s="5">
        <f>IF(ISNUMBER('Main Project Raw Data'!G74),'Main Project Raw Data'!G74,IF(ISNUMBER(SEARCH("/",'Main Project Raw Data'!G74)),DATE(RIGHT('Main Project Raw Data'!G74,4),LEFT('Main Project Raw Data'!G74,FIND("/",'Main Project Raw Data'!G74)-1),MID('Main Project Raw Data'!G74,FIND("/",'Main Project Raw Data'!G74)+1,2)),DATE(RIGHT('Main Project Raw Data'!G74,4),MID('Main Project Raw Data'!G74,4,2),LEFT('Main Project Raw Data'!G74,2))))</f>
        <v>44304</v>
      </c>
      <c r="H74" s="3">
        <f>IF(Table1[[#This Row],[Salary]]="",AVERAGE(Table1[Salary]),Table1[[#This Row],[Salary]])</f>
        <v>76812.47</v>
      </c>
      <c r="I74" s="3" t="s">
        <v>137</v>
      </c>
      <c r="J74" s="3">
        <f>ABS(Table1[[#This Row],[Phone]])</f>
        <v>5200894345</v>
      </c>
      <c r="K74" s="3" t="str">
        <f>PROPER(TRIM(Table1[[#This Row],[Performance_Score]]))</f>
        <v>Poor</v>
      </c>
      <c r="L74" s="3" t="b">
        <f>Table1[[#This Row],[Remote_Work]]</f>
        <v>0</v>
      </c>
      <c r="M74" s="3" t="str">
        <f>PROPER(CONCATENATE(Table13[[#This Row],[First_Name]], Table13[[#This Row],[Last_Name]]))</f>
        <v>Franksmith</v>
      </c>
      <c r="N74" s="3" t="str">
        <f t="shared" si="1"/>
        <v>Apr</v>
      </c>
      <c r="O74" s="3" t="str">
        <f>TEXT(Table13[[#This Row],[Join_Date]],"yyyy")</f>
        <v>2021</v>
      </c>
      <c r="P74" s="3" t="str">
        <f>LEFT('Main Project Raw Data'!E74,FIND("-",'Main Project Raw Data'!E74)-1)</f>
        <v>Cloud Tech</v>
      </c>
      <c r="Q74" s="3" t="str">
        <f>RIGHT('Main Project Raw Data'!E74,LEN('Main Project Raw Data'!E74)-FIND("-",'Main Project Raw Data'!E74))</f>
        <v>New York</v>
      </c>
    </row>
    <row r="75" spans="1:17" x14ac:dyDescent="0.3">
      <c r="A75" s="3" t="str">
        <f>TRIM(Table1[[#This Row],[Employee_ID]])</f>
        <v>EMP1073</v>
      </c>
      <c r="B75" s="3" t="str">
        <f>TRIM(Table1[[#This Row],[First_Name]])</f>
        <v>David</v>
      </c>
      <c r="C75" s="3" t="str">
        <f>TRIM(Table1[[#This Row],[Last_Name]])</f>
        <v>Johnson</v>
      </c>
      <c r="D75" s="3">
        <f>IF(Table1[[#This Row],[Age]]="",AVERAGE(Table1[Age]),Table1[[#This Row],[Age]])</f>
        <v>25</v>
      </c>
      <c r="E75" s="3" t="s">
        <v>112</v>
      </c>
      <c r="F75" s="3" t="s">
        <v>33</v>
      </c>
      <c r="G75" s="5">
        <f>IF(ISNUMBER('Main Project Raw Data'!G75),'Main Project Raw Data'!G75,IF(ISNUMBER(SEARCH("/",'Main Project Raw Data'!G75)),DATE(RIGHT('Main Project Raw Data'!G75,4),LEFT('Main Project Raw Data'!G75,FIND("/",'Main Project Raw Data'!G75)-1),MID('Main Project Raw Data'!G75,FIND("/",'Main Project Raw Data'!G75)+1,2)),DATE(RIGHT('Main Project Raw Data'!G75,4),MID('Main Project Raw Data'!G75,4,2),LEFT('Main Project Raw Data'!G75,2))))</f>
        <v>44942</v>
      </c>
      <c r="H75" s="3">
        <f>IF(Table1[[#This Row],[Salary]]="",AVERAGE(Table1[Salary]),Table1[[#This Row],[Salary]])</f>
        <v>82614.7</v>
      </c>
      <c r="I75" s="3" t="s">
        <v>217</v>
      </c>
      <c r="J75" s="3">
        <f>ABS(Table1[[#This Row],[Phone]])</f>
        <v>8105485100</v>
      </c>
      <c r="K75" s="3" t="str">
        <f>PROPER(TRIM(Table1[[#This Row],[Performance_Score]]))</f>
        <v>Average</v>
      </c>
      <c r="L75" s="3" t="b">
        <f>Table1[[#This Row],[Remote_Work]]</f>
        <v>1</v>
      </c>
      <c r="M75" s="3" t="str">
        <f>PROPER(CONCATENATE(Table13[[#This Row],[First_Name]], Table13[[#This Row],[Last_Name]]))</f>
        <v>Davidjohnson</v>
      </c>
      <c r="N75" s="3" t="str">
        <f t="shared" si="1"/>
        <v>Jan</v>
      </c>
      <c r="O75" s="3" t="str">
        <f>TEXT(Table13[[#This Row],[Join_Date]],"yyyy")</f>
        <v>2023</v>
      </c>
      <c r="P75" s="3" t="str">
        <f>LEFT('Main Project Raw Data'!E75,FIND("-",'Main Project Raw Data'!E75)-1)</f>
        <v>Finance</v>
      </c>
      <c r="Q75" s="3" t="str">
        <f>RIGHT('Main Project Raw Data'!E75,LEN('Main Project Raw Data'!E75)-FIND("-",'Main Project Raw Data'!E75))</f>
        <v>Florida</v>
      </c>
    </row>
    <row r="76" spans="1:17" x14ac:dyDescent="0.3">
      <c r="A76" s="3" t="str">
        <f>TRIM(Table1[[#This Row],[Employee_ID]])</f>
        <v>EMP1074</v>
      </c>
      <c r="B76" s="3" t="str">
        <f>TRIM(Table1[[#This Row],[First_Name]])</f>
        <v>Grace</v>
      </c>
      <c r="C76" s="3" t="str">
        <f>TRIM(Table1[[#This Row],[Last_Name]])</f>
        <v>Jones</v>
      </c>
      <c r="D76" s="3">
        <f>IF(Table1[[#This Row],[Age]]="",AVERAGE(Table1[Age]),Table1[[#This Row],[Age]])</f>
        <v>40</v>
      </c>
      <c r="E76" s="3" t="s">
        <v>219</v>
      </c>
      <c r="F76" s="3" t="s">
        <v>16</v>
      </c>
      <c r="G76" s="5">
        <f>IF(ISNUMBER('Main Project Raw Data'!G76),'Main Project Raw Data'!G76,IF(ISNUMBER(SEARCH("/",'Main Project Raw Data'!G76)),DATE(RIGHT('Main Project Raw Data'!G76,4),LEFT('Main Project Raw Data'!G76,FIND("/",'Main Project Raw Data'!G76)-1),MID('Main Project Raw Data'!G76,FIND("/",'Main Project Raw Data'!G76)+1,2)),DATE(RIGHT('Main Project Raw Data'!G76,4),MID('Main Project Raw Data'!G76,4,2),LEFT('Main Project Raw Data'!G76,2))))</f>
        <v>45585</v>
      </c>
      <c r="H76" s="3">
        <f>IF(Table1[[#This Row],[Salary]]="",AVERAGE(Table1[Salary]),Table1[[#This Row],[Salary]])</f>
        <v>111645.97</v>
      </c>
      <c r="I76" s="3" t="s">
        <v>76</v>
      </c>
      <c r="J76" s="3">
        <f>ABS(Table1[[#This Row],[Phone]])</f>
        <v>7490753997</v>
      </c>
      <c r="K76" s="3" t="str">
        <f>PROPER(TRIM(Table1[[#This Row],[Performance_Score]]))</f>
        <v>Good</v>
      </c>
      <c r="L76" s="3" t="b">
        <f>Table1[[#This Row],[Remote_Work]]</f>
        <v>1</v>
      </c>
      <c r="M76" s="3" t="str">
        <f>PROPER(CONCATENATE(Table13[[#This Row],[First_Name]], Table13[[#This Row],[Last_Name]]))</f>
        <v>Gracejones</v>
      </c>
      <c r="N76" s="3" t="str">
        <f t="shared" si="1"/>
        <v>Oct</v>
      </c>
      <c r="O76" s="3" t="str">
        <f>TEXT(Table13[[#This Row],[Join_Date]],"yyyy")</f>
        <v>2024</v>
      </c>
      <c r="P76" s="3" t="str">
        <f>LEFT('Main Project Raw Data'!E76,FIND("-",'Main Project Raw Data'!E76)-1)</f>
        <v>Sales</v>
      </c>
      <c r="Q76" s="3" t="str">
        <f>RIGHT('Main Project Raw Data'!E76,LEN('Main Project Raw Data'!E76)-FIND("-",'Main Project Raw Data'!E76))</f>
        <v>Nevada</v>
      </c>
    </row>
    <row r="77" spans="1:17" x14ac:dyDescent="0.3">
      <c r="A77" s="3" t="str">
        <f>TRIM(Table1[[#This Row],[Employee_ID]])</f>
        <v>EMP1075</v>
      </c>
      <c r="B77" s="3" t="str">
        <f>TRIM(Table1[[#This Row],[First_Name]])</f>
        <v>Heidi</v>
      </c>
      <c r="C77" s="3" t="str">
        <f>TRIM(Table1[[#This Row],[Last_Name]])</f>
        <v>Johnson</v>
      </c>
      <c r="D77" s="3">
        <f>IF(Table1[[#This Row],[Age]]="",AVERAGE(Table1[Age]),Table1[[#This Row],[Age]])</f>
        <v>25</v>
      </c>
      <c r="E77" s="3" t="s">
        <v>146</v>
      </c>
      <c r="F77" s="3" t="s">
        <v>33</v>
      </c>
      <c r="G77" s="5">
        <f>IF(ISNUMBER('Main Project Raw Data'!G77),'Main Project Raw Data'!G77,IF(ISNUMBER(SEARCH("/",'Main Project Raw Data'!G77)),DATE(RIGHT('Main Project Raw Data'!G77,4),LEFT('Main Project Raw Data'!G77,FIND("/",'Main Project Raw Data'!G77)-1),MID('Main Project Raw Data'!G77,FIND("/",'Main Project Raw Data'!G77)+1,2)),DATE(RIGHT('Main Project Raw Data'!G77,4),MID('Main Project Raw Data'!G77,4,2),LEFT('Main Project Raw Data'!G77,2))))</f>
        <v>45578</v>
      </c>
      <c r="H77" s="3">
        <f>IF(Table1[[#This Row],[Salary]]="",AVERAGE(Table1[Salary]),Table1[[#This Row],[Salary]])</f>
        <v>112414.91</v>
      </c>
      <c r="I77" s="3" t="s">
        <v>113</v>
      </c>
      <c r="J77" s="3">
        <f>ABS(Table1[[#This Row],[Phone]])</f>
        <v>9354492682</v>
      </c>
      <c r="K77" s="3" t="str">
        <f>PROPER(TRIM(Table1[[#This Row],[Performance_Score]]))</f>
        <v>Good</v>
      </c>
      <c r="L77" s="3" t="b">
        <f>Table1[[#This Row],[Remote_Work]]</f>
        <v>0</v>
      </c>
      <c r="M77" s="3" t="str">
        <f>PROPER(CONCATENATE(Table13[[#This Row],[First_Name]], Table13[[#This Row],[Last_Name]]))</f>
        <v>Heidijohnson</v>
      </c>
      <c r="N77" s="3" t="str">
        <f t="shared" si="1"/>
        <v>Oct</v>
      </c>
      <c r="O77" s="3" t="str">
        <f>TEXT(Table13[[#This Row],[Join_Date]],"yyyy")</f>
        <v>2024</v>
      </c>
      <c r="P77" s="3" t="str">
        <f>LEFT('Main Project Raw Data'!E77,FIND("-",'Main Project Raw Data'!E77)-1)</f>
        <v>HR</v>
      </c>
      <c r="Q77" s="3" t="str">
        <f>RIGHT('Main Project Raw Data'!E77,LEN('Main Project Raw Data'!E77)-FIND("-",'Main Project Raw Data'!E77))</f>
        <v>California</v>
      </c>
    </row>
    <row r="78" spans="1:17" x14ac:dyDescent="0.3">
      <c r="A78" s="3" t="str">
        <f>TRIM(Table1[[#This Row],[Employee_ID]])</f>
        <v>EMP1076</v>
      </c>
      <c r="B78" s="3" t="str">
        <f>TRIM(Table1[[#This Row],[First_Name]])</f>
        <v>David</v>
      </c>
      <c r="C78" s="3" t="str">
        <f>TRIM(Table1[[#This Row],[Last_Name]])</f>
        <v>Brown</v>
      </c>
      <c r="D78" s="3">
        <f>IF(Table1[[#This Row],[Age]]="",AVERAGE(Table1[Age]),Table1[[#This Row],[Age]])</f>
        <v>40</v>
      </c>
      <c r="E78" s="3" t="s">
        <v>118</v>
      </c>
      <c r="F78" s="3" t="s">
        <v>33</v>
      </c>
      <c r="G78" s="5">
        <f>IF(ISNUMBER('Main Project Raw Data'!G78),'Main Project Raw Data'!G78,IF(ISNUMBER(SEARCH("/",'Main Project Raw Data'!G78)),DATE(RIGHT('Main Project Raw Data'!G78,4),LEFT('Main Project Raw Data'!G78,FIND("/",'Main Project Raw Data'!G78)-1),MID('Main Project Raw Data'!G78,FIND("/",'Main Project Raw Data'!G78)+1,2)),DATE(RIGHT('Main Project Raw Data'!G78,4),MID('Main Project Raw Data'!G78,4,2),LEFT('Main Project Raw Data'!G78,2))))</f>
        <v>44825</v>
      </c>
      <c r="H78" s="3">
        <f>IF(Table1[[#This Row],[Salary]]="",AVERAGE(Table1[Salary]),Table1[[#This Row],[Salary]])</f>
        <v>52031.74</v>
      </c>
      <c r="I78" s="3" t="s">
        <v>225</v>
      </c>
      <c r="J78" s="3">
        <f>ABS(Table1[[#This Row],[Phone]])</f>
        <v>1589357125</v>
      </c>
      <c r="K78" s="3" t="str">
        <f>PROPER(TRIM(Table1[[#This Row],[Performance_Score]]))</f>
        <v>Good</v>
      </c>
      <c r="L78" s="3" t="b">
        <f>Table1[[#This Row],[Remote_Work]]</f>
        <v>1</v>
      </c>
      <c r="M78" s="3" t="str">
        <f>PROPER(CONCATENATE(Table13[[#This Row],[First_Name]], Table13[[#This Row],[Last_Name]]))</f>
        <v>Davidbrown</v>
      </c>
      <c r="N78" s="3" t="str">
        <f t="shared" si="1"/>
        <v>Sep</v>
      </c>
      <c r="O78" s="3" t="str">
        <f>TEXT(Table13[[#This Row],[Join_Date]],"yyyy")</f>
        <v>2022</v>
      </c>
      <c r="P78" s="3" t="str">
        <f>LEFT('Main Project Raw Data'!E78,FIND("-",'Main Project Raw Data'!E78)-1)</f>
        <v>Admin</v>
      </c>
      <c r="Q78" s="3" t="str">
        <f>RIGHT('Main Project Raw Data'!E78,LEN('Main Project Raw Data'!E78)-FIND("-",'Main Project Raw Data'!E78))</f>
        <v>California</v>
      </c>
    </row>
    <row r="79" spans="1:17" x14ac:dyDescent="0.3">
      <c r="A79" s="3" t="str">
        <f>TRIM(Table1[[#This Row],[Employee_ID]])</f>
        <v>EMP1077</v>
      </c>
      <c r="B79" s="3" t="str">
        <f>TRIM(Table1[[#This Row],[First_Name]])</f>
        <v>Grace</v>
      </c>
      <c r="C79" s="3" t="str">
        <f>TRIM(Table1[[#This Row],[Last_Name]])</f>
        <v>Brown</v>
      </c>
      <c r="D79" s="3">
        <f>IF(Table1[[#This Row],[Age]]="",AVERAGE(Table1[Age]),Table1[[#This Row],[Age]])</f>
        <v>30</v>
      </c>
      <c r="E79" s="3" t="s">
        <v>227</v>
      </c>
      <c r="F79" s="3" t="s">
        <v>28</v>
      </c>
      <c r="G79" s="5">
        <f>IF(ISNUMBER('Main Project Raw Data'!G79),'Main Project Raw Data'!G79,IF(ISNUMBER(SEARCH("/",'Main Project Raw Data'!G79)),DATE(RIGHT('Main Project Raw Data'!G79,4),LEFT('Main Project Raw Data'!G79,FIND("/",'Main Project Raw Data'!G79)-1),MID('Main Project Raw Data'!G79,FIND("/",'Main Project Raw Data'!G79)+1,2)),DATE(RIGHT('Main Project Raw Data'!G79,4),MID('Main Project Raw Data'!G79,4,2),LEFT('Main Project Raw Data'!G79,2))))</f>
        <v>44924</v>
      </c>
      <c r="H79" s="3">
        <f>IF(Table1[[#This Row],[Salary]]="",AVERAGE(Table1[Salary]),Table1[[#This Row],[Salary]])</f>
        <v>51887.65</v>
      </c>
      <c r="I79" s="3" t="s">
        <v>201</v>
      </c>
      <c r="J79" s="3">
        <f>ABS(Table1[[#This Row],[Phone]])</f>
        <v>6110627370</v>
      </c>
      <c r="K79" s="3" t="str">
        <f>PROPER(TRIM(Table1[[#This Row],[Performance_Score]]))</f>
        <v>Good</v>
      </c>
      <c r="L79" s="3" t="b">
        <f>Table1[[#This Row],[Remote_Work]]</f>
        <v>0</v>
      </c>
      <c r="M79" s="3" t="str">
        <f>PROPER(CONCATENATE(Table13[[#This Row],[First_Name]], Table13[[#This Row],[Last_Name]]))</f>
        <v>Gracebrown</v>
      </c>
      <c r="N79" s="3" t="str">
        <f t="shared" si="1"/>
        <v>Dec</v>
      </c>
      <c r="O79" s="3" t="str">
        <f>TEXT(Table13[[#This Row],[Join_Date]],"yyyy")</f>
        <v>2022</v>
      </c>
      <c r="P79" s="3" t="str">
        <f>LEFT('Main Project Raw Data'!E79,FIND("-",'Main Project Raw Data'!E79)-1)</f>
        <v>Finance</v>
      </c>
      <c r="Q79" s="3" t="str">
        <f>RIGHT('Main Project Raw Data'!E79,LEN('Main Project Raw Data'!E79)-FIND("-",'Main Project Raw Data'!E79))</f>
        <v>New York</v>
      </c>
    </row>
    <row r="80" spans="1:17" x14ac:dyDescent="0.3">
      <c r="A80" s="3" t="str">
        <f>TRIM(Table1[[#This Row],[Employee_ID]])</f>
        <v>EMP1078</v>
      </c>
      <c r="B80" s="3" t="str">
        <f>TRIM(Table1[[#This Row],[First_Name]])</f>
        <v>Alice</v>
      </c>
      <c r="C80" s="3" t="str">
        <f>TRIM(Table1[[#This Row],[Last_Name]])</f>
        <v>Davis</v>
      </c>
      <c r="D80" s="3">
        <f>IF(Table1[[#This Row],[Age]]="",AVERAGE(Table1[Age]),Table1[[#This Row],[Age]])</f>
        <v>25</v>
      </c>
      <c r="E80" s="3" t="s">
        <v>230</v>
      </c>
      <c r="F80" s="3" t="s">
        <v>16</v>
      </c>
      <c r="G80" s="5">
        <f>IF(ISNUMBER('Main Project Raw Data'!G80),'Main Project Raw Data'!G80,IF(ISNUMBER(SEARCH("/",'Main Project Raw Data'!G80)),DATE(RIGHT('Main Project Raw Data'!G80,4),LEFT('Main Project Raw Data'!G80,FIND("/",'Main Project Raw Data'!G80)-1),MID('Main Project Raw Data'!G80,FIND("/",'Main Project Raw Data'!G80)+1,2)),DATE(RIGHT('Main Project Raw Data'!G80,4),MID('Main Project Raw Data'!G80,4,2),LEFT('Main Project Raw Data'!G80,2))))</f>
        <v>45576</v>
      </c>
      <c r="H80" s="3">
        <f>IF(Table1[[#This Row],[Salary]]="",AVERAGE(Table1[Salary]),Table1[[#This Row],[Salary]])</f>
        <v>82318.89</v>
      </c>
      <c r="I80" s="3" t="s">
        <v>163</v>
      </c>
      <c r="J80" s="3">
        <f>ABS(Table1[[#This Row],[Phone]])</f>
        <v>5869886496</v>
      </c>
      <c r="K80" s="3" t="str">
        <f>PROPER(TRIM(Table1[[#This Row],[Performance_Score]]))</f>
        <v>Good</v>
      </c>
      <c r="L80" s="3" t="b">
        <f>Table1[[#This Row],[Remote_Work]]</f>
        <v>1</v>
      </c>
      <c r="M80" s="3" t="str">
        <f>PROPER(CONCATENATE(Table13[[#This Row],[First_Name]], Table13[[#This Row],[Last_Name]]))</f>
        <v>Alicedavis</v>
      </c>
      <c r="N80" s="3" t="str">
        <f t="shared" si="1"/>
        <v>Oct</v>
      </c>
      <c r="O80" s="3" t="str">
        <f>TEXT(Table13[[#This Row],[Join_Date]],"yyyy")</f>
        <v>2024</v>
      </c>
      <c r="P80" s="3" t="str">
        <f>LEFT('Main Project Raw Data'!E80,FIND("-",'Main Project Raw Data'!E80)-1)</f>
        <v>DevOps</v>
      </c>
      <c r="Q80" s="3" t="str">
        <f>RIGHT('Main Project Raw Data'!E80,LEN('Main Project Raw Data'!E80)-FIND("-",'Main Project Raw Data'!E80))</f>
        <v>Florida</v>
      </c>
    </row>
    <row r="81" spans="1:17" x14ac:dyDescent="0.3">
      <c r="A81" s="3" t="str">
        <f>TRIM(Table1[[#This Row],[Employee_ID]])</f>
        <v>EMP1079</v>
      </c>
      <c r="B81" s="3" t="str">
        <f>TRIM(Table1[[#This Row],[First_Name]])</f>
        <v>Grace</v>
      </c>
      <c r="C81" s="3" t="str">
        <f>TRIM(Table1[[#This Row],[Last_Name]])</f>
        <v>Brown</v>
      </c>
      <c r="D81" s="3">
        <f>IF(Table1[[#This Row],[Age]]="",AVERAGE(Table1[Age]),Table1[[#This Row],[Age]])</f>
        <v>35</v>
      </c>
      <c r="E81" s="3" t="s">
        <v>205</v>
      </c>
      <c r="F81" s="3" t="s">
        <v>33</v>
      </c>
      <c r="G81" s="5">
        <f>IF(ISNUMBER('Main Project Raw Data'!G81),'Main Project Raw Data'!G81,IF(ISNUMBER(SEARCH("/",'Main Project Raw Data'!G81)),DATE(RIGHT('Main Project Raw Data'!G81,4),LEFT('Main Project Raw Data'!G81,FIND("/",'Main Project Raw Data'!G81)-1),MID('Main Project Raw Data'!G81,FIND("/",'Main Project Raw Data'!G81)+1,2)),DATE(RIGHT('Main Project Raw Data'!G81,4),MID('Main Project Raw Data'!G81,4,2),LEFT('Main Project Raw Data'!G81,2))))</f>
        <v>44522</v>
      </c>
      <c r="H81" s="3">
        <f>IF(Table1[[#This Row],[Salary]]="",AVERAGE(Table1[Salary]),Table1[[#This Row],[Salary]])</f>
        <v>103286.08</v>
      </c>
      <c r="I81" s="3" t="s">
        <v>201</v>
      </c>
      <c r="J81" s="3">
        <f>ABS(Table1[[#This Row],[Phone]])</f>
        <v>6776228276</v>
      </c>
      <c r="K81" s="3" t="str">
        <f>PROPER(TRIM(Table1[[#This Row],[Performance_Score]]))</f>
        <v>Average</v>
      </c>
      <c r="L81" s="3" t="b">
        <f>Table1[[#This Row],[Remote_Work]]</f>
        <v>0</v>
      </c>
      <c r="M81" s="3" t="str">
        <f>PROPER(CONCATENATE(Table13[[#This Row],[First_Name]], Table13[[#This Row],[Last_Name]]))</f>
        <v>Gracebrown</v>
      </c>
      <c r="N81" s="3" t="str">
        <f t="shared" si="1"/>
        <v>Nov</v>
      </c>
      <c r="O81" s="3" t="str">
        <f>TEXT(Table13[[#This Row],[Join_Date]],"yyyy")</f>
        <v>2021</v>
      </c>
      <c r="P81" s="3" t="str">
        <f>LEFT('Main Project Raw Data'!E81,FIND("-",'Main Project Raw Data'!E81)-1)</f>
        <v>Admin</v>
      </c>
      <c r="Q81" s="3" t="str">
        <f>RIGHT('Main Project Raw Data'!E81,LEN('Main Project Raw Data'!E81)-FIND("-",'Main Project Raw Data'!E81))</f>
        <v>Florida</v>
      </c>
    </row>
    <row r="82" spans="1:17" x14ac:dyDescent="0.3">
      <c r="A82" s="3" t="str">
        <f>TRIM(Table1[[#This Row],[Employee_ID]])</f>
        <v>EMP1080</v>
      </c>
      <c r="B82" s="3" t="str">
        <f>TRIM(Table1[[#This Row],[First_Name]])</f>
        <v>Grace</v>
      </c>
      <c r="C82" s="3" t="str">
        <f>TRIM(Table1[[#This Row],[Last_Name]])</f>
        <v>Davis</v>
      </c>
      <c r="D82" s="3">
        <f>IF(Table1[[#This Row],[Age]]="",AVERAGE(Table1[Age]),Table1[[#This Row],[Age]])</f>
        <v>35</v>
      </c>
      <c r="E82" s="3" t="s">
        <v>39</v>
      </c>
      <c r="F82" s="3" t="s">
        <v>16</v>
      </c>
      <c r="G82" s="5">
        <f>IF(ISNUMBER('Main Project Raw Data'!G82),'Main Project Raw Data'!G82,IF(ISNUMBER(SEARCH("/",'Main Project Raw Data'!G82)),DATE(RIGHT('Main Project Raw Data'!G82,4),LEFT('Main Project Raw Data'!G82,FIND("/",'Main Project Raw Data'!G82)-1),MID('Main Project Raw Data'!G82,FIND("/",'Main Project Raw Data'!G82)+1,2)),DATE(RIGHT('Main Project Raw Data'!G82,4),MID('Main Project Raw Data'!G82,4,2),LEFT('Main Project Raw Data'!G82,2))))</f>
        <v>45365</v>
      </c>
      <c r="H82" s="3">
        <f>IF(Table1[[#This Row],[Salary]]="",AVERAGE(Table1[Salary]),Table1[[#This Row],[Salary]])</f>
        <v>87759.33</v>
      </c>
      <c r="I82" s="3" t="s">
        <v>235</v>
      </c>
      <c r="J82" s="3">
        <f>ABS(Table1[[#This Row],[Phone]])</f>
        <v>2881377027</v>
      </c>
      <c r="K82" s="3" t="str">
        <f>PROPER(TRIM(Table1[[#This Row],[Performance_Score]]))</f>
        <v>Average</v>
      </c>
      <c r="L82" s="3" t="b">
        <f>Table1[[#This Row],[Remote_Work]]</f>
        <v>0</v>
      </c>
      <c r="M82" s="3" t="str">
        <f>PROPER(CONCATENATE(Table13[[#This Row],[First_Name]], Table13[[#This Row],[Last_Name]]))</f>
        <v>Gracedavis</v>
      </c>
      <c r="N82" s="3" t="str">
        <f t="shared" si="1"/>
        <v>Mar</v>
      </c>
      <c r="O82" s="3" t="str">
        <f>TEXT(Table13[[#This Row],[Join_Date]],"yyyy")</f>
        <v>2024</v>
      </c>
      <c r="P82" s="3" t="str">
        <f>LEFT('Main Project Raw Data'!E82,FIND("-",'Main Project Raw Data'!E82)-1)</f>
        <v>Cloud Tech</v>
      </c>
      <c r="Q82" s="3" t="str">
        <f>RIGHT('Main Project Raw Data'!E82,LEN('Main Project Raw Data'!E82)-FIND("-",'Main Project Raw Data'!E82))</f>
        <v>Florida</v>
      </c>
    </row>
    <row r="83" spans="1:17" x14ac:dyDescent="0.3">
      <c r="A83" s="3" t="str">
        <f>TRIM(Table1[[#This Row],[Employee_ID]])</f>
        <v>EMP1081</v>
      </c>
      <c r="B83" s="3" t="str">
        <f>TRIM(Table1[[#This Row],[First_Name]])</f>
        <v>Frank</v>
      </c>
      <c r="C83" s="3" t="str">
        <f>TRIM(Table1[[#This Row],[Last_Name]])</f>
        <v>Brown</v>
      </c>
      <c r="D83" s="3">
        <f>IF(Table1[[#This Row],[Age]]="",AVERAGE(Table1[Age]),Table1[[#This Row],[Age]])</f>
        <v>30</v>
      </c>
      <c r="E83" s="3" t="s">
        <v>237</v>
      </c>
      <c r="F83" s="3" t="s">
        <v>28</v>
      </c>
      <c r="G83" s="5">
        <f>IF(ISNUMBER('Main Project Raw Data'!G83),'Main Project Raw Data'!G83,IF(ISNUMBER(SEARCH("/",'Main Project Raw Data'!G83)),DATE(RIGHT('Main Project Raw Data'!G83,4),LEFT('Main Project Raw Data'!G83,FIND("/",'Main Project Raw Data'!G83)-1),MID('Main Project Raw Data'!G83,FIND("/",'Main Project Raw Data'!G83)+1,2)),DATE(RIGHT('Main Project Raw Data'!G83,4),MID('Main Project Raw Data'!G83,4,2),LEFT('Main Project Raw Data'!G83,2))))</f>
        <v>43913</v>
      </c>
      <c r="H83" s="3">
        <f>IF(Table1[[#This Row],[Salary]]="",AVERAGE(Table1[Salary]),Table1[[#This Row],[Salary]])</f>
        <v>102796.32</v>
      </c>
      <c r="I83" s="3" t="s">
        <v>239</v>
      </c>
      <c r="J83" s="3">
        <f>ABS(Table1[[#This Row],[Phone]])</f>
        <v>5196115939</v>
      </c>
      <c r="K83" s="3" t="str">
        <f>PROPER(TRIM(Table1[[#This Row],[Performance_Score]]))</f>
        <v>Good</v>
      </c>
      <c r="L83" s="3" t="b">
        <f>Table1[[#This Row],[Remote_Work]]</f>
        <v>0</v>
      </c>
      <c r="M83" s="3" t="str">
        <f>PROPER(CONCATENATE(Table13[[#This Row],[First_Name]], Table13[[#This Row],[Last_Name]]))</f>
        <v>Frankbrown</v>
      </c>
      <c r="N83" s="3" t="str">
        <f t="shared" si="1"/>
        <v>Mar</v>
      </c>
      <c r="O83" s="3" t="str">
        <f>TEXT(Table13[[#This Row],[Join_Date]],"yyyy")</f>
        <v>2020</v>
      </c>
      <c r="P83" s="3" t="str">
        <f>LEFT('Main Project Raw Data'!E83,FIND("-",'Main Project Raw Data'!E83)-1)</f>
        <v>DevOps</v>
      </c>
      <c r="Q83" s="3" t="str">
        <f>RIGHT('Main Project Raw Data'!E83,LEN('Main Project Raw Data'!E83)-FIND("-",'Main Project Raw Data'!E83))</f>
        <v>Texas</v>
      </c>
    </row>
    <row r="84" spans="1:17" x14ac:dyDescent="0.3">
      <c r="A84" s="3" t="str">
        <f>TRIM(Table1[[#This Row],[Employee_ID]])</f>
        <v>EMP1082</v>
      </c>
      <c r="B84" s="3" t="str">
        <f>TRIM(Table1[[#This Row],[First_Name]])</f>
        <v>David</v>
      </c>
      <c r="C84" s="3" t="str">
        <f>TRIM(Table1[[#This Row],[Last_Name]])</f>
        <v>Jones</v>
      </c>
      <c r="D84" s="3">
        <f>IF(Table1[[#This Row],[Age]]="",AVERAGE(Table1[Age]),Table1[[#This Row],[Age]])</f>
        <v>25</v>
      </c>
      <c r="E84" s="3" t="s">
        <v>109</v>
      </c>
      <c r="F84" s="3" t="s">
        <v>16</v>
      </c>
      <c r="G84" s="5">
        <f>IF(ISNUMBER('Main Project Raw Data'!G84),'Main Project Raw Data'!G84,IF(ISNUMBER(SEARCH("/",'Main Project Raw Data'!G84)),DATE(RIGHT('Main Project Raw Data'!G84,4),LEFT('Main Project Raw Data'!G84,FIND("/",'Main Project Raw Data'!G84)-1),MID('Main Project Raw Data'!G84,FIND("/",'Main Project Raw Data'!G84)+1,2)),DATE(RIGHT('Main Project Raw Data'!G84,4),MID('Main Project Raw Data'!G84,4,2),LEFT('Main Project Raw Data'!G84,2))))</f>
        <v>44089</v>
      </c>
      <c r="H84" s="3">
        <f>IF(Table1[[#This Row],[Salary]]="",AVERAGE(Table1[Salary]),Table1[[#This Row],[Salary]])</f>
        <v>83149.27</v>
      </c>
      <c r="I84" s="3" t="s">
        <v>242</v>
      </c>
      <c r="J84" s="3">
        <f>ABS(Table1[[#This Row],[Phone]])</f>
        <v>8215454469</v>
      </c>
      <c r="K84" s="3" t="str">
        <f>PROPER(TRIM(Table1[[#This Row],[Performance_Score]]))</f>
        <v>Poor</v>
      </c>
      <c r="L84" s="3" t="b">
        <f>Table1[[#This Row],[Remote_Work]]</f>
        <v>1</v>
      </c>
      <c r="M84" s="3" t="str">
        <f>PROPER(CONCATENATE(Table13[[#This Row],[First_Name]], Table13[[#This Row],[Last_Name]]))</f>
        <v>Davidjones</v>
      </c>
      <c r="N84" s="3" t="str">
        <f t="shared" si="1"/>
        <v>Sep</v>
      </c>
      <c r="O84" s="3" t="str">
        <f>TEXT(Table13[[#This Row],[Join_Date]],"yyyy")</f>
        <v>2020</v>
      </c>
      <c r="P84" s="3" t="str">
        <f>LEFT('Main Project Raw Data'!E84,FIND("-",'Main Project Raw Data'!E84)-1)</f>
        <v>Sales</v>
      </c>
      <c r="Q84" s="3" t="str">
        <f>RIGHT('Main Project Raw Data'!E84,LEN('Main Project Raw Data'!E84)-FIND("-",'Main Project Raw Data'!E84))</f>
        <v>New York</v>
      </c>
    </row>
    <row r="85" spans="1:17" x14ac:dyDescent="0.3">
      <c r="A85" s="3" t="str">
        <f>TRIM(Table1[[#This Row],[Employee_ID]])</f>
        <v>EMP1083</v>
      </c>
      <c r="B85" s="3" t="str">
        <f>TRIM(Table1[[#This Row],[First_Name]])</f>
        <v>David</v>
      </c>
      <c r="C85" s="3" t="str">
        <f>TRIM(Table1[[#This Row],[Last_Name]])</f>
        <v>Garcia</v>
      </c>
      <c r="D85" s="3">
        <f>IF(Table1[[#This Row],[Age]]="",AVERAGE(Table1[Age]),Table1[[#This Row],[Age]])</f>
        <v>40</v>
      </c>
      <c r="E85" s="3" t="s">
        <v>15</v>
      </c>
      <c r="F85" s="3" t="s">
        <v>33</v>
      </c>
      <c r="G85" s="5">
        <f>IF(ISNUMBER('Main Project Raw Data'!G85),'Main Project Raw Data'!G85,IF(ISNUMBER(SEARCH("/",'Main Project Raw Data'!G85)),DATE(RIGHT('Main Project Raw Data'!G85,4),LEFT('Main Project Raw Data'!G85,FIND("/",'Main Project Raw Data'!G85)-1),MID('Main Project Raw Data'!G85,FIND("/",'Main Project Raw Data'!G85)+1,2)),DATE(RIGHT('Main Project Raw Data'!G85,4),MID('Main Project Raw Data'!G85,4,2),LEFT('Main Project Raw Data'!G85,2))))</f>
        <v>44086</v>
      </c>
      <c r="H85" s="3">
        <f>IF(Table1[[#This Row],[Salary]]="",AVERAGE(Table1[Salary]),Table1[[#This Row],[Salary]])</f>
        <v>92412.49</v>
      </c>
      <c r="I85" s="3" t="s">
        <v>101</v>
      </c>
      <c r="J85" s="3">
        <f>ABS(Table1[[#This Row],[Phone]])</f>
        <v>2296044326</v>
      </c>
      <c r="K85" s="3" t="str">
        <f>PROPER(TRIM(Table1[[#This Row],[Performance_Score]]))</f>
        <v>Excellent</v>
      </c>
      <c r="L85" s="3" t="b">
        <f>Table1[[#This Row],[Remote_Work]]</f>
        <v>1</v>
      </c>
      <c r="M85" s="3" t="str">
        <f>PROPER(CONCATENATE(Table13[[#This Row],[First_Name]], Table13[[#This Row],[Last_Name]]))</f>
        <v>Davidgarcia</v>
      </c>
      <c r="N85" s="3" t="str">
        <f t="shared" si="1"/>
        <v>Sep</v>
      </c>
      <c r="O85" s="3" t="str">
        <f>TEXT(Table13[[#This Row],[Join_Date]],"yyyy")</f>
        <v>2020</v>
      </c>
      <c r="P85" s="3" t="str">
        <f>LEFT('Main Project Raw Data'!E85,FIND("-",'Main Project Raw Data'!E85)-1)</f>
        <v>DevOps</v>
      </c>
      <c r="Q85" s="3" t="str">
        <f>RIGHT('Main Project Raw Data'!E85,LEN('Main Project Raw Data'!E85)-FIND("-",'Main Project Raw Data'!E85))</f>
        <v>California</v>
      </c>
    </row>
    <row r="86" spans="1:17" x14ac:dyDescent="0.3">
      <c r="A86" s="3" t="str">
        <f>TRIM(Table1[[#This Row],[Employee_ID]])</f>
        <v>EMP1084</v>
      </c>
      <c r="B86" s="3" t="str">
        <f>TRIM(Table1[[#This Row],[First_Name]])</f>
        <v>Bob</v>
      </c>
      <c r="C86" s="3" t="str">
        <f>TRIM(Table1[[#This Row],[Last_Name]])</f>
        <v>Davis</v>
      </c>
      <c r="D86" s="3">
        <f>IF(Table1[[#This Row],[Age]]="",AVERAGE(Table1[Age]),Table1[[#This Row],[Age]])</f>
        <v>30</v>
      </c>
      <c r="E86" s="3" t="s">
        <v>139</v>
      </c>
      <c r="F86" s="3" t="s">
        <v>28</v>
      </c>
      <c r="G86" s="5">
        <f>IF(ISNUMBER('Main Project Raw Data'!G86),'Main Project Raw Data'!G86,IF(ISNUMBER(SEARCH("/",'Main Project Raw Data'!G86)),DATE(RIGHT('Main Project Raw Data'!G86,4),LEFT('Main Project Raw Data'!G86,FIND("/",'Main Project Raw Data'!G86)-1),MID('Main Project Raw Data'!G86,FIND("/",'Main Project Raw Data'!G86)+1,2)),DATE(RIGHT('Main Project Raw Data'!G86,4),MID('Main Project Raw Data'!G86,4,2),LEFT('Main Project Raw Data'!G86,2))))</f>
        <v>43883</v>
      </c>
      <c r="H86" s="3">
        <f>IF(Table1[[#This Row],[Salary]]="",AVERAGE(Table1[Salary]),Table1[[#This Row],[Salary]])</f>
        <v>115022.1</v>
      </c>
      <c r="I86" s="3" t="s">
        <v>17</v>
      </c>
      <c r="J86" s="3">
        <f>ABS(Table1[[#This Row],[Phone]])</f>
        <v>185106793</v>
      </c>
      <c r="K86" s="3" t="str">
        <f>PROPER(TRIM(Table1[[#This Row],[Performance_Score]]))</f>
        <v>Good</v>
      </c>
      <c r="L86" s="3" t="b">
        <f>Table1[[#This Row],[Remote_Work]]</f>
        <v>0</v>
      </c>
      <c r="M86" s="3" t="str">
        <f>PROPER(CONCATENATE(Table13[[#This Row],[First_Name]], Table13[[#This Row],[Last_Name]]))</f>
        <v>Bobdavis</v>
      </c>
      <c r="N86" s="3" t="str">
        <f t="shared" si="1"/>
        <v>Feb</v>
      </c>
      <c r="O86" s="3" t="str">
        <f>TEXT(Table13[[#This Row],[Join_Date]],"yyyy")</f>
        <v>2020</v>
      </c>
      <c r="P86" s="3" t="str">
        <f>LEFT('Main Project Raw Data'!E86,FIND("-",'Main Project Raw Data'!E86)-1)</f>
        <v>HR</v>
      </c>
      <c r="Q86" s="3" t="str">
        <f>RIGHT('Main Project Raw Data'!E86,LEN('Main Project Raw Data'!E86)-FIND("-",'Main Project Raw Data'!E86))</f>
        <v>Texas</v>
      </c>
    </row>
    <row r="87" spans="1:17" x14ac:dyDescent="0.3">
      <c r="A87" s="3" t="str">
        <f>TRIM(Table1[[#This Row],[Employee_ID]])</f>
        <v>EMP1085</v>
      </c>
      <c r="B87" s="3" t="str">
        <f>TRIM(Table1[[#This Row],[First_Name]])</f>
        <v>Grace</v>
      </c>
      <c r="C87" s="3" t="str">
        <f>TRIM(Table1[[#This Row],[Last_Name]])</f>
        <v>Williams</v>
      </c>
      <c r="D87" s="3">
        <f>IF(Table1[[#This Row],[Age]]="",AVERAGE(Table1[Age]),Table1[[#This Row],[Age]])</f>
        <v>40</v>
      </c>
      <c r="E87" s="3" t="s">
        <v>56</v>
      </c>
      <c r="F87" s="3" t="s">
        <v>16</v>
      </c>
      <c r="G87" s="5">
        <f>IF(ISNUMBER('Main Project Raw Data'!G87),'Main Project Raw Data'!G87,IF(ISNUMBER(SEARCH("/",'Main Project Raw Data'!G87)),DATE(RIGHT('Main Project Raw Data'!G87,4),LEFT('Main Project Raw Data'!G87,FIND("/",'Main Project Raw Data'!G87)-1),MID('Main Project Raw Data'!G87,FIND("/",'Main Project Raw Data'!G87)+1,2)),DATE(RIGHT('Main Project Raw Data'!G87,4),MID('Main Project Raw Data'!G87,4,2),LEFT('Main Project Raw Data'!G87,2))))</f>
        <v>45043</v>
      </c>
      <c r="H87" s="3">
        <f>IF(Table1[[#This Row],[Salary]]="",AVERAGE(Table1[Salary]),Table1[[#This Row],[Salary]])</f>
        <v>98343.01</v>
      </c>
      <c r="I87" s="3" t="s">
        <v>71</v>
      </c>
      <c r="J87" s="3">
        <f>ABS(Table1[[#This Row],[Phone]])</f>
        <v>9756792286</v>
      </c>
      <c r="K87" s="3" t="str">
        <f>PROPER(TRIM(Table1[[#This Row],[Performance_Score]]))</f>
        <v>Poor</v>
      </c>
      <c r="L87" s="3" t="b">
        <f>Table1[[#This Row],[Remote_Work]]</f>
        <v>0</v>
      </c>
      <c r="M87" s="3" t="str">
        <f>PROPER(CONCATENATE(Table13[[#This Row],[First_Name]], Table13[[#This Row],[Last_Name]]))</f>
        <v>Gracewilliams</v>
      </c>
      <c r="N87" s="3" t="str">
        <f t="shared" si="1"/>
        <v>Apr</v>
      </c>
      <c r="O87" s="3" t="str">
        <f>TEXT(Table13[[#This Row],[Join_Date]],"yyyy")</f>
        <v>2023</v>
      </c>
      <c r="P87" s="3" t="str">
        <f>LEFT('Main Project Raw Data'!E87,FIND("-",'Main Project Raw Data'!E87)-1)</f>
        <v>DevOps</v>
      </c>
      <c r="Q87" s="3" t="str">
        <f>RIGHT('Main Project Raw Data'!E87,LEN('Main Project Raw Data'!E87)-FIND("-",'Main Project Raw Data'!E87))</f>
        <v>New York</v>
      </c>
    </row>
    <row r="88" spans="1:17" x14ac:dyDescent="0.3">
      <c r="A88" s="3" t="str">
        <f>TRIM(Table1[[#This Row],[Employee_ID]])</f>
        <v>EMP1086</v>
      </c>
      <c r="B88" s="3" t="str">
        <f>TRIM(Table1[[#This Row],[First_Name]])</f>
        <v>Bob</v>
      </c>
      <c r="C88" s="3" t="str">
        <f>TRIM(Table1[[#This Row],[Last_Name]])</f>
        <v>Miller</v>
      </c>
      <c r="D88" s="3">
        <f>IF(Table1[[#This Row],[Age]]="",AVERAGE(Table1[Age]),Table1[[#This Row],[Age]])</f>
        <v>35</v>
      </c>
      <c r="E88" s="3" t="s">
        <v>78</v>
      </c>
      <c r="F88" s="3" t="s">
        <v>16</v>
      </c>
      <c r="G88" s="5">
        <f>IF(ISNUMBER('Main Project Raw Data'!G88),'Main Project Raw Data'!G88,IF(ISNUMBER(SEARCH("/",'Main Project Raw Data'!G88)),DATE(RIGHT('Main Project Raw Data'!G88,4),LEFT('Main Project Raw Data'!G88,FIND("/",'Main Project Raw Data'!G88)-1),MID('Main Project Raw Data'!G88,FIND("/",'Main Project Raw Data'!G88)+1,2)),DATE(RIGHT('Main Project Raw Data'!G88,4),MID('Main Project Raw Data'!G88,4,2),LEFT('Main Project Raw Data'!G88,2))))</f>
        <v>45461</v>
      </c>
      <c r="H88" s="3">
        <f>IF(Table1[[#This Row],[Salary]]="",AVERAGE(Table1[Salary]),Table1[[#This Row],[Salary]])</f>
        <v>118869.1</v>
      </c>
      <c r="I88" s="3" t="s">
        <v>93</v>
      </c>
      <c r="J88" s="3">
        <f>ABS(Table1[[#This Row],[Phone]])</f>
        <v>7725199662</v>
      </c>
      <c r="K88" s="3" t="str">
        <f>PROPER(TRIM(Table1[[#This Row],[Performance_Score]]))</f>
        <v>Excellent</v>
      </c>
      <c r="L88" s="3" t="b">
        <f>Table1[[#This Row],[Remote_Work]]</f>
        <v>1</v>
      </c>
      <c r="M88" s="3" t="str">
        <f>PROPER(CONCATENATE(Table13[[#This Row],[First_Name]], Table13[[#This Row],[Last_Name]]))</f>
        <v>Bobmiller</v>
      </c>
      <c r="N88" s="3" t="str">
        <f t="shared" si="1"/>
        <v>Jun</v>
      </c>
      <c r="O88" s="3" t="str">
        <f>TEXT(Table13[[#This Row],[Join_Date]],"yyyy")</f>
        <v>2024</v>
      </c>
      <c r="P88" s="3" t="str">
        <f>LEFT('Main Project Raw Data'!E88,FIND("-",'Main Project Raw Data'!E88)-1)</f>
        <v>DevOps</v>
      </c>
      <c r="Q88" s="3" t="str">
        <f>RIGHT('Main Project Raw Data'!E88,LEN('Main Project Raw Data'!E88)-FIND("-",'Main Project Raw Data'!E88))</f>
        <v>Illinois</v>
      </c>
    </row>
    <row r="89" spans="1:17" x14ac:dyDescent="0.3">
      <c r="A89" s="3" t="str">
        <f>TRIM(Table1[[#This Row],[Employee_ID]])</f>
        <v>EMP1087</v>
      </c>
      <c r="B89" s="3" t="str">
        <f>TRIM(Table1[[#This Row],[First_Name]])</f>
        <v>Frank</v>
      </c>
      <c r="C89" s="3" t="str">
        <f>TRIM(Table1[[#This Row],[Last_Name]])</f>
        <v>Smith</v>
      </c>
      <c r="D89" s="3">
        <f>IF(Table1[[#This Row],[Age]]="",AVERAGE(Table1[Age]),Table1[[#This Row],[Age]])</f>
        <v>32.484548825710753</v>
      </c>
      <c r="E89" s="3" t="s">
        <v>100</v>
      </c>
      <c r="F89" s="3" t="s">
        <v>33</v>
      </c>
      <c r="G89" s="5">
        <f>IF(ISNUMBER('Main Project Raw Data'!G89),'Main Project Raw Data'!G89,IF(ISNUMBER(SEARCH("/",'Main Project Raw Data'!G89)),DATE(RIGHT('Main Project Raw Data'!G89,4),LEFT('Main Project Raw Data'!G89,FIND("/",'Main Project Raw Data'!G89)-1),MID('Main Project Raw Data'!G89,FIND("/",'Main Project Raw Data'!G89)+1,2)),DATE(RIGHT('Main Project Raw Data'!G89,4),MID('Main Project Raw Data'!G89,4,2),LEFT('Main Project Raw Data'!G89,2))))</f>
        <v>43972</v>
      </c>
      <c r="H89" s="3">
        <f>IF(Table1[[#This Row],[Salary]]="",AVERAGE(Table1[Salary]),Table1[[#This Row],[Salary]])</f>
        <v>85417.26</v>
      </c>
      <c r="I89" s="3" t="s">
        <v>137</v>
      </c>
      <c r="J89" s="3">
        <f>ABS(Table1[[#This Row],[Phone]])</f>
        <v>6580741208</v>
      </c>
      <c r="K89" s="3" t="str">
        <f>PROPER(TRIM(Table1[[#This Row],[Performance_Score]]))</f>
        <v>Good</v>
      </c>
      <c r="L89" s="3" t="b">
        <f>Table1[[#This Row],[Remote_Work]]</f>
        <v>1</v>
      </c>
      <c r="M89" s="3" t="str">
        <f>PROPER(CONCATENATE(Table13[[#This Row],[First_Name]], Table13[[#This Row],[Last_Name]]))</f>
        <v>Franksmith</v>
      </c>
      <c r="N89" s="3" t="str">
        <f t="shared" si="1"/>
        <v>May</v>
      </c>
      <c r="O89" s="3" t="str">
        <f>TEXT(Table13[[#This Row],[Join_Date]],"yyyy")</f>
        <v>2020</v>
      </c>
      <c r="P89" s="3" t="str">
        <f>LEFT('Main Project Raw Data'!E89,FIND("-",'Main Project Raw Data'!E89)-1)</f>
        <v>Finance</v>
      </c>
      <c r="Q89" s="3" t="str">
        <f>RIGHT('Main Project Raw Data'!E89,LEN('Main Project Raw Data'!E89)-FIND("-",'Main Project Raw Data'!E89))</f>
        <v>Nevada</v>
      </c>
    </row>
    <row r="90" spans="1:17" x14ac:dyDescent="0.3">
      <c r="A90" s="3" t="str">
        <f>TRIM(Table1[[#This Row],[Employee_ID]])</f>
        <v>EMP1088</v>
      </c>
      <c r="B90" s="3" t="str">
        <f>TRIM(Table1[[#This Row],[First_Name]])</f>
        <v>Grace</v>
      </c>
      <c r="C90" s="3" t="str">
        <f>TRIM(Table1[[#This Row],[Last_Name]])</f>
        <v>Brown</v>
      </c>
      <c r="D90" s="3">
        <f>IF(Table1[[#This Row],[Age]]="",AVERAGE(Table1[Age]),Table1[[#This Row],[Age]])</f>
        <v>40</v>
      </c>
      <c r="E90" s="3" t="s">
        <v>39</v>
      </c>
      <c r="F90" s="3" t="s">
        <v>33</v>
      </c>
      <c r="G90" s="5">
        <f>IF(ISNUMBER('Main Project Raw Data'!G90),'Main Project Raw Data'!G90,IF(ISNUMBER(SEARCH("/",'Main Project Raw Data'!G90)),DATE(RIGHT('Main Project Raw Data'!G90,4),LEFT('Main Project Raw Data'!G90,FIND("/",'Main Project Raw Data'!G90)-1),MID('Main Project Raw Data'!G90,FIND("/",'Main Project Raw Data'!G90)+1,2)),DATE(RIGHT('Main Project Raw Data'!G90,4),MID('Main Project Raw Data'!G90,4,2),LEFT('Main Project Raw Data'!G90,2))))</f>
        <v>45132</v>
      </c>
      <c r="H90" s="3">
        <f>IF(Table1[[#This Row],[Salary]]="",AVERAGE(Table1[Salary]),Table1[[#This Row],[Salary]])</f>
        <v>112410.25</v>
      </c>
      <c r="I90" s="3" t="s">
        <v>201</v>
      </c>
      <c r="J90" s="3">
        <f>ABS(Table1[[#This Row],[Phone]])</f>
        <v>4818139889</v>
      </c>
      <c r="K90" s="3" t="str">
        <f>PROPER(TRIM(Table1[[#This Row],[Performance_Score]]))</f>
        <v>Good</v>
      </c>
      <c r="L90" s="3" t="b">
        <f>Table1[[#This Row],[Remote_Work]]</f>
        <v>1</v>
      </c>
      <c r="M90" s="3" t="str">
        <f>PROPER(CONCATENATE(Table13[[#This Row],[First_Name]], Table13[[#This Row],[Last_Name]]))</f>
        <v>Gracebrown</v>
      </c>
      <c r="N90" s="3" t="str">
        <f t="shared" si="1"/>
        <v>Jul</v>
      </c>
      <c r="O90" s="3" t="str">
        <f>TEXT(Table13[[#This Row],[Join_Date]],"yyyy")</f>
        <v>2023</v>
      </c>
      <c r="P90" s="3" t="str">
        <f>LEFT('Main Project Raw Data'!E90,FIND("-",'Main Project Raw Data'!E90)-1)</f>
        <v>Cloud Tech</v>
      </c>
      <c r="Q90" s="3" t="str">
        <f>RIGHT('Main Project Raw Data'!E90,LEN('Main Project Raw Data'!E90)-FIND("-",'Main Project Raw Data'!E90))</f>
        <v>Florida</v>
      </c>
    </row>
    <row r="91" spans="1:17" x14ac:dyDescent="0.3">
      <c r="A91" s="3" t="str">
        <f>TRIM(Table1[[#This Row],[Employee_ID]])</f>
        <v>EMP1089</v>
      </c>
      <c r="B91" s="3" t="str">
        <f>TRIM(Table1[[#This Row],[First_Name]])</f>
        <v>Charlie</v>
      </c>
      <c r="C91" s="3" t="str">
        <f>TRIM(Table1[[#This Row],[Last_Name]])</f>
        <v>Johnson</v>
      </c>
      <c r="D91" s="3">
        <f>IF(Table1[[#This Row],[Age]]="",AVERAGE(Table1[Age]),Table1[[#This Row],[Age]])</f>
        <v>40</v>
      </c>
      <c r="E91" s="3" t="s">
        <v>27</v>
      </c>
      <c r="F91" s="3" t="s">
        <v>28</v>
      </c>
      <c r="G91" s="5">
        <f>IF(ISNUMBER('Main Project Raw Data'!G91),'Main Project Raw Data'!G91,IF(ISNUMBER(SEARCH("/",'Main Project Raw Data'!G91)),DATE(RIGHT('Main Project Raw Data'!G91,4),LEFT('Main Project Raw Data'!G91,FIND("/",'Main Project Raw Data'!G91)-1),MID('Main Project Raw Data'!G91,FIND("/",'Main Project Raw Data'!G91)+1,2)),DATE(RIGHT('Main Project Raw Data'!G91,4),MID('Main Project Raw Data'!G91,4,2),LEFT('Main Project Raw Data'!G91,2))))</f>
        <v>45163</v>
      </c>
      <c r="H91" s="3">
        <f>IF(Table1[[#This Row],[Salary]]="",AVERAGE(Table1[Salary]),Table1[[#This Row],[Salary]])</f>
        <v>68905.77</v>
      </c>
      <c r="I91" s="3" t="s">
        <v>57</v>
      </c>
      <c r="J91" s="3">
        <f>ABS(Table1[[#This Row],[Phone]])</f>
        <v>9837801819</v>
      </c>
      <c r="K91" s="3" t="str">
        <f>PROPER(TRIM(Table1[[#This Row],[Performance_Score]]))</f>
        <v>Average</v>
      </c>
      <c r="L91" s="3" t="b">
        <f>Table1[[#This Row],[Remote_Work]]</f>
        <v>0</v>
      </c>
      <c r="M91" s="3" t="str">
        <f>PROPER(CONCATENATE(Table13[[#This Row],[First_Name]], Table13[[#This Row],[Last_Name]]))</f>
        <v>Charliejohnson</v>
      </c>
      <c r="N91" s="3" t="str">
        <f t="shared" si="1"/>
        <v>Aug</v>
      </c>
      <c r="O91" s="3" t="str">
        <f>TEXT(Table13[[#This Row],[Join_Date]],"yyyy")</f>
        <v>2023</v>
      </c>
      <c r="P91" s="3" t="str">
        <f>LEFT('Main Project Raw Data'!E91,FIND("-",'Main Project Raw Data'!E91)-1)</f>
        <v>Admin</v>
      </c>
      <c r="Q91" s="3" t="str">
        <f>RIGHT('Main Project Raw Data'!E91,LEN('Main Project Raw Data'!E91)-FIND("-",'Main Project Raw Data'!E91))</f>
        <v>Nevada</v>
      </c>
    </row>
    <row r="92" spans="1:17" x14ac:dyDescent="0.3">
      <c r="A92" s="3" t="str">
        <f>TRIM(Table1[[#This Row],[Employee_ID]])</f>
        <v>EMP1090</v>
      </c>
      <c r="B92" s="3" t="str">
        <f>TRIM(Table1[[#This Row],[First_Name]])</f>
        <v>Heidi</v>
      </c>
      <c r="C92" s="3" t="str">
        <f>TRIM(Table1[[#This Row],[Last_Name]])</f>
        <v>Garcia</v>
      </c>
      <c r="D92" s="3">
        <f>IF(Table1[[#This Row],[Age]]="",AVERAGE(Table1[Age]),Table1[[#This Row],[Age]])</f>
        <v>40</v>
      </c>
      <c r="E92" s="3" t="s">
        <v>100</v>
      </c>
      <c r="F92" s="3" t="s">
        <v>28</v>
      </c>
      <c r="G92" s="5">
        <f>IF(ISNUMBER('Main Project Raw Data'!G92),'Main Project Raw Data'!G92,IF(ISNUMBER(SEARCH("/",'Main Project Raw Data'!G92)),DATE(RIGHT('Main Project Raw Data'!G92,4),LEFT('Main Project Raw Data'!G92,FIND("/",'Main Project Raw Data'!G92)-1),MID('Main Project Raw Data'!G92,FIND("/",'Main Project Raw Data'!G92)+1,2)),DATE(RIGHT('Main Project Raw Data'!G92,4),MID('Main Project Raw Data'!G92,4,2),LEFT('Main Project Raw Data'!G92,2))))</f>
        <v>44262</v>
      </c>
      <c r="H92" s="3">
        <f>IF(Table1[[#This Row],[Salary]]="",AVERAGE(Table1[Salary]),Table1[[#This Row],[Salary]])</f>
        <v>72561.320000000007</v>
      </c>
      <c r="I92" s="3" t="s">
        <v>257</v>
      </c>
      <c r="J92" s="3">
        <f>ABS(Table1[[#This Row],[Phone]])</f>
        <v>4339718955</v>
      </c>
      <c r="K92" s="3" t="str">
        <f>PROPER(TRIM(Table1[[#This Row],[Performance_Score]]))</f>
        <v>Excellent</v>
      </c>
      <c r="L92" s="3" t="b">
        <f>Table1[[#This Row],[Remote_Work]]</f>
        <v>1</v>
      </c>
      <c r="M92" s="3" t="str">
        <f>PROPER(CONCATENATE(Table13[[#This Row],[First_Name]], Table13[[#This Row],[Last_Name]]))</f>
        <v>Heidigarcia</v>
      </c>
      <c r="N92" s="3" t="str">
        <f t="shared" si="1"/>
        <v>Mar</v>
      </c>
      <c r="O92" s="3" t="str">
        <f>TEXT(Table13[[#This Row],[Join_Date]],"yyyy")</f>
        <v>2021</v>
      </c>
      <c r="P92" s="3" t="str">
        <f>LEFT('Main Project Raw Data'!E92,FIND("-",'Main Project Raw Data'!E92)-1)</f>
        <v>Finance</v>
      </c>
      <c r="Q92" s="3" t="str">
        <f>RIGHT('Main Project Raw Data'!E92,LEN('Main Project Raw Data'!E92)-FIND("-",'Main Project Raw Data'!E92))</f>
        <v>Nevada</v>
      </c>
    </row>
    <row r="93" spans="1:17" x14ac:dyDescent="0.3">
      <c r="A93" s="3" t="str">
        <f>TRIM(Table1[[#This Row],[Employee_ID]])</f>
        <v>EMP1091</v>
      </c>
      <c r="B93" s="3" t="str">
        <f>TRIM(Table1[[#This Row],[First_Name]])</f>
        <v>Bob</v>
      </c>
      <c r="C93" s="3" t="str">
        <f>TRIM(Table1[[#This Row],[Last_Name]])</f>
        <v>Brown</v>
      </c>
      <c r="D93" s="3">
        <f>IF(Table1[[#This Row],[Age]]="",AVERAGE(Table1[Age]),Table1[[#This Row],[Age]])</f>
        <v>35</v>
      </c>
      <c r="E93" s="3" t="s">
        <v>227</v>
      </c>
      <c r="F93" s="3" t="s">
        <v>33</v>
      </c>
      <c r="G93" s="5">
        <f>IF(ISNUMBER('Main Project Raw Data'!G93),'Main Project Raw Data'!G93,IF(ISNUMBER(SEARCH("/",'Main Project Raw Data'!G93)),DATE(RIGHT('Main Project Raw Data'!G93,4),LEFT('Main Project Raw Data'!G93,FIND("/",'Main Project Raw Data'!G93)-1),MID('Main Project Raw Data'!G93,FIND("/",'Main Project Raw Data'!G93)+1,2)),DATE(RIGHT('Main Project Raw Data'!G93,4),MID('Main Project Raw Data'!G93,4,2),LEFT('Main Project Raw Data'!G93,2))))</f>
        <v>44998</v>
      </c>
      <c r="H93" s="3">
        <f>IF(Table1[[#This Row],[Salary]]="",AVERAGE(Table1[Salary]),Table1[[#This Row],[Salary]])</f>
        <v>92723.22</v>
      </c>
      <c r="I93" s="3" t="s">
        <v>22</v>
      </c>
      <c r="J93" s="3">
        <f>ABS(Table1[[#This Row],[Phone]])</f>
        <v>9070562607</v>
      </c>
      <c r="K93" s="3" t="str">
        <f>PROPER(TRIM(Table1[[#This Row],[Performance_Score]]))</f>
        <v>Excellent</v>
      </c>
      <c r="L93" s="3" t="b">
        <f>Table1[[#This Row],[Remote_Work]]</f>
        <v>1</v>
      </c>
      <c r="M93" s="3" t="str">
        <f>PROPER(CONCATENATE(Table13[[#This Row],[First_Name]], Table13[[#This Row],[Last_Name]]))</f>
        <v>Bobbrown</v>
      </c>
      <c r="N93" s="3" t="str">
        <f t="shared" si="1"/>
        <v>Mar</v>
      </c>
      <c r="O93" s="3" t="str">
        <f>TEXT(Table13[[#This Row],[Join_Date]],"yyyy")</f>
        <v>2023</v>
      </c>
      <c r="P93" s="3" t="str">
        <f>LEFT('Main Project Raw Data'!E93,FIND("-",'Main Project Raw Data'!E93)-1)</f>
        <v>Finance</v>
      </c>
      <c r="Q93" s="3" t="str">
        <f>RIGHT('Main Project Raw Data'!E93,LEN('Main Project Raw Data'!E93)-FIND("-",'Main Project Raw Data'!E93))</f>
        <v>New York</v>
      </c>
    </row>
    <row r="94" spans="1:17" x14ac:dyDescent="0.3">
      <c r="A94" s="3" t="str">
        <f>TRIM(Table1[[#This Row],[Employee_ID]])</f>
        <v>EMP1092</v>
      </c>
      <c r="B94" s="3" t="str">
        <f>TRIM(Table1[[#This Row],[First_Name]])</f>
        <v>Alice</v>
      </c>
      <c r="C94" s="3" t="str">
        <f>TRIM(Table1[[#This Row],[Last_Name]])</f>
        <v>Johnson</v>
      </c>
      <c r="D94" s="3">
        <f>IF(Table1[[#This Row],[Age]]="",AVERAGE(Table1[Age]),Table1[[#This Row],[Age]])</f>
        <v>40</v>
      </c>
      <c r="E94" s="3" t="s">
        <v>66</v>
      </c>
      <c r="F94" s="3" t="s">
        <v>33</v>
      </c>
      <c r="G94" s="5">
        <f>IF(ISNUMBER('Main Project Raw Data'!G94),'Main Project Raw Data'!G94,IF(ISNUMBER(SEARCH("/",'Main Project Raw Data'!G94)),DATE(RIGHT('Main Project Raw Data'!G94,4),LEFT('Main Project Raw Data'!G94,FIND("/",'Main Project Raw Data'!G94)-1),MID('Main Project Raw Data'!G94,FIND("/",'Main Project Raw Data'!G94)+1,2)),DATE(RIGHT('Main Project Raw Data'!G94,4),MID('Main Project Raw Data'!G94,4,2),LEFT('Main Project Raw Data'!G94,2))))</f>
        <v>44472</v>
      </c>
      <c r="H94" s="3">
        <f>IF(Table1[[#This Row],[Salary]]="",AVERAGE(Table1[Salary]),Table1[[#This Row],[Salary]])</f>
        <v>74837.75</v>
      </c>
      <c r="I94" s="3" t="s">
        <v>150</v>
      </c>
      <c r="J94" s="3">
        <f>ABS(Table1[[#This Row],[Phone]])</f>
        <v>5641118241</v>
      </c>
      <c r="K94" s="3" t="str">
        <f>PROPER(TRIM(Table1[[#This Row],[Performance_Score]]))</f>
        <v>Poor</v>
      </c>
      <c r="L94" s="3" t="b">
        <f>Table1[[#This Row],[Remote_Work]]</f>
        <v>0</v>
      </c>
      <c r="M94" s="3" t="str">
        <f>PROPER(CONCATENATE(Table13[[#This Row],[First_Name]], Table13[[#This Row],[Last_Name]]))</f>
        <v>Alicejohnson</v>
      </c>
      <c r="N94" s="3" t="str">
        <f t="shared" si="1"/>
        <v>Oct</v>
      </c>
      <c r="O94" s="3" t="str">
        <f>TEXT(Table13[[#This Row],[Join_Date]],"yyyy")</f>
        <v>2021</v>
      </c>
      <c r="P94" s="3" t="str">
        <f>LEFT('Main Project Raw Data'!E94,FIND("-",'Main Project Raw Data'!E94)-1)</f>
        <v>HR</v>
      </c>
      <c r="Q94" s="3" t="str">
        <f>RIGHT('Main Project Raw Data'!E94,LEN('Main Project Raw Data'!E94)-FIND("-",'Main Project Raw Data'!E94))</f>
        <v>New York</v>
      </c>
    </row>
    <row r="95" spans="1:17" x14ac:dyDescent="0.3">
      <c r="A95" s="3" t="str">
        <f>TRIM(Table1[[#This Row],[Employee_ID]])</f>
        <v>EMP1093</v>
      </c>
      <c r="B95" s="3" t="str">
        <f>TRIM(Table1[[#This Row],[First_Name]])</f>
        <v>Eva</v>
      </c>
      <c r="C95" s="3" t="str">
        <f>TRIM(Table1[[#This Row],[Last_Name]])</f>
        <v>Miller</v>
      </c>
      <c r="D95" s="3">
        <f>IF(Table1[[#This Row],[Age]]="",AVERAGE(Table1[Age]),Table1[[#This Row],[Age]])</f>
        <v>32.484548825710753</v>
      </c>
      <c r="E95" s="3" t="s">
        <v>15</v>
      </c>
      <c r="F95" s="3" t="s">
        <v>28</v>
      </c>
      <c r="G95" s="5">
        <f>IF(ISNUMBER('Main Project Raw Data'!G95),'Main Project Raw Data'!G95,IF(ISNUMBER(SEARCH("/",'Main Project Raw Data'!G95)),DATE(RIGHT('Main Project Raw Data'!G95,4),LEFT('Main Project Raw Data'!G95,FIND("/",'Main Project Raw Data'!G95)-1),MID('Main Project Raw Data'!G95,FIND("/",'Main Project Raw Data'!G95)+1,2)),DATE(RIGHT('Main Project Raw Data'!G95,4),MID('Main Project Raw Data'!G95,4,2),LEFT('Main Project Raw Data'!G95,2))))</f>
        <v>43851</v>
      </c>
      <c r="H95" s="3">
        <f>IF(Table1[[#This Row],[Salary]]="",AVERAGE(Table1[Salary]),Table1[[#This Row],[Salary]])</f>
        <v>86163.91</v>
      </c>
      <c r="I95" s="3" t="s">
        <v>263</v>
      </c>
      <c r="J95" s="3">
        <f>ABS(Table1[[#This Row],[Phone]])</f>
        <v>2412462094</v>
      </c>
      <c r="K95" s="3" t="str">
        <f>PROPER(TRIM(Table1[[#This Row],[Performance_Score]]))</f>
        <v>Average</v>
      </c>
      <c r="L95" s="3" t="b">
        <f>Table1[[#This Row],[Remote_Work]]</f>
        <v>1</v>
      </c>
      <c r="M95" s="3" t="str">
        <f>PROPER(CONCATENATE(Table13[[#This Row],[First_Name]], Table13[[#This Row],[Last_Name]]))</f>
        <v>Evamiller</v>
      </c>
      <c r="N95" s="3" t="str">
        <f t="shared" si="1"/>
        <v>Jan</v>
      </c>
      <c r="O95" s="3" t="str">
        <f>TEXT(Table13[[#This Row],[Join_Date]],"yyyy")</f>
        <v>2020</v>
      </c>
      <c r="P95" s="3" t="str">
        <f>LEFT('Main Project Raw Data'!E95,FIND("-",'Main Project Raw Data'!E95)-1)</f>
        <v>DevOps</v>
      </c>
      <c r="Q95" s="3" t="str">
        <f>RIGHT('Main Project Raw Data'!E95,LEN('Main Project Raw Data'!E95)-FIND("-",'Main Project Raw Data'!E95))</f>
        <v>California</v>
      </c>
    </row>
    <row r="96" spans="1:17" x14ac:dyDescent="0.3">
      <c r="A96" s="3" t="str">
        <f>TRIM(Table1[[#This Row],[Employee_ID]])</f>
        <v>EMP1094</v>
      </c>
      <c r="B96" s="3" t="str">
        <f>TRIM(Table1[[#This Row],[First_Name]])</f>
        <v>David</v>
      </c>
      <c r="C96" s="3" t="str">
        <f>TRIM(Table1[[#This Row],[Last_Name]])</f>
        <v>Miller</v>
      </c>
      <c r="D96" s="3">
        <f>IF(Table1[[#This Row],[Age]]="",AVERAGE(Table1[Age]),Table1[[#This Row],[Age]])</f>
        <v>40</v>
      </c>
      <c r="E96" s="3" t="s">
        <v>265</v>
      </c>
      <c r="F96" s="3" t="s">
        <v>16</v>
      </c>
      <c r="G96" s="5">
        <f>IF(ISNUMBER('Main Project Raw Data'!G96),'Main Project Raw Data'!G96,IF(ISNUMBER(SEARCH("/",'Main Project Raw Data'!G96)),DATE(RIGHT('Main Project Raw Data'!G96,4),LEFT('Main Project Raw Data'!G96,FIND("/",'Main Project Raw Data'!G96)-1),MID('Main Project Raw Data'!G96,FIND("/",'Main Project Raw Data'!G96)+1,2)),DATE(RIGHT('Main Project Raw Data'!G96,4),MID('Main Project Raw Data'!G96,4,2),LEFT('Main Project Raw Data'!G96,2))))</f>
        <v>45245</v>
      </c>
      <c r="H96" s="3">
        <f>IF(Table1[[#This Row],[Salary]]="",AVERAGE(Table1[Salary]),Table1[[#This Row],[Salary]])</f>
        <v>83326.52</v>
      </c>
      <c r="I96" s="3" t="s">
        <v>107</v>
      </c>
      <c r="J96" s="3">
        <f>ABS(Table1[[#This Row],[Phone]])</f>
        <v>2004615264</v>
      </c>
      <c r="K96" s="3" t="str">
        <f>PROPER(TRIM(Table1[[#This Row],[Performance_Score]]))</f>
        <v>Average</v>
      </c>
      <c r="L96" s="3" t="b">
        <f>Table1[[#This Row],[Remote_Work]]</f>
        <v>1</v>
      </c>
      <c r="M96" s="3" t="str">
        <f>PROPER(CONCATENATE(Table13[[#This Row],[First_Name]], Table13[[#This Row],[Last_Name]]))</f>
        <v>Davidmiller</v>
      </c>
      <c r="N96" s="3" t="str">
        <f t="shared" si="1"/>
        <v>Nov</v>
      </c>
      <c r="O96" s="3" t="str">
        <f>TEXT(Table13[[#This Row],[Join_Date]],"yyyy")</f>
        <v>2023</v>
      </c>
      <c r="P96" s="3" t="str">
        <f>LEFT('Main Project Raw Data'!E96,FIND("-",'Main Project Raw Data'!E96)-1)</f>
        <v>Finance</v>
      </c>
      <c r="Q96" s="3" t="str">
        <f>RIGHT('Main Project Raw Data'!E96,LEN('Main Project Raw Data'!E96)-FIND("-",'Main Project Raw Data'!E96))</f>
        <v>Illinois</v>
      </c>
    </row>
    <row r="97" spans="1:17" x14ac:dyDescent="0.3">
      <c r="A97" s="3" t="str">
        <f>TRIM(Table1[[#This Row],[Employee_ID]])</f>
        <v>EMP1095</v>
      </c>
      <c r="B97" s="3" t="str">
        <f>TRIM(Table1[[#This Row],[First_Name]])</f>
        <v>Heidi</v>
      </c>
      <c r="C97" s="3" t="str">
        <f>TRIM(Table1[[#This Row],[Last_Name]])</f>
        <v>Miller</v>
      </c>
      <c r="D97" s="3">
        <f>IF(Table1[[#This Row],[Age]]="",AVERAGE(Table1[Age]),Table1[[#This Row],[Age]])</f>
        <v>25</v>
      </c>
      <c r="E97" s="3" t="s">
        <v>268</v>
      </c>
      <c r="F97" s="3" t="s">
        <v>16</v>
      </c>
      <c r="G97" s="5">
        <f>IF(ISNUMBER('Main Project Raw Data'!G97),'Main Project Raw Data'!G97,IF(ISNUMBER(SEARCH("/",'Main Project Raw Data'!G97)),DATE(RIGHT('Main Project Raw Data'!G97,4),LEFT('Main Project Raw Data'!G97,FIND("/",'Main Project Raw Data'!G97)-1),MID('Main Project Raw Data'!G97,FIND("/",'Main Project Raw Data'!G97)+1,2)),DATE(RIGHT('Main Project Raw Data'!G97,4),MID('Main Project Raw Data'!G97,4,2),LEFT('Main Project Raw Data'!G97,2))))</f>
        <v>44777</v>
      </c>
      <c r="H97" s="3">
        <f>IF(Table1[[#This Row],[Salary]]="",AVERAGE(Table1[Salary]),Table1[[#This Row],[Salary]])</f>
        <v>98425.1</v>
      </c>
      <c r="I97" s="3" t="s">
        <v>130</v>
      </c>
      <c r="J97" s="3">
        <f>ABS(Table1[[#This Row],[Phone]])</f>
        <v>4610339936</v>
      </c>
      <c r="K97" s="3" t="str">
        <f>PROPER(TRIM(Table1[[#This Row],[Performance_Score]]))</f>
        <v>Average</v>
      </c>
      <c r="L97" s="3" t="b">
        <f>Table1[[#This Row],[Remote_Work]]</f>
        <v>1</v>
      </c>
      <c r="M97" s="3" t="str">
        <f>PROPER(CONCATENATE(Table13[[#This Row],[First_Name]], Table13[[#This Row],[Last_Name]]))</f>
        <v>Heidimiller</v>
      </c>
      <c r="N97" s="3" t="str">
        <f t="shared" si="1"/>
        <v>Aug</v>
      </c>
      <c r="O97" s="3" t="str">
        <f>TEXT(Table13[[#This Row],[Join_Date]],"yyyy")</f>
        <v>2022</v>
      </c>
      <c r="P97" s="3" t="str">
        <f>LEFT('Main Project Raw Data'!E97,FIND("-",'Main Project Raw Data'!E97)-1)</f>
        <v>Cloud Tech</v>
      </c>
      <c r="Q97" s="3" t="str">
        <f>RIGHT('Main Project Raw Data'!E97,LEN('Main Project Raw Data'!E97)-FIND("-",'Main Project Raw Data'!E97))</f>
        <v>California</v>
      </c>
    </row>
    <row r="98" spans="1:17" x14ac:dyDescent="0.3">
      <c r="A98" s="3" t="str">
        <f>TRIM(Table1[[#This Row],[Employee_ID]])</f>
        <v>EMP1096</v>
      </c>
      <c r="B98" s="3" t="str">
        <f>TRIM(Table1[[#This Row],[First_Name]])</f>
        <v>Frank</v>
      </c>
      <c r="C98" s="3" t="str">
        <f>TRIM(Table1[[#This Row],[Last_Name]])</f>
        <v>Johnson</v>
      </c>
      <c r="D98" s="3">
        <f>IF(Table1[[#This Row],[Age]]="",AVERAGE(Table1[Age]),Table1[[#This Row],[Age]])</f>
        <v>40</v>
      </c>
      <c r="E98" s="3" t="s">
        <v>98</v>
      </c>
      <c r="F98" s="3" t="s">
        <v>33</v>
      </c>
      <c r="G98" s="5">
        <f>IF(ISNUMBER('Main Project Raw Data'!G98),'Main Project Raw Data'!G98,IF(ISNUMBER(SEARCH("/",'Main Project Raw Data'!G98)),DATE(RIGHT('Main Project Raw Data'!G98,4),LEFT('Main Project Raw Data'!G98,FIND("/",'Main Project Raw Data'!G98)-1),MID('Main Project Raw Data'!G98,FIND("/",'Main Project Raw Data'!G98)+1,2)),DATE(RIGHT('Main Project Raw Data'!G98,4),MID('Main Project Raw Data'!G98,4,2),LEFT('Main Project Raw Data'!G98,2))))</f>
        <v>44702</v>
      </c>
      <c r="H98" s="3">
        <f>IF(Table1[[#This Row],[Salary]]="",AVERAGE(Table1[Salary]),Table1[[#This Row],[Salary]])</f>
        <v>119764.2</v>
      </c>
      <c r="I98" s="3" t="s">
        <v>271</v>
      </c>
      <c r="J98" s="3">
        <f>ABS(Table1[[#This Row],[Phone]])</f>
        <v>8861405785</v>
      </c>
      <c r="K98" s="3" t="str">
        <f>PROPER(TRIM(Table1[[#This Row],[Performance_Score]]))</f>
        <v>Average</v>
      </c>
      <c r="L98" s="3" t="b">
        <f>Table1[[#This Row],[Remote_Work]]</f>
        <v>0</v>
      </c>
      <c r="M98" s="3" t="str">
        <f>PROPER(CONCATENATE(Table13[[#This Row],[First_Name]], Table13[[#This Row],[Last_Name]]))</f>
        <v>Frankjohnson</v>
      </c>
      <c r="N98" s="3" t="str">
        <f t="shared" si="1"/>
        <v>May</v>
      </c>
      <c r="O98" s="3" t="str">
        <f>TEXT(Table13[[#This Row],[Join_Date]],"yyyy")</f>
        <v>2022</v>
      </c>
      <c r="P98" s="3" t="str">
        <f>LEFT('Main Project Raw Data'!E98,FIND("-",'Main Project Raw Data'!E98)-1)</f>
        <v>Sales</v>
      </c>
      <c r="Q98" s="3" t="str">
        <f>RIGHT('Main Project Raw Data'!E98,LEN('Main Project Raw Data'!E98)-FIND("-",'Main Project Raw Data'!E98))</f>
        <v>Illinois</v>
      </c>
    </row>
    <row r="99" spans="1:17" x14ac:dyDescent="0.3">
      <c r="A99" s="3" t="str">
        <f>TRIM(Table1[[#This Row],[Employee_ID]])</f>
        <v>EMP1097</v>
      </c>
      <c r="B99" s="3" t="str">
        <f>TRIM(Table1[[#This Row],[First_Name]])</f>
        <v>Frank</v>
      </c>
      <c r="C99" s="3" t="str">
        <f>TRIM(Table1[[#This Row],[Last_Name]])</f>
        <v>Brown</v>
      </c>
      <c r="D99" s="3">
        <f>IF(Table1[[#This Row],[Age]]="",AVERAGE(Table1[Age]),Table1[[#This Row],[Age]])</f>
        <v>40</v>
      </c>
      <c r="E99" s="3" t="s">
        <v>146</v>
      </c>
      <c r="F99" s="3" t="s">
        <v>33</v>
      </c>
      <c r="G99" s="5">
        <f>IF(ISNUMBER('Main Project Raw Data'!G99),'Main Project Raw Data'!G99,IF(ISNUMBER(SEARCH("/",'Main Project Raw Data'!G99)),DATE(RIGHT('Main Project Raw Data'!G99,4),LEFT('Main Project Raw Data'!G99,FIND("/",'Main Project Raw Data'!G99)-1),MID('Main Project Raw Data'!G99,FIND("/",'Main Project Raw Data'!G99)+1,2)),DATE(RIGHT('Main Project Raw Data'!G99,4),MID('Main Project Raw Data'!G99,4,2),LEFT('Main Project Raw Data'!G99,2))))</f>
        <v>44303</v>
      </c>
      <c r="H99" s="3">
        <f>IF(Table1[[#This Row],[Salary]]="",AVERAGE(Table1[Salary]),Table1[[#This Row],[Salary]])</f>
        <v>58445.91</v>
      </c>
      <c r="I99" s="3" t="s">
        <v>239</v>
      </c>
      <c r="J99" s="3">
        <f>ABS(Table1[[#This Row],[Phone]])</f>
        <v>1706304890</v>
      </c>
      <c r="K99" s="3" t="str">
        <f>PROPER(TRIM(Table1[[#This Row],[Performance_Score]]))</f>
        <v>Excellent</v>
      </c>
      <c r="L99" s="3" t="b">
        <f>Table1[[#This Row],[Remote_Work]]</f>
        <v>0</v>
      </c>
      <c r="M99" s="3" t="str">
        <f>PROPER(CONCATENATE(Table13[[#This Row],[First_Name]], Table13[[#This Row],[Last_Name]]))</f>
        <v>Frankbrown</v>
      </c>
      <c r="N99" s="3" t="str">
        <f t="shared" si="1"/>
        <v>Apr</v>
      </c>
      <c r="O99" s="3" t="str">
        <f>TEXT(Table13[[#This Row],[Join_Date]],"yyyy")</f>
        <v>2021</v>
      </c>
      <c r="P99" s="3" t="str">
        <f>LEFT('Main Project Raw Data'!E99,FIND("-",'Main Project Raw Data'!E99)-1)</f>
        <v>HR</v>
      </c>
      <c r="Q99" s="3" t="str">
        <f>RIGHT('Main Project Raw Data'!E99,LEN('Main Project Raw Data'!E99)-FIND("-",'Main Project Raw Data'!E99))</f>
        <v>California</v>
      </c>
    </row>
    <row r="100" spans="1:17" x14ac:dyDescent="0.3">
      <c r="A100" s="3" t="str">
        <f>TRIM(Table1[[#This Row],[Employee_ID]])</f>
        <v>EMP1098</v>
      </c>
      <c r="B100" s="3" t="str">
        <f>TRIM(Table1[[#This Row],[First_Name]])</f>
        <v>Bob</v>
      </c>
      <c r="C100" s="3" t="str">
        <f>TRIM(Table1[[#This Row],[Last_Name]])</f>
        <v>Miller</v>
      </c>
      <c r="D100" s="3">
        <f>IF(Table1[[#This Row],[Age]]="",AVERAGE(Table1[Age]),Table1[[#This Row],[Age]])</f>
        <v>32.484548825710753</v>
      </c>
      <c r="E100" s="3" t="s">
        <v>56</v>
      </c>
      <c r="F100" s="3" t="s">
        <v>16</v>
      </c>
      <c r="G100" s="5">
        <f>IF(ISNUMBER('Main Project Raw Data'!G100),'Main Project Raw Data'!G100,IF(ISNUMBER(SEARCH("/",'Main Project Raw Data'!G100)),DATE(RIGHT('Main Project Raw Data'!G100,4),LEFT('Main Project Raw Data'!G100,FIND("/",'Main Project Raw Data'!G100)-1),MID('Main Project Raw Data'!G100,FIND("/",'Main Project Raw Data'!G100)+1,2)),DATE(RIGHT('Main Project Raw Data'!G100,4),MID('Main Project Raw Data'!G100,4,2),LEFT('Main Project Raw Data'!G100,2))))</f>
        <v>44274</v>
      </c>
      <c r="H100" s="3">
        <f>IF(Table1[[#This Row],[Salary]]="",AVERAGE(Table1[Salary]),Table1[[#This Row],[Salary]])</f>
        <v>101702.33</v>
      </c>
      <c r="I100" s="3" t="s">
        <v>93</v>
      </c>
      <c r="J100" s="3">
        <f>ABS(Table1[[#This Row],[Phone]])</f>
        <v>3824967182</v>
      </c>
      <c r="K100" s="3" t="str">
        <f>PROPER(TRIM(Table1[[#This Row],[Performance_Score]]))</f>
        <v>Excellent</v>
      </c>
      <c r="L100" s="3" t="b">
        <f>Table1[[#This Row],[Remote_Work]]</f>
        <v>0</v>
      </c>
      <c r="M100" s="3" t="str">
        <f>PROPER(CONCATENATE(Table13[[#This Row],[First_Name]], Table13[[#This Row],[Last_Name]]))</f>
        <v>Bobmiller</v>
      </c>
      <c r="N100" s="3" t="str">
        <f t="shared" si="1"/>
        <v>Mar</v>
      </c>
      <c r="O100" s="3" t="str">
        <f>TEXT(Table13[[#This Row],[Join_Date]],"yyyy")</f>
        <v>2021</v>
      </c>
      <c r="P100" s="3" t="str">
        <f>LEFT('Main Project Raw Data'!E100,FIND("-",'Main Project Raw Data'!E100)-1)</f>
        <v>DevOps</v>
      </c>
      <c r="Q100" s="3" t="str">
        <f>RIGHT('Main Project Raw Data'!E100,LEN('Main Project Raw Data'!E100)-FIND("-",'Main Project Raw Data'!E100))</f>
        <v>New York</v>
      </c>
    </row>
    <row r="101" spans="1:17" x14ac:dyDescent="0.3">
      <c r="A101" s="3" t="str">
        <f>TRIM(Table1[[#This Row],[Employee_ID]])</f>
        <v>EMP1099</v>
      </c>
      <c r="B101" s="3" t="str">
        <f>TRIM(Table1[[#This Row],[First_Name]])</f>
        <v>Eva</v>
      </c>
      <c r="C101" s="3" t="str">
        <f>TRIM(Table1[[#This Row],[Last_Name]])</f>
        <v>Jones</v>
      </c>
      <c r="D101" s="3">
        <f>IF(Table1[[#This Row],[Age]]="",AVERAGE(Table1[Age]),Table1[[#This Row],[Age]])</f>
        <v>25</v>
      </c>
      <c r="E101" s="3" t="s">
        <v>118</v>
      </c>
      <c r="F101" s="3" t="s">
        <v>16</v>
      </c>
      <c r="G101" s="5">
        <f>IF(ISNUMBER('Main Project Raw Data'!G101),'Main Project Raw Data'!G101,IF(ISNUMBER(SEARCH("/",'Main Project Raw Data'!G101)),DATE(RIGHT('Main Project Raw Data'!G101,4),LEFT('Main Project Raw Data'!G101,FIND("/",'Main Project Raw Data'!G101)-1),MID('Main Project Raw Data'!G101,FIND("/",'Main Project Raw Data'!G101)+1,2)),DATE(RIGHT('Main Project Raw Data'!G101,4),MID('Main Project Raw Data'!G101,4,2),LEFT('Main Project Raw Data'!G101,2))))</f>
        <v>44805</v>
      </c>
      <c r="H101" s="3">
        <f>IF(Table1[[#This Row],[Salary]]="",AVERAGE(Table1[Salary]),Table1[[#This Row],[Salary]])</f>
        <v>85155.056395582287</v>
      </c>
      <c r="I101" s="3" t="s">
        <v>277</v>
      </c>
      <c r="J101" s="3">
        <f>ABS(Table1[[#This Row],[Phone]])</f>
        <v>2582386869</v>
      </c>
      <c r="K101" s="3" t="str">
        <f>PROPER(TRIM(Table1[[#This Row],[Performance_Score]]))</f>
        <v>Good</v>
      </c>
      <c r="L101" s="3" t="b">
        <f>Table1[[#This Row],[Remote_Work]]</f>
        <v>0</v>
      </c>
      <c r="M101" s="3" t="str">
        <f>PROPER(CONCATENATE(Table13[[#This Row],[First_Name]], Table13[[#This Row],[Last_Name]]))</f>
        <v>Evajones</v>
      </c>
      <c r="N101" s="3" t="str">
        <f t="shared" si="1"/>
        <v>Sep</v>
      </c>
      <c r="O101" s="3" t="str">
        <f>TEXT(Table13[[#This Row],[Join_Date]],"yyyy")</f>
        <v>2022</v>
      </c>
      <c r="P101" s="3" t="str">
        <f>LEFT('Main Project Raw Data'!E101,FIND("-",'Main Project Raw Data'!E101)-1)</f>
        <v>Admin</v>
      </c>
      <c r="Q101" s="3" t="str">
        <f>RIGHT('Main Project Raw Data'!E101,LEN('Main Project Raw Data'!E101)-FIND("-",'Main Project Raw Data'!E101))</f>
        <v>California</v>
      </c>
    </row>
    <row r="102" spans="1:17" x14ac:dyDescent="0.3">
      <c r="A102" s="3" t="str">
        <f>TRIM(Table1[[#This Row],[Employee_ID]])</f>
        <v>EMP1100</v>
      </c>
      <c r="B102" s="3" t="str">
        <f>TRIM(Table1[[#This Row],[First_Name]])</f>
        <v>Charlie</v>
      </c>
      <c r="C102" s="3" t="str">
        <f>TRIM(Table1[[#This Row],[Last_Name]])</f>
        <v>Davis</v>
      </c>
      <c r="D102" s="3">
        <f>IF(Table1[[#This Row],[Age]]="",AVERAGE(Table1[Age]),Table1[[#This Row],[Age]])</f>
        <v>35</v>
      </c>
      <c r="E102" s="3" t="s">
        <v>159</v>
      </c>
      <c r="F102" s="3" t="s">
        <v>28</v>
      </c>
      <c r="G102" s="5">
        <f>IF(ISNUMBER('Main Project Raw Data'!G102),'Main Project Raw Data'!G102,IF(ISNUMBER(SEARCH("/",'Main Project Raw Data'!G102)),DATE(RIGHT('Main Project Raw Data'!G102,4),LEFT('Main Project Raw Data'!G102,FIND("/",'Main Project Raw Data'!G102)-1),MID('Main Project Raw Data'!G102,FIND("/",'Main Project Raw Data'!G102)+1,2)),DATE(RIGHT('Main Project Raw Data'!G102,4),MID('Main Project Raw Data'!G102,4,2),LEFT('Main Project Raw Data'!G102,2))))</f>
        <v>44429</v>
      </c>
      <c r="H102" s="3">
        <f>IF(Table1[[#This Row],[Salary]]="",AVERAGE(Table1[Salary]),Table1[[#This Row],[Salary]])</f>
        <v>98819.22</v>
      </c>
      <c r="I102" s="3" t="s">
        <v>170</v>
      </c>
      <c r="J102" s="3">
        <f>ABS(Table1[[#This Row],[Phone]])</f>
        <v>794200748</v>
      </c>
      <c r="K102" s="3" t="str">
        <f>PROPER(TRIM(Table1[[#This Row],[Performance_Score]]))</f>
        <v>Good</v>
      </c>
      <c r="L102" s="3" t="b">
        <f>Table1[[#This Row],[Remote_Work]]</f>
        <v>0</v>
      </c>
      <c r="M102" s="3" t="str">
        <f>PROPER(CONCATENATE(Table13[[#This Row],[First_Name]], Table13[[#This Row],[Last_Name]]))</f>
        <v>Charliedavis</v>
      </c>
      <c r="N102" s="3" t="str">
        <f t="shared" si="1"/>
        <v>Aug</v>
      </c>
      <c r="O102" s="3" t="str">
        <f>TEXT(Table13[[#This Row],[Join_Date]],"yyyy")</f>
        <v>2021</v>
      </c>
      <c r="P102" s="3" t="str">
        <f>LEFT('Main Project Raw Data'!E102,FIND("-",'Main Project Raw Data'!E102)-1)</f>
        <v>Cloud Tech</v>
      </c>
      <c r="Q102" s="3" t="str">
        <f>RIGHT('Main Project Raw Data'!E102,LEN('Main Project Raw Data'!E102)-FIND("-",'Main Project Raw Data'!E102))</f>
        <v>Texas</v>
      </c>
    </row>
    <row r="103" spans="1:17" x14ac:dyDescent="0.3">
      <c r="A103" s="3" t="str">
        <f>TRIM(Table1[[#This Row],[Employee_ID]])</f>
        <v>EMP1101</v>
      </c>
      <c r="B103" s="3" t="str">
        <f>TRIM(Table1[[#This Row],[First_Name]])</f>
        <v>Heidi</v>
      </c>
      <c r="C103" s="3" t="str">
        <f>TRIM(Table1[[#This Row],[Last_Name]])</f>
        <v>Johnson</v>
      </c>
      <c r="D103" s="3">
        <f>IF(Table1[[#This Row],[Age]]="",AVERAGE(Table1[Age]),Table1[[#This Row],[Age]])</f>
        <v>25</v>
      </c>
      <c r="E103" s="3" t="s">
        <v>95</v>
      </c>
      <c r="F103" s="3" t="s">
        <v>33</v>
      </c>
      <c r="G103" s="5">
        <f>IF(ISNUMBER('Main Project Raw Data'!G103),'Main Project Raw Data'!G103,IF(ISNUMBER(SEARCH("/",'Main Project Raw Data'!G103)),DATE(RIGHT('Main Project Raw Data'!G103,4),LEFT('Main Project Raw Data'!G103,FIND("/",'Main Project Raw Data'!G103)-1),MID('Main Project Raw Data'!G103,FIND("/",'Main Project Raw Data'!G103)+1,2)),DATE(RIGHT('Main Project Raw Data'!G103,4),MID('Main Project Raw Data'!G103,4,2),LEFT('Main Project Raw Data'!G103,2))))</f>
        <v>44792</v>
      </c>
      <c r="H103" s="3">
        <f>IF(Table1[[#This Row],[Salary]]="",AVERAGE(Table1[Salary]),Table1[[#This Row],[Salary]])</f>
        <v>83509.990000000005</v>
      </c>
      <c r="I103" s="3" t="s">
        <v>113</v>
      </c>
      <c r="J103" s="3">
        <f>ABS(Table1[[#This Row],[Phone]])</f>
        <v>4653984027</v>
      </c>
      <c r="K103" s="3" t="str">
        <f>PROPER(TRIM(Table1[[#This Row],[Performance_Score]]))</f>
        <v>Average</v>
      </c>
      <c r="L103" s="3" t="b">
        <f>Table1[[#This Row],[Remote_Work]]</f>
        <v>0</v>
      </c>
      <c r="M103" s="3" t="str">
        <f>PROPER(CONCATENATE(Table13[[#This Row],[First_Name]], Table13[[#This Row],[Last_Name]]))</f>
        <v>Heidijohnson</v>
      </c>
      <c r="N103" s="3" t="str">
        <f t="shared" si="1"/>
        <v>Aug</v>
      </c>
      <c r="O103" s="3" t="str">
        <f>TEXT(Table13[[#This Row],[Join_Date]],"yyyy")</f>
        <v>2022</v>
      </c>
      <c r="P103" s="3" t="str">
        <f>LEFT('Main Project Raw Data'!E103,FIND("-",'Main Project Raw Data'!E103)-1)</f>
        <v>Cloud Tech</v>
      </c>
      <c r="Q103" s="3" t="str">
        <f>RIGHT('Main Project Raw Data'!E103,LEN('Main Project Raw Data'!E103)-FIND("-",'Main Project Raw Data'!E103))</f>
        <v>Illinois</v>
      </c>
    </row>
    <row r="104" spans="1:17" x14ac:dyDescent="0.3">
      <c r="A104" s="3" t="str">
        <f>TRIM(Table1[[#This Row],[Employee_ID]])</f>
        <v>EMP1102</v>
      </c>
      <c r="B104" s="3" t="str">
        <f>TRIM(Table1[[#This Row],[First_Name]])</f>
        <v>Alice</v>
      </c>
      <c r="C104" s="3" t="str">
        <f>TRIM(Table1[[#This Row],[Last_Name]])</f>
        <v>Johnson</v>
      </c>
      <c r="D104" s="3">
        <f>IF(Table1[[#This Row],[Age]]="",AVERAGE(Table1[Age]),Table1[[#This Row],[Age]])</f>
        <v>35</v>
      </c>
      <c r="E104" s="3" t="s">
        <v>21</v>
      </c>
      <c r="F104" s="3" t="s">
        <v>16</v>
      </c>
      <c r="G104" s="5">
        <f>IF(ISNUMBER('Main Project Raw Data'!G104),'Main Project Raw Data'!G104,IF(ISNUMBER(SEARCH("/",'Main Project Raw Data'!G104)),DATE(RIGHT('Main Project Raw Data'!G104,4),LEFT('Main Project Raw Data'!G104,FIND("/",'Main Project Raw Data'!G104)-1),MID('Main Project Raw Data'!G104,FIND("/",'Main Project Raw Data'!G104)+1,2)),DATE(RIGHT('Main Project Raw Data'!G104,4),MID('Main Project Raw Data'!G104,4,2),LEFT('Main Project Raw Data'!G104,2))))</f>
        <v>44651</v>
      </c>
      <c r="H104" s="3">
        <f>IF(Table1[[#This Row],[Salary]]="",AVERAGE(Table1[Salary]),Table1[[#This Row],[Salary]])</f>
        <v>84422.26</v>
      </c>
      <c r="I104" s="3" t="s">
        <v>150</v>
      </c>
      <c r="J104" s="3">
        <f>ABS(Table1[[#This Row],[Phone]])</f>
        <v>9141612845</v>
      </c>
      <c r="K104" s="3" t="str">
        <f>PROPER(TRIM(Table1[[#This Row],[Performance_Score]]))</f>
        <v>Average</v>
      </c>
      <c r="L104" s="3" t="b">
        <f>Table1[[#This Row],[Remote_Work]]</f>
        <v>0</v>
      </c>
      <c r="M104" s="3" t="str">
        <f>PROPER(CONCATENATE(Table13[[#This Row],[First_Name]], Table13[[#This Row],[Last_Name]]))</f>
        <v>Alicejohnson</v>
      </c>
      <c r="N104" s="3" t="str">
        <f t="shared" si="1"/>
        <v>Mar</v>
      </c>
      <c r="O104" s="3" t="str">
        <f>TEXT(Table13[[#This Row],[Join_Date]],"yyyy")</f>
        <v>2022</v>
      </c>
      <c r="P104" s="3" t="str">
        <f>LEFT('Main Project Raw Data'!E104,FIND("-",'Main Project Raw Data'!E104)-1)</f>
        <v>Finance</v>
      </c>
      <c r="Q104" s="3" t="str">
        <f>RIGHT('Main Project Raw Data'!E104,LEN('Main Project Raw Data'!E104)-FIND("-",'Main Project Raw Data'!E104))</f>
        <v>Texas</v>
      </c>
    </row>
    <row r="105" spans="1:17" x14ac:dyDescent="0.3">
      <c r="A105" s="3" t="str">
        <f>TRIM(Table1[[#This Row],[Employee_ID]])</f>
        <v>EMP1103</v>
      </c>
      <c r="B105" s="3" t="str">
        <f>TRIM(Table1[[#This Row],[First_Name]])</f>
        <v>Alice</v>
      </c>
      <c r="C105" s="3" t="str">
        <f>TRIM(Table1[[#This Row],[Last_Name]])</f>
        <v>Brown</v>
      </c>
      <c r="D105" s="3">
        <f>IF(Table1[[#This Row],[Age]]="",AVERAGE(Table1[Age]),Table1[[#This Row],[Age]])</f>
        <v>30</v>
      </c>
      <c r="E105" s="3" t="s">
        <v>89</v>
      </c>
      <c r="F105" s="3" t="s">
        <v>33</v>
      </c>
      <c r="G105" s="5">
        <f>IF(ISNUMBER('Main Project Raw Data'!G105),'Main Project Raw Data'!G105,IF(ISNUMBER(SEARCH("/",'Main Project Raw Data'!G105)),DATE(RIGHT('Main Project Raw Data'!G105,4),LEFT('Main Project Raw Data'!G105,FIND("/",'Main Project Raw Data'!G105)-1),MID('Main Project Raw Data'!G105,FIND("/",'Main Project Raw Data'!G105)+1,2)),DATE(RIGHT('Main Project Raw Data'!G105,4),MID('Main Project Raw Data'!G105,4,2),LEFT('Main Project Raw Data'!G105,2))))</f>
        <v>44005</v>
      </c>
      <c r="H105" s="3">
        <f>IF(Table1[[#This Row],[Salary]]="",AVERAGE(Table1[Salary]),Table1[[#This Row],[Salary]])</f>
        <v>119574.27</v>
      </c>
      <c r="I105" s="3" t="s">
        <v>80</v>
      </c>
      <c r="J105" s="3">
        <f>ABS(Table1[[#This Row],[Phone]])</f>
        <v>3985547434</v>
      </c>
      <c r="K105" s="3" t="str">
        <f>PROPER(TRIM(Table1[[#This Row],[Performance_Score]]))</f>
        <v>Average</v>
      </c>
      <c r="L105" s="3" t="b">
        <f>Table1[[#This Row],[Remote_Work]]</f>
        <v>1</v>
      </c>
      <c r="M105" s="3" t="str">
        <f>PROPER(CONCATENATE(Table13[[#This Row],[First_Name]], Table13[[#This Row],[Last_Name]]))</f>
        <v>Alicebrown</v>
      </c>
      <c r="N105" s="3" t="str">
        <f t="shared" si="1"/>
        <v>Jun</v>
      </c>
      <c r="O105" s="3" t="str">
        <f>TEXT(Table13[[#This Row],[Join_Date]],"yyyy")</f>
        <v>2020</v>
      </c>
      <c r="P105" s="3" t="str">
        <f>LEFT('Main Project Raw Data'!E105,FIND("-",'Main Project Raw Data'!E105)-1)</f>
        <v>Admin</v>
      </c>
      <c r="Q105" s="3" t="str">
        <f>RIGHT('Main Project Raw Data'!E105,LEN('Main Project Raw Data'!E105)-FIND("-",'Main Project Raw Data'!E105))</f>
        <v>Illinois</v>
      </c>
    </row>
    <row r="106" spans="1:17" x14ac:dyDescent="0.3">
      <c r="A106" s="3" t="str">
        <f>TRIM(Table1[[#This Row],[Employee_ID]])</f>
        <v>EMP1104</v>
      </c>
      <c r="B106" s="3" t="str">
        <f>TRIM(Table1[[#This Row],[First_Name]])</f>
        <v>Grace</v>
      </c>
      <c r="C106" s="3" t="str">
        <f>TRIM(Table1[[#This Row],[Last_Name]])</f>
        <v>Johnson</v>
      </c>
      <c r="D106" s="3">
        <f>IF(Table1[[#This Row],[Age]]="",AVERAGE(Table1[Age]),Table1[[#This Row],[Age]])</f>
        <v>32.484548825710753</v>
      </c>
      <c r="E106" s="3" t="s">
        <v>98</v>
      </c>
      <c r="F106" s="3" t="s">
        <v>16</v>
      </c>
      <c r="G106" s="5">
        <f>IF(ISNUMBER('Main Project Raw Data'!G106),'Main Project Raw Data'!G106,IF(ISNUMBER(SEARCH("/",'Main Project Raw Data'!G106)),DATE(RIGHT('Main Project Raw Data'!G106,4),LEFT('Main Project Raw Data'!G106,FIND("/",'Main Project Raw Data'!G106)-1),MID('Main Project Raw Data'!G106,FIND("/",'Main Project Raw Data'!G106)+1,2)),DATE(RIGHT('Main Project Raw Data'!G106,4),MID('Main Project Raw Data'!G106,4,2),LEFT('Main Project Raw Data'!G106,2))))</f>
        <v>45478</v>
      </c>
      <c r="H106" s="3">
        <f>IF(Table1[[#This Row],[Salary]]="",AVERAGE(Table1[Salary]),Table1[[#This Row],[Salary]])</f>
        <v>86580.08</v>
      </c>
      <c r="I106" s="3" t="s">
        <v>127</v>
      </c>
      <c r="J106" s="3">
        <f>ABS(Table1[[#This Row],[Phone]])</f>
        <v>5379502096</v>
      </c>
      <c r="K106" s="3" t="str">
        <f>PROPER(TRIM(Table1[[#This Row],[Performance_Score]]))</f>
        <v>Good</v>
      </c>
      <c r="L106" s="3" t="b">
        <f>Table1[[#This Row],[Remote_Work]]</f>
        <v>1</v>
      </c>
      <c r="M106" s="3" t="str">
        <f>PROPER(CONCATENATE(Table13[[#This Row],[First_Name]], Table13[[#This Row],[Last_Name]]))</f>
        <v>Gracejohnson</v>
      </c>
      <c r="N106" s="3" t="str">
        <f t="shared" si="1"/>
        <v>Jul</v>
      </c>
      <c r="O106" s="3" t="str">
        <f>TEXT(Table13[[#This Row],[Join_Date]],"yyyy")</f>
        <v>2024</v>
      </c>
      <c r="P106" s="3" t="str">
        <f>LEFT('Main Project Raw Data'!E106,FIND("-",'Main Project Raw Data'!E106)-1)</f>
        <v>Sales</v>
      </c>
      <c r="Q106" s="3" t="str">
        <f>RIGHT('Main Project Raw Data'!E106,LEN('Main Project Raw Data'!E106)-FIND("-",'Main Project Raw Data'!E106))</f>
        <v>Illinois</v>
      </c>
    </row>
    <row r="107" spans="1:17" x14ac:dyDescent="0.3">
      <c r="A107" s="3" t="str">
        <f>TRIM(Table1[[#This Row],[Employee_ID]])</f>
        <v>EMP1105</v>
      </c>
      <c r="B107" s="3" t="str">
        <f>TRIM(Table1[[#This Row],[First_Name]])</f>
        <v>Heidi</v>
      </c>
      <c r="C107" s="3" t="str">
        <f>TRIM(Table1[[#This Row],[Last_Name]])</f>
        <v>Johnson</v>
      </c>
      <c r="D107" s="3">
        <f>IF(Table1[[#This Row],[Age]]="",AVERAGE(Table1[Age]),Table1[[#This Row],[Age]])</f>
        <v>35</v>
      </c>
      <c r="E107" s="3" t="s">
        <v>74</v>
      </c>
      <c r="F107" s="3" t="s">
        <v>33</v>
      </c>
      <c r="G107" s="5">
        <f>IF(ISNUMBER('Main Project Raw Data'!G107),'Main Project Raw Data'!G107,IF(ISNUMBER(SEARCH("/",'Main Project Raw Data'!G107)),DATE(RIGHT('Main Project Raw Data'!G107,4),LEFT('Main Project Raw Data'!G107,FIND("/",'Main Project Raw Data'!G107)-1),MID('Main Project Raw Data'!G107,FIND("/",'Main Project Raw Data'!G107)+1,2)),DATE(RIGHT('Main Project Raw Data'!G107,4),MID('Main Project Raw Data'!G107,4,2),LEFT('Main Project Raw Data'!G107,2))))</f>
        <v>45202</v>
      </c>
      <c r="H107" s="3">
        <f>IF(Table1[[#This Row],[Salary]]="",AVERAGE(Table1[Salary]),Table1[[#This Row],[Salary]])</f>
        <v>93471.91</v>
      </c>
      <c r="I107" s="3" t="s">
        <v>113</v>
      </c>
      <c r="J107" s="3">
        <f>ABS(Table1[[#This Row],[Phone]])</f>
        <v>26876810</v>
      </c>
      <c r="K107" s="3" t="str">
        <f>PROPER(TRIM(Table1[[#This Row],[Performance_Score]]))</f>
        <v>Poor</v>
      </c>
      <c r="L107" s="3" t="b">
        <f>Table1[[#This Row],[Remote_Work]]</f>
        <v>0</v>
      </c>
      <c r="M107" s="3" t="str">
        <f>PROPER(CONCATENATE(Table13[[#This Row],[First_Name]], Table13[[#This Row],[Last_Name]]))</f>
        <v>Heidijohnson</v>
      </c>
      <c r="N107" s="3" t="str">
        <f t="shared" si="1"/>
        <v>Oct</v>
      </c>
      <c r="O107" s="3" t="str">
        <f>TEXT(Table13[[#This Row],[Join_Date]],"yyyy")</f>
        <v>2023</v>
      </c>
      <c r="P107" s="3" t="str">
        <f>LEFT('Main Project Raw Data'!E107,FIND("-",'Main Project Raw Data'!E107)-1)</f>
        <v>Sales</v>
      </c>
      <c r="Q107" s="3" t="str">
        <f>RIGHT('Main Project Raw Data'!E107,LEN('Main Project Raw Data'!E107)-FIND("-",'Main Project Raw Data'!E107))</f>
        <v>Florida</v>
      </c>
    </row>
    <row r="108" spans="1:17" x14ac:dyDescent="0.3">
      <c r="A108" s="3" t="str">
        <f>TRIM(Table1[[#This Row],[Employee_ID]])</f>
        <v>EMP1106</v>
      </c>
      <c r="B108" s="3" t="str">
        <f>TRIM(Table1[[#This Row],[First_Name]])</f>
        <v>Bob</v>
      </c>
      <c r="C108" s="3" t="str">
        <f>TRIM(Table1[[#This Row],[Last_Name]])</f>
        <v>Miller</v>
      </c>
      <c r="D108" s="3">
        <f>IF(Table1[[#This Row],[Age]]="",AVERAGE(Table1[Age]),Table1[[#This Row],[Age]])</f>
        <v>30</v>
      </c>
      <c r="E108" s="3" t="s">
        <v>56</v>
      </c>
      <c r="F108" s="3" t="s">
        <v>33</v>
      </c>
      <c r="G108" s="5">
        <f>IF(ISNUMBER('Main Project Raw Data'!G108),'Main Project Raw Data'!G108,IF(ISNUMBER(SEARCH("/",'Main Project Raw Data'!G108)),DATE(RIGHT('Main Project Raw Data'!G108,4),LEFT('Main Project Raw Data'!G108,FIND("/",'Main Project Raw Data'!G108)-1),MID('Main Project Raw Data'!G108,FIND("/",'Main Project Raw Data'!G108)+1,2)),DATE(RIGHT('Main Project Raw Data'!G108,4),MID('Main Project Raw Data'!G108,4,2),LEFT('Main Project Raw Data'!G108,2))))</f>
        <v>45183</v>
      </c>
      <c r="H108" s="3">
        <f>IF(Table1[[#This Row],[Salary]]="",AVERAGE(Table1[Salary]),Table1[[#This Row],[Salary]])</f>
        <v>55683.12</v>
      </c>
      <c r="I108" s="3" t="s">
        <v>93</v>
      </c>
      <c r="J108" s="3">
        <f>ABS(Table1[[#This Row],[Phone]])</f>
        <v>8071569561</v>
      </c>
      <c r="K108" s="3" t="str">
        <f>PROPER(TRIM(Table1[[#This Row],[Performance_Score]]))</f>
        <v>Poor</v>
      </c>
      <c r="L108" s="3" t="b">
        <f>Table1[[#This Row],[Remote_Work]]</f>
        <v>1</v>
      </c>
      <c r="M108" s="3" t="str">
        <f>PROPER(CONCATENATE(Table13[[#This Row],[First_Name]], Table13[[#This Row],[Last_Name]]))</f>
        <v>Bobmiller</v>
      </c>
      <c r="N108" s="3" t="str">
        <f t="shared" si="1"/>
        <v>Sep</v>
      </c>
      <c r="O108" s="3" t="str">
        <f>TEXT(Table13[[#This Row],[Join_Date]],"yyyy")</f>
        <v>2023</v>
      </c>
      <c r="P108" s="3" t="str">
        <f>LEFT('Main Project Raw Data'!E108,FIND("-",'Main Project Raw Data'!E108)-1)</f>
        <v>DevOps</v>
      </c>
      <c r="Q108" s="3" t="str">
        <f>RIGHT('Main Project Raw Data'!E108,LEN('Main Project Raw Data'!E108)-FIND("-",'Main Project Raw Data'!E108))</f>
        <v>New York</v>
      </c>
    </row>
    <row r="109" spans="1:17" x14ac:dyDescent="0.3">
      <c r="A109" s="3" t="str">
        <f>TRIM(Table1[[#This Row],[Employee_ID]])</f>
        <v>EMP1107</v>
      </c>
      <c r="B109" s="3" t="str">
        <f>TRIM(Table1[[#This Row],[First_Name]])</f>
        <v>Bob</v>
      </c>
      <c r="C109" s="3" t="str">
        <f>TRIM(Table1[[#This Row],[Last_Name]])</f>
        <v>Brown</v>
      </c>
      <c r="D109" s="3">
        <f>IF(Table1[[#This Row],[Age]]="",AVERAGE(Table1[Age]),Table1[[#This Row],[Age]])</f>
        <v>30</v>
      </c>
      <c r="E109" s="3" t="s">
        <v>39</v>
      </c>
      <c r="F109" s="3" t="s">
        <v>33</v>
      </c>
      <c r="G109" s="5">
        <f>IF(ISNUMBER('Main Project Raw Data'!G109),'Main Project Raw Data'!G109,IF(ISNUMBER(SEARCH("/",'Main Project Raw Data'!G109)),DATE(RIGHT('Main Project Raw Data'!G109,4),LEFT('Main Project Raw Data'!G109,FIND("/",'Main Project Raw Data'!G109)-1),MID('Main Project Raw Data'!G109,FIND("/",'Main Project Raw Data'!G109)+1,2)),DATE(RIGHT('Main Project Raw Data'!G109,4),MID('Main Project Raw Data'!G109,4,2),LEFT('Main Project Raw Data'!G109,2))))</f>
        <v>45271</v>
      </c>
      <c r="H109" s="3">
        <f>IF(Table1[[#This Row],[Salary]]="",AVERAGE(Table1[Salary]),Table1[[#This Row],[Salary]])</f>
        <v>91566.78</v>
      </c>
      <c r="I109" s="3" t="s">
        <v>22</v>
      </c>
      <c r="J109" s="3">
        <f>ABS(Table1[[#This Row],[Phone]])</f>
        <v>175370303</v>
      </c>
      <c r="K109" s="3" t="str">
        <f>PROPER(TRIM(Table1[[#This Row],[Performance_Score]]))</f>
        <v>Good</v>
      </c>
      <c r="L109" s="3" t="b">
        <f>Table1[[#This Row],[Remote_Work]]</f>
        <v>1</v>
      </c>
      <c r="M109" s="3" t="str">
        <f>PROPER(CONCATENATE(Table13[[#This Row],[First_Name]], Table13[[#This Row],[Last_Name]]))</f>
        <v>Bobbrown</v>
      </c>
      <c r="N109" s="3" t="str">
        <f t="shared" si="1"/>
        <v>Dec</v>
      </c>
      <c r="O109" s="3" t="str">
        <f>TEXT(Table13[[#This Row],[Join_Date]],"yyyy")</f>
        <v>2023</v>
      </c>
      <c r="P109" s="3" t="str">
        <f>LEFT('Main Project Raw Data'!E109,FIND("-",'Main Project Raw Data'!E109)-1)</f>
        <v>Cloud Tech</v>
      </c>
      <c r="Q109" s="3" t="str">
        <f>RIGHT('Main Project Raw Data'!E109,LEN('Main Project Raw Data'!E109)-FIND("-",'Main Project Raw Data'!E109))</f>
        <v>Florida</v>
      </c>
    </row>
    <row r="110" spans="1:17" x14ac:dyDescent="0.3">
      <c r="A110" s="3" t="str">
        <f>TRIM(Table1[[#This Row],[Employee_ID]])</f>
        <v>EMP1108</v>
      </c>
      <c r="B110" s="3" t="str">
        <f>TRIM(Table1[[#This Row],[First_Name]])</f>
        <v>David</v>
      </c>
      <c r="C110" s="3" t="str">
        <f>TRIM(Table1[[#This Row],[Last_Name]])</f>
        <v>Miller</v>
      </c>
      <c r="D110" s="3">
        <f>IF(Table1[[#This Row],[Age]]="",AVERAGE(Table1[Age]),Table1[[#This Row],[Age]])</f>
        <v>35</v>
      </c>
      <c r="E110" s="3" t="s">
        <v>15</v>
      </c>
      <c r="F110" s="3" t="s">
        <v>28</v>
      </c>
      <c r="G110" s="5">
        <f>IF(ISNUMBER('Main Project Raw Data'!G110),'Main Project Raw Data'!G110,IF(ISNUMBER(SEARCH("/",'Main Project Raw Data'!G110)),DATE(RIGHT('Main Project Raw Data'!G110,4),LEFT('Main Project Raw Data'!G110,FIND("/",'Main Project Raw Data'!G110)-1),MID('Main Project Raw Data'!G110,FIND("/",'Main Project Raw Data'!G110)+1,2)),DATE(RIGHT('Main Project Raw Data'!G110,4),MID('Main Project Raw Data'!G110,4,2),LEFT('Main Project Raw Data'!G110,2))))</f>
        <v>45591</v>
      </c>
      <c r="H110" s="3">
        <f>IF(Table1[[#This Row],[Salary]]="",AVERAGE(Table1[Salary]),Table1[[#This Row],[Salary]])</f>
        <v>81782.19</v>
      </c>
      <c r="I110" s="3" t="s">
        <v>107</v>
      </c>
      <c r="J110" s="3">
        <f>ABS(Table1[[#This Row],[Phone]])</f>
        <v>5319433749</v>
      </c>
      <c r="K110" s="3" t="str">
        <f>PROPER(TRIM(Table1[[#This Row],[Performance_Score]]))</f>
        <v>Good</v>
      </c>
      <c r="L110" s="3" t="b">
        <f>Table1[[#This Row],[Remote_Work]]</f>
        <v>0</v>
      </c>
      <c r="M110" s="3" t="str">
        <f>PROPER(CONCATENATE(Table13[[#This Row],[First_Name]], Table13[[#This Row],[Last_Name]]))</f>
        <v>Davidmiller</v>
      </c>
      <c r="N110" s="3" t="str">
        <f t="shared" si="1"/>
        <v>Oct</v>
      </c>
      <c r="O110" s="3" t="str">
        <f>TEXT(Table13[[#This Row],[Join_Date]],"yyyy")</f>
        <v>2024</v>
      </c>
      <c r="P110" s="3" t="str">
        <f>LEFT('Main Project Raw Data'!E110,FIND("-",'Main Project Raw Data'!E110)-1)</f>
        <v>DevOps</v>
      </c>
      <c r="Q110" s="3" t="str">
        <f>RIGHT('Main Project Raw Data'!E110,LEN('Main Project Raw Data'!E110)-FIND("-",'Main Project Raw Data'!E110))</f>
        <v>California</v>
      </c>
    </row>
    <row r="111" spans="1:17" x14ac:dyDescent="0.3">
      <c r="A111" s="3" t="str">
        <f>TRIM(Table1[[#This Row],[Employee_ID]])</f>
        <v>EMP1109</v>
      </c>
      <c r="B111" s="3" t="str">
        <f>TRIM(Table1[[#This Row],[First_Name]])</f>
        <v>Eva</v>
      </c>
      <c r="C111" s="3" t="str">
        <f>TRIM(Table1[[#This Row],[Last_Name]])</f>
        <v>Davis</v>
      </c>
      <c r="D111" s="3">
        <f>IF(Table1[[#This Row],[Age]]="",AVERAGE(Table1[Age]),Table1[[#This Row],[Age]])</f>
        <v>32.484548825710753</v>
      </c>
      <c r="E111" s="3" t="s">
        <v>56</v>
      </c>
      <c r="F111" s="3" t="s">
        <v>33</v>
      </c>
      <c r="G111" s="5">
        <f>IF(ISNUMBER('Main Project Raw Data'!G111),'Main Project Raw Data'!G111,IF(ISNUMBER(SEARCH("/",'Main Project Raw Data'!G111)),DATE(RIGHT('Main Project Raw Data'!G111,4),LEFT('Main Project Raw Data'!G111,FIND("/",'Main Project Raw Data'!G111)-1),MID('Main Project Raw Data'!G111,FIND("/",'Main Project Raw Data'!G111)+1,2)),DATE(RIGHT('Main Project Raw Data'!G111,4),MID('Main Project Raw Data'!G111,4,2),LEFT('Main Project Raw Data'!G111,2))))</f>
        <v>44066</v>
      </c>
      <c r="H111" s="3">
        <f>IF(Table1[[#This Row],[Salary]]="",AVERAGE(Table1[Salary]),Table1[[#This Row],[Salary]])</f>
        <v>88119.37</v>
      </c>
      <c r="I111" s="3" t="s">
        <v>35</v>
      </c>
      <c r="J111" s="3">
        <f>ABS(Table1[[#This Row],[Phone]])</f>
        <v>4793036148</v>
      </c>
      <c r="K111" s="3" t="str">
        <f>PROPER(TRIM(Table1[[#This Row],[Performance_Score]]))</f>
        <v>Good</v>
      </c>
      <c r="L111" s="3" t="b">
        <f>Table1[[#This Row],[Remote_Work]]</f>
        <v>1</v>
      </c>
      <c r="M111" s="3" t="str">
        <f>PROPER(CONCATENATE(Table13[[#This Row],[First_Name]], Table13[[#This Row],[Last_Name]]))</f>
        <v>Evadavis</v>
      </c>
      <c r="N111" s="3" t="str">
        <f t="shared" si="1"/>
        <v>Aug</v>
      </c>
      <c r="O111" s="3" t="str">
        <f>TEXT(Table13[[#This Row],[Join_Date]],"yyyy")</f>
        <v>2020</v>
      </c>
      <c r="P111" s="3" t="str">
        <f>LEFT('Main Project Raw Data'!E111,FIND("-",'Main Project Raw Data'!E111)-1)</f>
        <v>DevOps</v>
      </c>
      <c r="Q111" s="3" t="str">
        <f>RIGHT('Main Project Raw Data'!E111,LEN('Main Project Raw Data'!E111)-FIND("-",'Main Project Raw Data'!E111))</f>
        <v>New York</v>
      </c>
    </row>
    <row r="112" spans="1:17" x14ac:dyDescent="0.3">
      <c r="A112" s="3" t="str">
        <f>TRIM(Table1[[#This Row],[Employee_ID]])</f>
        <v>EMP1110</v>
      </c>
      <c r="B112" s="3" t="str">
        <f>TRIM(Table1[[#This Row],[First_Name]])</f>
        <v>Eva</v>
      </c>
      <c r="C112" s="3" t="str">
        <f>TRIM(Table1[[#This Row],[Last_Name]])</f>
        <v>Garcia</v>
      </c>
      <c r="D112" s="3">
        <f>IF(Table1[[#This Row],[Age]]="",AVERAGE(Table1[Age]),Table1[[#This Row],[Age]])</f>
        <v>30</v>
      </c>
      <c r="E112" s="3" t="s">
        <v>159</v>
      </c>
      <c r="F112" s="3" t="s">
        <v>16</v>
      </c>
      <c r="G112" s="5">
        <f>IF(ISNUMBER('Main Project Raw Data'!G112),'Main Project Raw Data'!G112,IF(ISNUMBER(SEARCH("/",'Main Project Raw Data'!G112)),DATE(RIGHT('Main Project Raw Data'!G112,4),LEFT('Main Project Raw Data'!G112,FIND("/",'Main Project Raw Data'!G112)-1),MID('Main Project Raw Data'!G112,FIND("/",'Main Project Raw Data'!G112)+1,2)),DATE(RIGHT('Main Project Raw Data'!G112,4),MID('Main Project Raw Data'!G112,4,2),LEFT('Main Project Raw Data'!G112,2))))</f>
        <v>45602</v>
      </c>
      <c r="H112" s="3">
        <f>IF(Table1[[#This Row],[Salary]]="",AVERAGE(Table1[Salary]),Table1[[#This Row],[Salary]])</f>
        <v>71532.83</v>
      </c>
      <c r="I112" s="3" t="s">
        <v>296</v>
      </c>
      <c r="J112" s="3">
        <f>ABS(Table1[[#This Row],[Phone]])</f>
        <v>8728399920</v>
      </c>
      <c r="K112" s="3" t="str">
        <f>PROPER(TRIM(Table1[[#This Row],[Performance_Score]]))</f>
        <v>Good</v>
      </c>
      <c r="L112" s="3" t="b">
        <f>Table1[[#This Row],[Remote_Work]]</f>
        <v>1</v>
      </c>
      <c r="M112" s="3" t="str">
        <f>PROPER(CONCATENATE(Table13[[#This Row],[First_Name]], Table13[[#This Row],[Last_Name]]))</f>
        <v>Evagarcia</v>
      </c>
      <c r="N112" s="3" t="str">
        <f t="shared" si="1"/>
        <v>Nov</v>
      </c>
      <c r="O112" s="3" t="str">
        <f>TEXT(Table13[[#This Row],[Join_Date]],"yyyy")</f>
        <v>2024</v>
      </c>
      <c r="P112" s="3" t="str">
        <f>LEFT('Main Project Raw Data'!E112,FIND("-",'Main Project Raw Data'!E112)-1)</f>
        <v>Cloud Tech</v>
      </c>
      <c r="Q112" s="3" t="str">
        <f>RIGHT('Main Project Raw Data'!E112,LEN('Main Project Raw Data'!E112)-FIND("-",'Main Project Raw Data'!E112))</f>
        <v>Texas</v>
      </c>
    </row>
    <row r="113" spans="1:17" x14ac:dyDescent="0.3">
      <c r="A113" s="3" t="str">
        <f>TRIM(Table1[[#This Row],[Employee_ID]])</f>
        <v>EMP1111</v>
      </c>
      <c r="B113" s="3" t="str">
        <f>TRIM(Table1[[#This Row],[First_Name]])</f>
        <v>Eva</v>
      </c>
      <c r="C113" s="3" t="str">
        <f>TRIM(Table1[[#This Row],[Last_Name]])</f>
        <v>Davis</v>
      </c>
      <c r="D113" s="3">
        <f>IF(Table1[[#This Row],[Age]]="",AVERAGE(Table1[Age]),Table1[[#This Row],[Age]])</f>
        <v>40</v>
      </c>
      <c r="E113" s="3" t="s">
        <v>39</v>
      </c>
      <c r="F113" s="3" t="s">
        <v>28</v>
      </c>
      <c r="G113" s="5">
        <f>IF(ISNUMBER('Main Project Raw Data'!G113),'Main Project Raw Data'!G113,IF(ISNUMBER(SEARCH("/",'Main Project Raw Data'!G113)),DATE(RIGHT('Main Project Raw Data'!G113,4),LEFT('Main Project Raw Data'!G113,FIND("/",'Main Project Raw Data'!G113)-1),MID('Main Project Raw Data'!G113,FIND("/",'Main Project Raw Data'!G113)+1,2)),DATE(RIGHT('Main Project Raw Data'!G113,4),MID('Main Project Raw Data'!G113,4,2),LEFT('Main Project Raw Data'!G113,2))))</f>
        <v>44453</v>
      </c>
      <c r="H113" s="3">
        <f>IF(Table1[[#This Row],[Salary]]="",AVERAGE(Table1[Salary]),Table1[[#This Row],[Salary]])</f>
        <v>98981.36</v>
      </c>
      <c r="I113" s="3" t="s">
        <v>35</v>
      </c>
      <c r="J113" s="3">
        <f>ABS(Table1[[#This Row],[Phone]])</f>
        <v>9212493842</v>
      </c>
      <c r="K113" s="3" t="str">
        <f>PROPER(TRIM(Table1[[#This Row],[Performance_Score]]))</f>
        <v>Good</v>
      </c>
      <c r="L113" s="3" t="b">
        <f>Table1[[#This Row],[Remote_Work]]</f>
        <v>1</v>
      </c>
      <c r="M113" s="3" t="str">
        <f>PROPER(CONCATENATE(Table13[[#This Row],[First_Name]], Table13[[#This Row],[Last_Name]]))</f>
        <v>Evadavis</v>
      </c>
      <c r="N113" s="3" t="str">
        <f t="shared" si="1"/>
        <v>Sep</v>
      </c>
      <c r="O113" s="3" t="str">
        <f>TEXT(Table13[[#This Row],[Join_Date]],"yyyy")</f>
        <v>2021</v>
      </c>
      <c r="P113" s="3" t="str">
        <f>LEFT('Main Project Raw Data'!E113,FIND("-",'Main Project Raw Data'!E113)-1)</f>
        <v>Cloud Tech</v>
      </c>
      <c r="Q113" s="3" t="str">
        <f>RIGHT('Main Project Raw Data'!E113,LEN('Main Project Raw Data'!E113)-FIND("-",'Main Project Raw Data'!E113))</f>
        <v>Florida</v>
      </c>
    </row>
    <row r="114" spans="1:17" x14ac:dyDescent="0.3">
      <c r="A114" s="3" t="str">
        <f>TRIM(Table1[[#This Row],[Employee_ID]])</f>
        <v>EMP1112</v>
      </c>
      <c r="B114" s="3" t="str">
        <f>TRIM(Table1[[#This Row],[First_Name]])</f>
        <v>Heidi</v>
      </c>
      <c r="C114" s="3" t="str">
        <f>TRIM(Table1[[#This Row],[Last_Name]])</f>
        <v>Garcia</v>
      </c>
      <c r="D114" s="3">
        <f>IF(Table1[[#This Row],[Age]]="",AVERAGE(Table1[Age]),Table1[[#This Row],[Age]])</f>
        <v>40</v>
      </c>
      <c r="E114" s="3" t="s">
        <v>95</v>
      </c>
      <c r="F114" s="3" t="s">
        <v>16</v>
      </c>
      <c r="G114" s="5">
        <f>IF(ISNUMBER('Main Project Raw Data'!G114),'Main Project Raw Data'!G114,IF(ISNUMBER(SEARCH("/",'Main Project Raw Data'!G114)),DATE(RIGHT('Main Project Raw Data'!G114,4),LEFT('Main Project Raw Data'!G114,FIND("/",'Main Project Raw Data'!G114)-1),MID('Main Project Raw Data'!G114,FIND("/",'Main Project Raw Data'!G114)+1,2)),DATE(RIGHT('Main Project Raw Data'!G114,4),MID('Main Project Raw Data'!G114,4,2),LEFT('Main Project Raw Data'!G114,2))))</f>
        <v>45652</v>
      </c>
      <c r="H114" s="3">
        <f>IF(Table1[[#This Row],[Salary]]="",AVERAGE(Table1[Salary]),Table1[[#This Row],[Salary]])</f>
        <v>80242.009999999995</v>
      </c>
      <c r="I114" s="3" t="s">
        <v>257</v>
      </c>
      <c r="J114" s="3">
        <f>ABS(Table1[[#This Row],[Phone]])</f>
        <v>894870604</v>
      </c>
      <c r="K114" s="3" t="str">
        <f>PROPER(TRIM(Table1[[#This Row],[Performance_Score]]))</f>
        <v>Good</v>
      </c>
      <c r="L114" s="3" t="b">
        <f>Table1[[#This Row],[Remote_Work]]</f>
        <v>1</v>
      </c>
      <c r="M114" s="3" t="str">
        <f>PROPER(CONCATENATE(Table13[[#This Row],[First_Name]], Table13[[#This Row],[Last_Name]]))</f>
        <v>Heidigarcia</v>
      </c>
      <c r="N114" s="3" t="str">
        <f t="shared" si="1"/>
        <v>Dec</v>
      </c>
      <c r="O114" s="3" t="str">
        <f>TEXT(Table13[[#This Row],[Join_Date]],"yyyy")</f>
        <v>2024</v>
      </c>
      <c r="P114" s="3" t="str">
        <f>LEFT('Main Project Raw Data'!E114,FIND("-",'Main Project Raw Data'!E114)-1)</f>
        <v>Cloud Tech</v>
      </c>
      <c r="Q114" s="3" t="str">
        <f>RIGHT('Main Project Raw Data'!E114,LEN('Main Project Raw Data'!E114)-FIND("-",'Main Project Raw Data'!E114))</f>
        <v>Illinois</v>
      </c>
    </row>
    <row r="115" spans="1:17" x14ac:dyDescent="0.3">
      <c r="A115" s="3" t="str">
        <f>TRIM(Table1[[#This Row],[Employee_ID]])</f>
        <v>EMP1113</v>
      </c>
      <c r="B115" s="3" t="str">
        <f>TRIM(Table1[[#This Row],[First_Name]])</f>
        <v>Eva</v>
      </c>
      <c r="C115" s="3" t="str">
        <f>TRIM(Table1[[#This Row],[Last_Name]])</f>
        <v>Miller</v>
      </c>
      <c r="D115" s="3">
        <f>IF(Table1[[#This Row],[Age]]="",AVERAGE(Table1[Age]),Table1[[#This Row],[Age]])</f>
        <v>25</v>
      </c>
      <c r="E115" s="3" t="s">
        <v>60</v>
      </c>
      <c r="F115" s="3" t="s">
        <v>28</v>
      </c>
      <c r="G115" s="5">
        <f>IF(ISNUMBER('Main Project Raw Data'!G115),'Main Project Raw Data'!G115,IF(ISNUMBER(SEARCH("/",'Main Project Raw Data'!G115)),DATE(RIGHT('Main Project Raw Data'!G115,4),LEFT('Main Project Raw Data'!G115,FIND("/",'Main Project Raw Data'!G115)-1),MID('Main Project Raw Data'!G115,FIND("/",'Main Project Raw Data'!G115)+1,2)),DATE(RIGHT('Main Project Raw Data'!G115,4),MID('Main Project Raw Data'!G115,4,2),LEFT('Main Project Raw Data'!G115,2))))</f>
        <v>45513</v>
      </c>
      <c r="H115" s="3">
        <f>IF(Table1[[#This Row],[Salary]]="",AVERAGE(Table1[Salary]),Table1[[#This Row],[Salary]])</f>
        <v>110236.18</v>
      </c>
      <c r="I115" s="3" t="s">
        <v>263</v>
      </c>
      <c r="J115" s="3">
        <f>ABS(Table1[[#This Row],[Phone]])</f>
        <v>6641877579</v>
      </c>
      <c r="K115" s="3" t="str">
        <f>PROPER(TRIM(Table1[[#This Row],[Performance_Score]]))</f>
        <v>Average</v>
      </c>
      <c r="L115" s="3" t="b">
        <f>Table1[[#This Row],[Remote_Work]]</f>
        <v>1</v>
      </c>
      <c r="M115" s="3" t="str">
        <f>PROPER(CONCATENATE(Table13[[#This Row],[First_Name]], Table13[[#This Row],[Last_Name]]))</f>
        <v>Evamiller</v>
      </c>
      <c r="N115" s="3" t="str">
        <f t="shared" si="1"/>
        <v>Aug</v>
      </c>
      <c r="O115" s="3" t="str">
        <f>TEXT(Table13[[#This Row],[Join_Date]],"yyyy")</f>
        <v>2024</v>
      </c>
      <c r="P115" s="3" t="str">
        <f>LEFT('Main Project Raw Data'!E115,FIND("-",'Main Project Raw Data'!E115)-1)</f>
        <v>Cloud Tech</v>
      </c>
      <c r="Q115" s="3" t="str">
        <f>RIGHT('Main Project Raw Data'!E115,LEN('Main Project Raw Data'!E115)-FIND("-",'Main Project Raw Data'!E115))</f>
        <v>New York</v>
      </c>
    </row>
    <row r="116" spans="1:17" x14ac:dyDescent="0.3">
      <c r="A116" s="3" t="str">
        <f>TRIM(Table1[[#This Row],[Employee_ID]])</f>
        <v>EMP1114</v>
      </c>
      <c r="B116" s="3" t="str">
        <f>TRIM(Table1[[#This Row],[First_Name]])</f>
        <v>Alice</v>
      </c>
      <c r="C116" s="3" t="str">
        <f>TRIM(Table1[[#This Row],[Last_Name]])</f>
        <v>Davis</v>
      </c>
      <c r="D116" s="3">
        <f>IF(Table1[[#This Row],[Age]]="",AVERAGE(Table1[Age]),Table1[[#This Row],[Age]])</f>
        <v>35</v>
      </c>
      <c r="E116" s="3" t="s">
        <v>44</v>
      </c>
      <c r="F116" s="3" t="s">
        <v>16</v>
      </c>
      <c r="G116" s="5">
        <f>IF(ISNUMBER('Main Project Raw Data'!G116),'Main Project Raw Data'!G116,IF(ISNUMBER(SEARCH("/",'Main Project Raw Data'!G116)),DATE(RIGHT('Main Project Raw Data'!G116,4),LEFT('Main Project Raw Data'!G116,FIND("/",'Main Project Raw Data'!G116)-1),MID('Main Project Raw Data'!G116,FIND("/",'Main Project Raw Data'!G116)+1,2)),DATE(RIGHT('Main Project Raw Data'!G116,4),MID('Main Project Raw Data'!G116,4,2),LEFT('Main Project Raw Data'!G116,2))))</f>
        <v>44794</v>
      </c>
      <c r="H116" s="3">
        <f>IF(Table1[[#This Row],[Salary]]="",AVERAGE(Table1[Salary]),Table1[[#This Row],[Salary]])</f>
        <v>86327.47</v>
      </c>
      <c r="I116" s="3" t="s">
        <v>163</v>
      </c>
      <c r="J116" s="3">
        <f>ABS(Table1[[#This Row],[Phone]])</f>
        <v>3046875062</v>
      </c>
      <c r="K116" s="3" t="str">
        <f>PROPER(TRIM(Table1[[#This Row],[Performance_Score]]))</f>
        <v>Average</v>
      </c>
      <c r="L116" s="3" t="b">
        <f>Table1[[#This Row],[Remote_Work]]</f>
        <v>0</v>
      </c>
      <c r="M116" s="3" t="str">
        <f>PROPER(CONCATENATE(Table13[[#This Row],[First_Name]], Table13[[#This Row],[Last_Name]]))</f>
        <v>Alicedavis</v>
      </c>
      <c r="N116" s="3" t="str">
        <f t="shared" si="1"/>
        <v>Aug</v>
      </c>
      <c r="O116" s="3" t="str">
        <f>TEXT(Table13[[#This Row],[Join_Date]],"yyyy")</f>
        <v>2022</v>
      </c>
      <c r="P116" s="3" t="str">
        <f>LEFT('Main Project Raw Data'!E116,FIND("-",'Main Project Raw Data'!E116)-1)</f>
        <v>Sales</v>
      </c>
      <c r="Q116" s="3" t="str">
        <f>RIGHT('Main Project Raw Data'!E116,LEN('Main Project Raw Data'!E116)-FIND("-",'Main Project Raw Data'!E116))</f>
        <v>Texas</v>
      </c>
    </row>
    <row r="117" spans="1:17" x14ac:dyDescent="0.3">
      <c r="A117" s="3" t="str">
        <f>TRIM(Table1[[#This Row],[Employee_ID]])</f>
        <v>EMP1115</v>
      </c>
      <c r="B117" s="3" t="str">
        <f>TRIM(Table1[[#This Row],[First_Name]])</f>
        <v>Eva</v>
      </c>
      <c r="C117" s="3" t="str">
        <f>TRIM(Table1[[#This Row],[Last_Name]])</f>
        <v>Brown</v>
      </c>
      <c r="D117" s="3">
        <f>IF(Table1[[#This Row],[Age]]="",AVERAGE(Table1[Age]),Table1[[#This Row],[Age]])</f>
        <v>30</v>
      </c>
      <c r="E117" s="3" t="s">
        <v>74</v>
      </c>
      <c r="F117" s="3" t="s">
        <v>28</v>
      </c>
      <c r="G117" s="5">
        <f>IF(ISNUMBER('Main Project Raw Data'!G117),'Main Project Raw Data'!G117,IF(ISNUMBER(SEARCH("/",'Main Project Raw Data'!G117)),DATE(RIGHT('Main Project Raw Data'!G117,4),LEFT('Main Project Raw Data'!G117,FIND("/",'Main Project Raw Data'!G117)-1),MID('Main Project Raw Data'!G117,FIND("/",'Main Project Raw Data'!G117)+1,2)),DATE(RIGHT('Main Project Raw Data'!G117,4),MID('Main Project Raw Data'!G117,4,2),LEFT('Main Project Raw Data'!G117,2))))</f>
        <v>45498</v>
      </c>
      <c r="H117" s="3">
        <f>IF(Table1[[#This Row],[Salary]]="",AVERAGE(Table1[Salary]),Table1[[#This Row],[Salary]])</f>
        <v>84420.81</v>
      </c>
      <c r="I117" s="3" t="s">
        <v>155</v>
      </c>
      <c r="J117" s="3">
        <f>ABS(Table1[[#This Row],[Phone]])</f>
        <v>5190361331</v>
      </c>
      <c r="K117" s="3" t="str">
        <f>PROPER(TRIM(Table1[[#This Row],[Performance_Score]]))</f>
        <v>Average</v>
      </c>
      <c r="L117" s="3" t="b">
        <f>Table1[[#This Row],[Remote_Work]]</f>
        <v>0</v>
      </c>
      <c r="M117" s="3" t="str">
        <f>PROPER(CONCATENATE(Table13[[#This Row],[First_Name]], Table13[[#This Row],[Last_Name]]))</f>
        <v>Evabrown</v>
      </c>
      <c r="N117" s="3" t="str">
        <f t="shared" si="1"/>
        <v>Jul</v>
      </c>
      <c r="O117" s="3" t="str">
        <f>TEXT(Table13[[#This Row],[Join_Date]],"yyyy")</f>
        <v>2024</v>
      </c>
      <c r="P117" s="3" t="str">
        <f>LEFT('Main Project Raw Data'!E117,FIND("-",'Main Project Raw Data'!E117)-1)</f>
        <v>Sales</v>
      </c>
      <c r="Q117" s="3" t="str">
        <f>RIGHT('Main Project Raw Data'!E117,LEN('Main Project Raw Data'!E117)-FIND("-",'Main Project Raw Data'!E117))</f>
        <v>Florida</v>
      </c>
    </row>
    <row r="118" spans="1:17" x14ac:dyDescent="0.3">
      <c r="A118" s="3" t="str">
        <f>TRIM(Table1[[#This Row],[Employee_ID]])</f>
        <v>EMP1116</v>
      </c>
      <c r="B118" s="3" t="str">
        <f>TRIM(Table1[[#This Row],[First_Name]])</f>
        <v>Frank</v>
      </c>
      <c r="C118" s="3" t="str">
        <f>TRIM(Table1[[#This Row],[Last_Name]])</f>
        <v>Smith</v>
      </c>
      <c r="D118" s="3">
        <f>IF(Table1[[#This Row],[Age]]="",AVERAGE(Table1[Age]),Table1[[#This Row],[Age]])</f>
        <v>40</v>
      </c>
      <c r="E118" s="3" t="s">
        <v>146</v>
      </c>
      <c r="F118" s="3" t="s">
        <v>28</v>
      </c>
      <c r="G118" s="5">
        <f>IF(ISNUMBER('Main Project Raw Data'!G118),'Main Project Raw Data'!G118,IF(ISNUMBER(SEARCH("/",'Main Project Raw Data'!G118)),DATE(RIGHT('Main Project Raw Data'!G118,4),LEFT('Main Project Raw Data'!G118,FIND("/",'Main Project Raw Data'!G118)-1),MID('Main Project Raw Data'!G118,FIND("/",'Main Project Raw Data'!G118)+1,2)),DATE(RIGHT('Main Project Raw Data'!G118,4),MID('Main Project Raw Data'!G118,4,2),LEFT('Main Project Raw Data'!G118,2))))</f>
        <v>43869</v>
      </c>
      <c r="H118" s="3">
        <f>IF(Table1[[#This Row],[Salary]]="",AVERAGE(Table1[Salary]),Table1[[#This Row],[Salary]])</f>
        <v>110041.32</v>
      </c>
      <c r="I118" s="3" t="s">
        <v>137</v>
      </c>
      <c r="J118" s="3">
        <f>ABS(Table1[[#This Row],[Phone]])</f>
        <v>5411076094</v>
      </c>
      <c r="K118" s="3" t="str">
        <f>PROPER(TRIM(Table1[[#This Row],[Performance_Score]]))</f>
        <v>Average</v>
      </c>
      <c r="L118" s="3" t="b">
        <f>Table1[[#This Row],[Remote_Work]]</f>
        <v>0</v>
      </c>
      <c r="M118" s="3" t="str">
        <f>PROPER(CONCATENATE(Table13[[#This Row],[First_Name]], Table13[[#This Row],[Last_Name]]))</f>
        <v>Franksmith</v>
      </c>
      <c r="N118" s="3" t="str">
        <f t="shared" si="1"/>
        <v>Feb</v>
      </c>
      <c r="O118" s="3" t="str">
        <f>TEXT(Table13[[#This Row],[Join_Date]],"yyyy")</f>
        <v>2020</v>
      </c>
      <c r="P118" s="3" t="str">
        <f>LEFT('Main Project Raw Data'!E118,FIND("-",'Main Project Raw Data'!E118)-1)</f>
        <v>HR</v>
      </c>
      <c r="Q118" s="3" t="str">
        <f>RIGHT('Main Project Raw Data'!E118,LEN('Main Project Raw Data'!E118)-FIND("-",'Main Project Raw Data'!E118))</f>
        <v>California</v>
      </c>
    </row>
    <row r="119" spans="1:17" x14ac:dyDescent="0.3">
      <c r="A119" s="3" t="str">
        <f>TRIM(Table1[[#This Row],[Employee_ID]])</f>
        <v>EMP1117</v>
      </c>
      <c r="B119" s="3" t="str">
        <f>TRIM(Table1[[#This Row],[First_Name]])</f>
        <v>Heidi</v>
      </c>
      <c r="C119" s="3" t="str">
        <f>TRIM(Table1[[#This Row],[Last_Name]])</f>
        <v>Miller</v>
      </c>
      <c r="D119" s="3">
        <f>IF(Table1[[#This Row],[Age]]="",AVERAGE(Table1[Age]),Table1[[#This Row],[Age]])</f>
        <v>35</v>
      </c>
      <c r="E119" s="3" t="s">
        <v>230</v>
      </c>
      <c r="F119" s="3" t="s">
        <v>28</v>
      </c>
      <c r="G119" s="5">
        <f>IF(ISNUMBER('Main Project Raw Data'!G119),'Main Project Raw Data'!G119,IF(ISNUMBER(SEARCH("/",'Main Project Raw Data'!G119)),DATE(RIGHT('Main Project Raw Data'!G119,4),LEFT('Main Project Raw Data'!G119,FIND("/",'Main Project Raw Data'!G119)-1),MID('Main Project Raw Data'!G119,FIND("/",'Main Project Raw Data'!G119)+1,2)),DATE(RIGHT('Main Project Raw Data'!G119,4),MID('Main Project Raw Data'!G119,4,2),LEFT('Main Project Raw Data'!G119,2))))</f>
        <v>43906</v>
      </c>
      <c r="H119" s="3">
        <f>IF(Table1[[#This Row],[Salary]]="",AVERAGE(Table1[Salary]),Table1[[#This Row],[Salary]])</f>
        <v>81837.81</v>
      </c>
      <c r="I119" s="3" t="s">
        <v>130</v>
      </c>
      <c r="J119" s="3">
        <f>ABS(Table1[[#This Row],[Phone]])</f>
        <v>4317350582</v>
      </c>
      <c r="K119" s="3" t="str">
        <f>PROPER(TRIM(Table1[[#This Row],[Performance_Score]]))</f>
        <v>Good</v>
      </c>
      <c r="L119" s="3" t="b">
        <f>Table1[[#This Row],[Remote_Work]]</f>
        <v>1</v>
      </c>
      <c r="M119" s="3" t="str">
        <f>PROPER(CONCATENATE(Table13[[#This Row],[First_Name]], Table13[[#This Row],[Last_Name]]))</f>
        <v>Heidimiller</v>
      </c>
      <c r="N119" s="3" t="str">
        <f t="shared" si="1"/>
        <v>Mar</v>
      </c>
      <c r="O119" s="3" t="str">
        <f>TEXT(Table13[[#This Row],[Join_Date]],"yyyy")</f>
        <v>2020</v>
      </c>
      <c r="P119" s="3" t="str">
        <f>LEFT('Main Project Raw Data'!E119,FIND("-",'Main Project Raw Data'!E119)-1)</f>
        <v>DevOps</v>
      </c>
      <c r="Q119" s="3" t="str">
        <f>RIGHT('Main Project Raw Data'!E119,LEN('Main Project Raw Data'!E119)-FIND("-",'Main Project Raw Data'!E119))</f>
        <v>Florida</v>
      </c>
    </row>
    <row r="120" spans="1:17" x14ac:dyDescent="0.3">
      <c r="A120" s="3" t="str">
        <f>TRIM(Table1[[#This Row],[Employee_ID]])</f>
        <v>EMP1118</v>
      </c>
      <c r="B120" s="3" t="str">
        <f>TRIM(Table1[[#This Row],[First_Name]])</f>
        <v>Frank</v>
      </c>
      <c r="C120" s="3" t="str">
        <f>TRIM(Table1[[#This Row],[Last_Name]])</f>
        <v>Garcia</v>
      </c>
      <c r="D120" s="3">
        <f>IF(Table1[[#This Row],[Age]]="",AVERAGE(Table1[Age]),Table1[[#This Row],[Age]])</f>
        <v>25</v>
      </c>
      <c r="E120" s="3" t="s">
        <v>265</v>
      </c>
      <c r="F120" s="3" t="s">
        <v>16</v>
      </c>
      <c r="G120" s="5">
        <f>IF(ISNUMBER('Main Project Raw Data'!G120),'Main Project Raw Data'!G120,IF(ISNUMBER(SEARCH("/",'Main Project Raw Data'!G120)),DATE(RIGHT('Main Project Raw Data'!G120,4),LEFT('Main Project Raw Data'!G120,FIND("/",'Main Project Raw Data'!G120)-1),MID('Main Project Raw Data'!G120,FIND("/",'Main Project Raw Data'!G120)+1,2)),DATE(RIGHT('Main Project Raw Data'!G120,4),MID('Main Project Raw Data'!G120,4,2),LEFT('Main Project Raw Data'!G120,2))))</f>
        <v>45147</v>
      </c>
      <c r="H120" s="3">
        <f>IF(Table1[[#This Row],[Salary]]="",AVERAGE(Table1[Salary]),Table1[[#This Row],[Salary]])</f>
        <v>110855.72</v>
      </c>
      <c r="I120" s="3" t="s">
        <v>180</v>
      </c>
      <c r="J120" s="3">
        <f>ABS(Table1[[#This Row],[Phone]])</f>
        <v>1997179109</v>
      </c>
      <c r="K120" s="3" t="str">
        <f>PROPER(TRIM(Table1[[#This Row],[Performance_Score]]))</f>
        <v>Poor</v>
      </c>
      <c r="L120" s="3" t="b">
        <f>Table1[[#This Row],[Remote_Work]]</f>
        <v>0</v>
      </c>
      <c r="M120" s="3" t="str">
        <f>PROPER(CONCATENATE(Table13[[#This Row],[First_Name]], Table13[[#This Row],[Last_Name]]))</f>
        <v>Frankgarcia</v>
      </c>
      <c r="N120" s="3" t="str">
        <f t="shared" si="1"/>
        <v>Aug</v>
      </c>
      <c r="O120" s="3" t="str">
        <f>TEXT(Table13[[#This Row],[Join_Date]],"yyyy")</f>
        <v>2023</v>
      </c>
      <c r="P120" s="3" t="str">
        <f>LEFT('Main Project Raw Data'!E120,FIND("-",'Main Project Raw Data'!E120)-1)</f>
        <v>Finance</v>
      </c>
      <c r="Q120" s="3" t="str">
        <f>RIGHT('Main Project Raw Data'!E120,LEN('Main Project Raw Data'!E120)-FIND("-",'Main Project Raw Data'!E120))</f>
        <v>Illinois</v>
      </c>
    </row>
    <row r="121" spans="1:17" x14ac:dyDescent="0.3">
      <c r="A121" s="3" t="str">
        <f>TRIM(Table1[[#This Row],[Employee_ID]])</f>
        <v>EMP1119</v>
      </c>
      <c r="B121" s="3" t="str">
        <f>TRIM(Table1[[#This Row],[First_Name]])</f>
        <v>Alice</v>
      </c>
      <c r="C121" s="3" t="str">
        <f>TRIM(Table1[[#This Row],[Last_Name]])</f>
        <v>Jones</v>
      </c>
      <c r="D121" s="3">
        <f>IF(Table1[[#This Row],[Age]]="",AVERAGE(Table1[Age]),Table1[[#This Row],[Age]])</f>
        <v>30</v>
      </c>
      <c r="E121" s="3" t="s">
        <v>177</v>
      </c>
      <c r="F121" s="3" t="s">
        <v>28</v>
      </c>
      <c r="G121" s="5">
        <f>IF(ISNUMBER('Main Project Raw Data'!G121),'Main Project Raw Data'!G121,IF(ISNUMBER(SEARCH("/",'Main Project Raw Data'!G121)),DATE(RIGHT('Main Project Raw Data'!G121,4),LEFT('Main Project Raw Data'!G121,FIND("/",'Main Project Raw Data'!G121)-1),MID('Main Project Raw Data'!G121,FIND("/",'Main Project Raw Data'!G121)+1,2)),DATE(RIGHT('Main Project Raw Data'!G121,4),MID('Main Project Raw Data'!G121,4,2),LEFT('Main Project Raw Data'!G121,2))))</f>
        <v>45380</v>
      </c>
      <c r="H121" s="3">
        <f>IF(Table1[[#This Row],[Salary]]="",AVERAGE(Table1[Salary]),Table1[[#This Row],[Salary]])</f>
        <v>84894.52</v>
      </c>
      <c r="I121" s="3" t="s">
        <v>29</v>
      </c>
      <c r="J121" s="3">
        <f>ABS(Table1[[#This Row],[Phone]])</f>
        <v>651207048</v>
      </c>
      <c r="K121" s="3" t="str">
        <f>PROPER(TRIM(Table1[[#This Row],[Performance_Score]]))</f>
        <v>Excellent</v>
      </c>
      <c r="L121" s="3" t="b">
        <f>Table1[[#This Row],[Remote_Work]]</f>
        <v>1</v>
      </c>
      <c r="M121" s="3" t="str">
        <f>PROPER(CONCATENATE(Table13[[#This Row],[First_Name]], Table13[[#This Row],[Last_Name]]))</f>
        <v>Alicejones</v>
      </c>
      <c r="N121" s="3" t="str">
        <f t="shared" si="1"/>
        <v>Mar</v>
      </c>
      <c r="O121" s="3" t="str">
        <f>TEXT(Table13[[#This Row],[Join_Date]],"yyyy")</f>
        <v>2024</v>
      </c>
      <c r="P121" s="3" t="str">
        <f>LEFT('Main Project Raw Data'!E121,FIND("-",'Main Project Raw Data'!E121)-1)</f>
        <v>Sales</v>
      </c>
      <c r="Q121" s="3" t="str">
        <f>RIGHT('Main Project Raw Data'!E121,LEN('Main Project Raw Data'!E121)-FIND("-",'Main Project Raw Data'!E121))</f>
        <v>California</v>
      </c>
    </row>
    <row r="122" spans="1:17" x14ac:dyDescent="0.3">
      <c r="A122" s="3" t="str">
        <f>TRIM(Table1[[#This Row],[Employee_ID]])</f>
        <v>EMP1120</v>
      </c>
      <c r="B122" s="3" t="str">
        <f>TRIM(Table1[[#This Row],[First_Name]])</f>
        <v>Alice</v>
      </c>
      <c r="C122" s="3" t="str">
        <f>TRIM(Table1[[#This Row],[Last_Name]])</f>
        <v>Garcia</v>
      </c>
      <c r="D122" s="3">
        <f>IF(Table1[[#This Row],[Age]]="",AVERAGE(Table1[Age]),Table1[[#This Row],[Age]])</f>
        <v>30</v>
      </c>
      <c r="E122" s="3" t="s">
        <v>192</v>
      </c>
      <c r="F122" s="3" t="s">
        <v>16</v>
      </c>
      <c r="G122" s="5">
        <f>IF(ISNUMBER('Main Project Raw Data'!G122),'Main Project Raw Data'!G122,IF(ISNUMBER(SEARCH("/",'Main Project Raw Data'!G122)),DATE(RIGHT('Main Project Raw Data'!G122,4),LEFT('Main Project Raw Data'!G122,FIND("/",'Main Project Raw Data'!G122)-1),MID('Main Project Raw Data'!G122,FIND("/",'Main Project Raw Data'!G122)+1,2)),DATE(RIGHT('Main Project Raw Data'!G122,4),MID('Main Project Raw Data'!G122,4,2),LEFT('Main Project Raw Data'!G122,2))))</f>
        <v>44538</v>
      </c>
      <c r="H122" s="3">
        <f>IF(Table1[[#This Row],[Salary]]="",AVERAGE(Table1[Salary]),Table1[[#This Row],[Salary]])</f>
        <v>80668.13</v>
      </c>
      <c r="I122" s="3" t="s">
        <v>45</v>
      </c>
      <c r="J122" s="3">
        <f>ABS(Table1[[#This Row],[Phone]])</f>
        <v>6110804660</v>
      </c>
      <c r="K122" s="3" t="str">
        <f>PROPER(TRIM(Table1[[#This Row],[Performance_Score]]))</f>
        <v>Good</v>
      </c>
      <c r="L122" s="3" t="b">
        <f>Table1[[#This Row],[Remote_Work]]</f>
        <v>1</v>
      </c>
      <c r="M122" s="3" t="str">
        <f>PROPER(CONCATENATE(Table13[[#This Row],[First_Name]], Table13[[#This Row],[Last_Name]]))</f>
        <v>Alicegarcia</v>
      </c>
      <c r="N122" s="3" t="str">
        <f t="shared" si="1"/>
        <v>Dec</v>
      </c>
      <c r="O122" s="3" t="str">
        <f>TEXT(Table13[[#This Row],[Join_Date]],"yyyy")</f>
        <v>2021</v>
      </c>
      <c r="P122" s="3" t="str">
        <f>LEFT('Main Project Raw Data'!E122,FIND("-",'Main Project Raw Data'!E122)-1)</f>
        <v>HR</v>
      </c>
      <c r="Q122" s="3" t="str">
        <f>RIGHT('Main Project Raw Data'!E122,LEN('Main Project Raw Data'!E122)-FIND("-",'Main Project Raw Data'!E122))</f>
        <v>Illinois</v>
      </c>
    </row>
    <row r="123" spans="1:17" x14ac:dyDescent="0.3">
      <c r="A123" s="3" t="str">
        <f>TRIM(Table1[[#This Row],[Employee_ID]])</f>
        <v>EMP1121</v>
      </c>
      <c r="B123" s="3" t="str">
        <f>TRIM(Table1[[#This Row],[First_Name]])</f>
        <v>Bob</v>
      </c>
      <c r="C123" s="3" t="str">
        <f>TRIM(Table1[[#This Row],[Last_Name]])</f>
        <v>Jones</v>
      </c>
      <c r="D123" s="3">
        <f>IF(Table1[[#This Row],[Age]]="",AVERAGE(Table1[Age]),Table1[[#This Row],[Age]])</f>
        <v>25</v>
      </c>
      <c r="E123" s="3" t="s">
        <v>78</v>
      </c>
      <c r="F123" s="3" t="s">
        <v>16</v>
      </c>
      <c r="G123" s="5">
        <f>IF(ISNUMBER('Main Project Raw Data'!G123),'Main Project Raw Data'!G123,IF(ISNUMBER(SEARCH("/",'Main Project Raw Data'!G123)),DATE(RIGHT('Main Project Raw Data'!G123,4),LEFT('Main Project Raw Data'!G123,FIND("/",'Main Project Raw Data'!G123)-1),MID('Main Project Raw Data'!G123,FIND("/",'Main Project Raw Data'!G123)+1,2)),DATE(RIGHT('Main Project Raw Data'!G123,4),MID('Main Project Raw Data'!G123,4,2),LEFT('Main Project Raw Data'!G123,2))))</f>
        <v>45284</v>
      </c>
      <c r="H123" s="3">
        <f>IF(Table1[[#This Row],[Salary]]="",AVERAGE(Table1[Salary]),Table1[[#This Row],[Salary]])</f>
        <v>61086.47</v>
      </c>
      <c r="I123" s="3" t="s">
        <v>50</v>
      </c>
      <c r="J123" s="3">
        <f>ABS(Table1[[#This Row],[Phone]])</f>
        <v>9639907675</v>
      </c>
      <c r="K123" s="3" t="str">
        <f>PROPER(TRIM(Table1[[#This Row],[Performance_Score]]))</f>
        <v>Excellent</v>
      </c>
      <c r="L123" s="3" t="b">
        <f>Table1[[#This Row],[Remote_Work]]</f>
        <v>1</v>
      </c>
      <c r="M123" s="3" t="str">
        <f>PROPER(CONCATENATE(Table13[[#This Row],[First_Name]], Table13[[#This Row],[Last_Name]]))</f>
        <v>Bobjones</v>
      </c>
      <c r="N123" s="3" t="str">
        <f t="shared" si="1"/>
        <v>Dec</v>
      </c>
      <c r="O123" s="3" t="str">
        <f>TEXT(Table13[[#This Row],[Join_Date]],"yyyy")</f>
        <v>2023</v>
      </c>
      <c r="P123" s="3" t="str">
        <f>LEFT('Main Project Raw Data'!E123,FIND("-",'Main Project Raw Data'!E123)-1)</f>
        <v>DevOps</v>
      </c>
      <c r="Q123" s="3" t="str">
        <f>RIGHT('Main Project Raw Data'!E123,LEN('Main Project Raw Data'!E123)-FIND("-",'Main Project Raw Data'!E123))</f>
        <v>Illinois</v>
      </c>
    </row>
    <row r="124" spans="1:17" x14ac:dyDescent="0.3">
      <c r="A124" s="3" t="str">
        <f>TRIM(Table1[[#This Row],[Employee_ID]])</f>
        <v>EMP1122</v>
      </c>
      <c r="B124" s="3" t="str">
        <f>TRIM(Table1[[#This Row],[First_Name]])</f>
        <v>Grace</v>
      </c>
      <c r="C124" s="3" t="str">
        <f>TRIM(Table1[[#This Row],[Last_Name]])</f>
        <v>Johnson</v>
      </c>
      <c r="D124" s="3">
        <f>IF(Table1[[#This Row],[Age]]="",AVERAGE(Table1[Age]),Table1[[#This Row],[Age]])</f>
        <v>25</v>
      </c>
      <c r="E124" s="3" t="s">
        <v>103</v>
      </c>
      <c r="F124" s="3" t="s">
        <v>33</v>
      </c>
      <c r="G124" s="5">
        <f>IF(ISNUMBER('Main Project Raw Data'!G124),'Main Project Raw Data'!G124,IF(ISNUMBER(SEARCH("/",'Main Project Raw Data'!G124)),DATE(RIGHT('Main Project Raw Data'!G124,4),LEFT('Main Project Raw Data'!G124,FIND("/",'Main Project Raw Data'!G124)-1),MID('Main Project Raw Data'!G124,FIND("/",'Main Project Raw Data'!G124)+1,2)),DATE(RIGHT('Main Project Raw Data'!G124,4),MID('Main Project Raw Data'!G124,4,2),LEFT('Main Project Raw Data'!G124,2))))</f>
        <v>44071</v>
      </c>
      <c r="H124" s="3">
        <f>IF(Table1[[#This Row],[Salary]]="",AVERAGE(Table1[Salary]),Table1[[#This Row],[Salary]])</f>
        <v>95339.68</v>
      </c>
      <c r="I124" s="3" t="s">
        <v>127</v>
      </c>
      <c r="J124" s="3">
        <f>ABS(Table1[[#This Row],[Phone]])</f>
        <v>9915078592</v>
      </c>
      <c r="K124" s="3" t="str">
        <f>PROPER(TRIM(Table1[[#This Row],[Performance_Score]]))</f>
        <v>Poor</v>
      </c>
      <c r="L124" s="3" t="b">
        <f>Table1[[#This Row],[Remote_Work]]</f>
        <v>1</v>
      </c>
      <c r="M124" s="3" t="str">
        <f>PROPER(CONCATENATE(Table13[[#This Row],[First_Name]], Table13[[#This Row],[Last_Name]]))</f>
        <v>Gracejohnson</v>
      </c>
      <c r="N124" s="3" t="str">
        <f t="shared" si="1"/>
        <v>Aug</v>
      </c>
      <c r="O124" s="3" t="str">
        <f>TEXT(Table13[[#This Row],[Join_Date]],"yyyy")</f>
        <v>2020</v>
      </c>
      <c r="P124" s="3" t="str">
        <f>LEFT('Main Project Raw Data'!E124,FIND("-",'Main Project Raw Data'!E124)-1)</f>
        <v>Admin</v>
      </c>
      <c r="Q124" s="3" t="str">
        <f>RIGHT('Main Project Raw Data'!E124,LEN('Main Project Raw Data'!E124)-FIND("-",'Main Project Raw Data'!E124))</f>
        <v>Texas</v>
      </c>
    </row>
    <row r="125" spans="1:17" x14ac:dyDescent="0.3">
      <c r="A125" s="3" t="str">
        <f>TRIM(Table1[[#This Row],[Employee_ID]])</f>
        <v>EMP1123</v>
      </c>
      <c r="B125" s="3" t="str">
        <f>TRIM(Table1[[#This Row],[First_Name]])</f>
        <v>Eva</v>
      </c>
      <c r="C125" s="3" t="str">
        <f>TRIM(Table1[[#This Row],[Last_Name]])</f>
        <v>Davis</v>
      </c>
      <c r="D125" s="3">
        <f>IF(Table1[[#This Row],[Age]]="",AVERAGE(Table1[Age]),Table1[[#This Row],[Age]])</f>
        <v>32.484548825710753</v>
      </c>
      <c r="E125" s="3" t="s">
        <v>15</v>
      </c>
      <c r="F125" s="3" t="s">
        <v>33</v>
      </c>
      <c r="G125" s="5">
        <f>IF(ISNUMBER('Main Project Raw Data'!G125),'Main Project Raw Data'!G125,IF(ISNUMBER(SEARCH("/",'Main Project Raw Data'!G125)),DATE(RIGHT('Main Project Raw Data'!G125,4),LEFT('Main Project Raw Data'!G125,FIND("/",'Main Project Raw Data'!G125)-1),MID('Main Project Raw Data'!G125,FIND("/",'Main Project Raw Data'!G125)+1,2)),DATE(RIGHT('Main Project Raw Data'!G125,4),MID('Main Project Raw Data'!G125,4,2),LEFT('Main Project Raw Data'!G125,2))))</f>
        <v>45421</v>
      </c>
      <c r="H125" s="3">
        <f>IF(Table1[[#This Row],[Salary]]="",AVERAGE(Table1[Salary]),Table1[[#This Row],[Salary]])</f>
        <v>83774.97</v>
      </c>
      <c r="I125" s="3" t="s">
        <v>35</v>
      </c>
      <c r="J125" s="3">
        <f>ABS(Table1[[#This Row],[Phone]])</f>
        <v>1109193927</v>
      </c>
      <c r="K125" s="3" t="str">
        <f>PROPER(TRIM(Table1[[#This Row],[Performance_Score]]))</f>
        <v>Average</v>
      </c>
      <c r="L125" s="3" t="b">
        <f>Table1[[#This Row],[Remote_Work]]</f>
        <v>0</v>
      </c>
      <c r="M125" s="3" t="str">
        <f>PROPER(CONCATENATE(Table13[[#This Row],[First_Name]], Table13[[#This Row],[Last_Name]]))</f>
        <v>Evadavis</v>
      </c>
      <c r="N125" s="3" t="str">
        <f t="shared" si="1"/>
        <v>May</v>
      </c>
      <c r="O125" s="3" t="str">
        <f>TEXT(Table13[[#This Row],[Join_Date]],"yyyy")</f>
        <v>2024</v>
      </c>
      <c r="P125" s="3" t="str">
        <f>LEFT('Main Project Raw Data'!E125,FIND("-",'Main Project Raw Data'!E125)-1)</f>
        <v>DevOps</v>
      </c>
      <c r="Q125" s="3" t="str">
        <f>RIGHT('Main Project Raw Data'!E125,LEN('Main Project Raw Data'!E125)-FIND("-",'Main Project Raw Data'!E125))</f>
        <v>California</v>
      </c>
    </row>
    <row r="126" spans="1:17" x14ac:dyDescent="0.3">
      <c r="A126" s="3" t="str">
        <f>TRIM(Table1[[#This Row],[Employee_ID]])</f>
        <v>EMP1124</v>
      </c>
      <c r="B126" s="3" t="str">
        <f>TRIM(Table1[[#This Row],[First_Name]])</f>
        <v>Heidi</v>
      </c>
      <c r="C126" s="3" t="str">
        <f>TRIM(Table1[[#This Row],[Last_Name]])</f>
        <v>Jones</v>
      </c>
      <c r="D126" s="3">
        <f>IF(Table1[[#This Row],[Age]]="",AVERAGE(Table1[Age]),Table1[[#This Row],[Age]])</f>
        <v>32.484548825710753</v>
      </c>
      <c r="E126" s="3" t="s">
        <v>205</v>
      </c>
      <c r="F126" s="3" t="s">
        <v>16</v>
      </c>
      <c r="G126" s="5">
        <f>IF(ISNUMBER('Main Project Raw Data'!G126),'Main Project Raw Data'!G126,IF(ISNUMBER(SEARCH("/",'Main Project Raw Data'!G126)),DATE(RIGHT('Main Project Raw Data'!G126,4),LEFT('Main Project Raw Data'!G126,FIND("/",'Main Project Raw Data'!G126)-1),MID('Main Project Raw Data'!G126,FIND("/",'Main Project Raw Data'!G126)+1,2)),DATE(RIGHT('Main Project Raw Data'!G126,4),MID('Main Project Raw Data'!G126,4,2),LEFT('Main Project Raw Data'!G126,2))))</f>
        <v>45265</v>
      </c>
      <c r="H126" s="3">
        <f>IF(Table1[[#This Row],[Salary]]="",AVERAGE(Table1[Salary]),Table1[[#This Row],[Salary]])</f>
        <v>85576.86</v>
      </c>
      <c r="I126" s="3" t="s">
        <v>319</v>
      </c>
      <c r="J126" s="3">
        <f>ABS(Table1[[#This Row],[Phone]])</f>
        <v>4567972319</v>
      </c>
      <c r="K126" s="3" t="str">
        <f>PROPER(TRIM(Table1[[#This Row],[Performance_Score]]))</f>
        <v>Poor</v>
      </c>
      <c r="L126" s="3" t="b">
        <f>Table1[[#This Row],[Remote_Work]]</f>
        <v>0</v>
      </c>
      <c r="M126" s="3" t="str">
        <f>PROPER(CONCATENATE(Table13[[#This Row],[First_Name]], Table13[[#This Row],[Last_Name]]))</f>
        <v>Heidijones</v>
      </c>
      <c r="N126" s="3" t="str">
        <f t="shared" si="1"/>
        <v>Dec</v>
      </c>
      <c r="O126" s="3" t="str">
        <f>TEXT(Table13[[#This Row],[Join_Date]],"yyyy")</f>
        <v>2023</v>
      </c>
      <c r="P126" s="3" t="str">
        <f>LEFT('Main Project Raw Data'!E126,FIND("-",'Main Project Raw Data'!E126)-1)</f>
        <v>Admin</v>
      </c>
      <c r="Q126" s="3" t="str">
        <f>RIGHT('Main Project Raw Data'!E126,LEN('Main Project Raw Data'!E126)-FIND("-",'Main Project Raw Data'!E126))</f>
        <v>Florida</v>
      </c>
    </row>
    <row r="127" spans="1:17" x14ac:dyDescent="0.3">
      <c r="A127" s="3" t="str">
        <f>TRIM(Table1[[#This Row],[Employee_ID]])</f>
        <v>EMP1125</v>
      </c>
      <c r="B127" s="3" t="str">
        <f>TRIM(Table1[[#This Row],[First_Name]])</f>
        <v>Bob</v>
      </c>
      <c r="C127" s="3" t="str">
        <f>TRIM(Table1[[#This Row],[Last_Name]])</f>
        <v>Garcia</v>
      </c>
      <c r="D127" s="3">
        <f>IF(Table1[[#This Row],[Age]]="",AVERAGE(Table1[Age]),Table1[[#This Row],[Age]])</f>
        <v>35</v>
      </c>
      <c r="E127" s="3" t="s">
        <v>70</v>
      </c>
      <c r="F127" s="3" t="s">
        <v>28</v>
      </c>
      <c r="G127" s="5">
        <f>IF(ISNUMBER('Main Project Raw Data'!G127),'Main Project Raw Data'!G127,IF(ISNUMBER(SEARCH("/",'Main Project Raw Data'!G127)),DATE(RIGHT('Main Project Raw Data'!G127,4),LEFT('Main Project Raw Data'!G127,FIND("/",'Main Project Raw Data'!G127)-1),MID('Main Project Raw Data'!G127,FIND("/",'Main Project Raw Data'!G127)+1,2)),DATE(RIGHT('Main Project Raw Data'!G127,4),MID('Main Project Raw Data'!G127,4,2),LEFT('Main Project Raw Data'!G127,2))))</f>
        <v>44203</v>
      </c>
      <c r="H127" s="3">
        <f>IF(Table1[[#This Row],[Salary]]="",AVERAGE(Table1[Salary]),Table1[[#This Row],[Salary]])</f>
        <v>107438.46</v>
      </c>
      <c r="I127" s="3" t="s">
        <v>153</v>
      </c>
      <c r="J127" s="3">
        <f>ABS(Table1[[#This Row],[Phone]])</f>
        <v>249685497</v>
      </c>
      <c r="K127" s="3" t="str">
        <f>PROPER(TRIM(Table1[[#This Row],[Performance_Score]]))</f>
        <v>Good</v>
      </c>
      <c r="L127" s="3" t="b">
        <f>Table1[[#This Row],[Remote_Work]]</f>
        <v>1</v>
      </c>
      <c r="M127" s="3" t="str">
        <f>PROPER(CONCATENATE(Table13[[#This Row],[First_Name]], Table13[[#This Row],[Last_Name]]))</f>
        <v>Bobgarcia</v>
      </c>
      <c r="N127" s="3" t="str">
        <f t="shared" si="1"/>
        <v>Jan</v>
      </c>
      <c r="O127" s="3" t="str">
        <f>TEXT(Table13[[#This Row],[Join_Date]],"yyyy")</f>
        <v>2021</v>
      </c>
      <c r="P127" s="3" t="str">
        <f>LEFT('Main Project Raw Data'!E127,FIND("-",'Main Project Raw Data'!E127)-1)</f>
        <v>Finance</v>
      </c>
      <c r="Q127" s="3" t="str">
        <f>RIGHT('Main Project Raw Data'!E127,LEN('Main Project Raw Data'!E127)-FIND("-",'Main Project Raw Data'!E127))</f>
        <v>California</v>
      </c>
    </row>
    <row r="128" spans="1:17" x14ac:dyDescent="0.3">
      <c r="A128" s="3" t="str">
        <f>TRIM(Table1[[#This Row],[Employee_ID]])</f>
        <v>EMP1126</v>
      </c>
      <c r="B128" s="3" t="str">
        <f>TRIM(Table1[[#This Row],[First_Name]])</f>
        <v>Eva</v>
      </c>
      <c r="C128" s="3" t="str">
        <f>TRIM(Table1[[#This Row],[Last_Name]])</f>
        <v>Johnson</v>
      </c>
      <c r="D128" s="3">
        <f>IF(Table1[[#This Row],[Age]]="",AVERAGE(Table1[Age]),Table1[[#This Row],[Age]])</f>
        <v>32.484548825710753</v>
      </c>
      <c r="E128" s="3" t="s">
        <v>219</v>
      </c>
      <c r="F128" s="3" t="s">
        <v>33</v>
      </c>
      <c r="G128" s="5">
        <f>IF(ISNUMBER('Main Project Raw Data'!G128),'Main Project Raw Data'!G128,IF(ISNUMBER(SEARCH("/",'Main Project Raw Data'!G128)),DATE(RIGHT('Main Project Raw Data'!G128,4),LEFT('Main Project Raw Data'!G128,FIND("/",'Main Project Raw Data'!G128)-1),MID('Main Project Raw Data'!G128,FIND("/",'Main Project Raw Data'!G128)+1,2)),DATE(RIGHT('Main Project Raw Data'!G128,4),MID('Main Project Raw Data'!G128,4,2),LEFT('Main Project Raw Data'!G128,2))))</f>
        <v>45484</v>
      </c>
      <c r="H128" s="3">
        <f>IF(Table1[[#This Row],[Salary]]="",AVERAGE(Table1[Salary]),Table1[[#This Row],[Salary]])</f>
        <v>60401.68</v>
      </c>
      <c r="I128" s="3" t="s">
        <v>322</v>
      </c>
      <c r="J128" s="3">
        <f>ABS(Table1[[#This Row],[Phone]])</f>
        <v>2274954507</v>
      </c>
      <c r="K128" s="3" t="str">
        <f>PROPER(TRIM(Table1[[#This Row],[Performance_Score]]))</f>
        <v>Average</v>
      </c>
      <c r="L128" s="3" t="b">
        <f>Table1[[#This Row],[Remote_Work]]</f>
        <v>0</v>
      </c>
      <c r="M128" s="3" t="str">
        <f>PROPER(CONCATENATE(Table13[[#This Row],[First_Name]], Table13[[#This Row],[Last_Name]]))</f>
        <v>Evajohnson</v>
      </c>
      <c r="N128" s="3" t="str">
        <f t="shared" si="1"/>
        <v>Jul</v>
      </c>
      <c r="O128" s="3" t="str">
        <f>TEXT(Table13[[#This Row],[Join_Date]],"yyyy")</f>
        <v>2024</v>
      </c>
      <c r="P128" s="3" t="str">
        <f>LEFT('Main Project Raw Data'!E128,FIND("-",'Main Project Raw Data'!E128)-1)</f>
        <v>Sales</v>
      </c>
      <c r="Q128" s="3" t="str">
        <f>RIGHT('Main Project Raw Data'!E128,LEN('Main Project Raw Data'!E128)-FIND("-",'Main Project Raw Data'!E128))</f>
        <v>Nevada</v>
      </c>
    </row>
    <row r="129" spans="1:17" x14ac:dyDescent="0.3">
      <c r="A129" s="3" t="str">
        <f>TRIM(Table1[[#This Row],[Employee_ID]])</f>
        <v>EMP1127</v>
      </c>
      <c r="B129" s="3" t="str">
        <f>TRIM(Table1[[#This Row],[First_Name]])</f>
        <v>Frank</v>
      </c>
      <c r="C129" s="3" t="str">
        <f>TRIM(Table1[[#This Row],[Last_Name]])</f>
        <v>Smith</v>
      </c>
      <c r="D129" s="3">
        <f>IF(Table1[[#This Row],[Age]]="",AVERAGE(Table1[Age]),Table1[[#This Row],[Age]])</f>
        <v>35</v>
      </c>
      <c r="E129" s="3" t="s">
        <v>98</v>
      </c>
      <c r="F129" s="3" t="s">
        <v>33</v>
      </c>
      <c r="G129" s="5">
        <f>IF(ISNUMBER('Main Project Raw Data'!G129),'Main Project Raw Data'!G129,IF(ISNUMBER(SEARCH("/",'Main Project Raw Data'!G129)),DATE(RIGHT('Main Project Raw Data'!G129,4),LEFT('Main Project Raw Data'!G129,FIND("/",'Main Project Raw Data'!G129)-1),MID('Main Project Raw Data'!G129,FIND("/",'Main Project Raw Data'!G129)+1,2)),DATE(RIGHT('Main Project Raw Data'!G129,4),MID('Main Project Raw Data'!G129,4,2),LEFT('Main Project Raw Data'!G129,2))))</f>
        <v>44763</v>
      </c>
      <c r="H129" s="3">
        <f>IF(Table1[[#This Row],[Salary]]="",AVERAGE(Table1[Salary]),Table1[[#This Row],[Salary]])</f>
        <v>115299.66</v>
      </c>
      <c r="I129" s="3" t="s">
        <v>137</v>
      </c>
      <c r="J129" s="3">
        <f>ABS(Table1[[#This Row],[Phone]])</f>
        <v>9203880652</v>
      </c>
      <c r="K129" s="3" t="str">
        <f>PROPER(TRIM(Table1[[#This Row],[Performance_Score]]))</f>
        <v>Good</v>
      </c>
      <c r="L129" s="3" t="b">
        <f>Table1[[#This Row],[Remote_Work]]</f>
        <v>1</v>
      </c>
      <c r="M129" s="3" t="str">
        <f>PROPER(CONCATENATE(Table13[[#This Row],[First_Name]], Table13[[#This Row],[Last_Name]]))</f>
        <v>Franksmith</v>
      </c>
      <c r="N129" s="3" t="str">
        <f t="shared" si="1"/>
        <v>Jul</v>
      </c>
      <c r="O129" s="3" t="str">
        <f>TEXT(Table13[[#This Row],[Join_Date]],"yyyy")</f>
        <v>2022</v>
      </c>
      <c r="P129" s="3" t="str">
        <f>LEFT('Main Project Raw Data'!E129,FIND("-",'Main Project Raw Data'!E129)-1)</f>
        <v>Sales</v>
      </c>
      <c r="Q129" s="3" t="str">
        <f>RIGHT('Main Project Raw Data'!E129,LEN('Main Project Raw Data'!E129)-FIND("-",'Main Project Raw Data'!E129))</f>
        <v>Illinois</v>
      </c>
    </row>
    <row r="130" spans="1:17" x14ac:dyDescent="0.3">
      <c r="A130" s="3" t="str">
        <f>TRIM(Table1[[#This Row],[Employee_ID]])</f>
        <v>EMP1128</v>
      </c>
      <c r="B130" s="3" t="str">
        <f>TRIM(Table1[[#This Row],[First_Name]])</f>
        <v>David</v>
      </c>
      <c r="C130" s="3" t="str">
        <f>TRIM(Table1[[#This Row],[Last_Name]])</f>
        <v>Brown</v>
      </c>
      <c r="D130" s="3">
        <f>IF(Table1[[#This Row],[Age]]="",AVERAGE(Table1[Age]),Table1[[#This Row],[Age]])</f>
        <v>32.484548825710753</v>
      </c>
      <c r="E130" s="3" t="s">
        <v>227</v>
      </c>
      <c r="F130" s="3" t="s">
        <v>33</v>
      </c>
      <c r="G130" s="5">
        <f>IF(ISNUMBER('Main Project Raw Data'!G130),'Main Project Raw Data'!G130,IF(ISNUMBER(SEARCH("/",'Main Project Raw Data'!G130)),DATE(RIGHT('Main Project Raw Data'!G130,4),LEFT('Main Project Raw Data'!G130,FIND("/",'Main Project Raw Data'!G130)-1),MID('Main Project Raw Data'!G130,FIND("/",'Main Project Raw Data'!G130)+1,2)),DATE(RIGHT('Main Project Raw Data'!G130,4),MID('Main Project Raw Data'!G130,4,2),LEFT('Main Project Raw Data'!G130,2))))</f>
        <v>43920</v>
      </c>
      <c r="H130" s="3">
        <f>IF(Table1[[#This Row],[Salary]]="",AVERAGE(Table1[Salary]),Table1[[#This Row],[Salary]])</f>
        <v>72272.34</v>
      </c>
      <c r="I130" s="3" t="s">
        <v>225</v>
      </c>
      <c r="J130" s="3">
        <f>ABS(Table1[[#This Row],[Phone]])</f>
        <v>3315377958</v>
      </c>
      <c r="K130" s="3" t="str">
        <f>PROPER(TRIM(Table1[[#This Row],[Performance_Score]]))</f>
        <v>Average</v>
      </c>
      <c r="L130" s="3" t="b">
        <f>Table1[[#This Row],[Remote_Work]]</f>
        <v>0</v>
      </c>
      <c r="M130" s="3" t="str">
        <f>PROPER(CONCATENATE(Table13[[#This Row],[First_Name]], Table13[[#This Row],[Last_Name]]))</f>
        <v>Davidbrown</v>
      </c>
      <c r="N130" s="3" t="str">
        <f t="shared" ref="N130:N193" si="2">TEXT(G130,"mmm")</f>
        <v>Mar</v>
      </c>
      <c r="O130" s="3" t="str">
        <f>TEXT(Table13[[#This Row],[Join_Date]],"yyyy")</f>
        <v>2020</v>
      </c>
      <c r="P130" s="3" t="str">
        <f>LEFT('Main Project Raw Data'!E130,FIND("-",'Main Project Raw Data'!E130)-1)</f>
        <v>Finance</v>
      </c>
      <c r="Q130" s="3" t="str">
        <f>RIGHT('Main Project Raw Data'!E130,LEN('Main Project Raw Data'!E130)-FIND("-",'Main Project Raw Data'!E130))</f>
        <v>New York</v>
      </c>
    </row>
    <row r="131" spans="1:17" x14ac:dyDescent="0.3">
      <c r="A131" s="3" t="str">
        <f>TRIM(Table1[[#This Row],[Employee_ID]])</f>
        <v>EMP1129</v>
      </c>
      <c r="B131" s="3" t="str">
        <f>TRIM(Table1[[#This Row],[First_Name]])</f>
        <v>Grace</v>
      </c>
      <c r="C131" s="3" t="str">
        <f>TRIM(Table1[[#This Row],[Last_Name]])</f>
        <v>Brown</v>
      </c>
      <c r="D131" s="3">
        <f>IF(Table1[[#This Row],[Age]]="",AVERAGE(Table1[Age]),Table1[[#This Row],[Age]])</f>
        <v>40</v>
      </c>
      <c r="E131" s="3" t="s">
        <v>328</v>
      </c>
      <c r="F131" s="3" t="s">
        <v>16</v>
      </c>
      <c r="G131" s="5">
        <f>IF(ISNUMBER('Main Project Raw Data'!G131),'Main Project Raw Data'!G131,IF(ISNUMBER(SEARCH("/",'Main Project Raw Data'!G131)),DATE(RIGHT('Main Project Raw Data'!G131,4),LEFT('Main Project Raw Data'!G131,FIND("/",'Main Project Raw Data'!G131)-1),MID('Main Project Raw Data'!G131,FIND("/",'Main Project Raw Data'!G131)+1,2)),DATE(RIGHT('Main Project Raw Data'!G131,4),MID('Main Project Raw Data'!G131,4,2),LEFT('Main Project Raw Data'!G131,2))))</f>
        <v>44875</v>
      </c>
      <c r="H131" s="3">
        <f>IF(Table1[[#This Row],[Salary]]="",AVERAGE(Table1[Salary]),Table1[[#This Row],[Salary]])</f>
        <v>117537.71</v>
      </c>
      <c r="I131" s="3" t="s">
        <v>201</v>
      </c>
      <c r="J131" s="3">
        <f>ABS(Table1[[#This Row],[Phone]])</f>
        <v>9594652169</v>
      </c>
      <c r="K131" s="3" t="str">
        <f>PROPER(TRIM(Table1[[#This Row],[Performance_Score]]))</f>
        <v>Excellent</v>
      </c>
      <c r="L131" s="3" t="b">
        <f>Table1[[#This Row],[Remote_Work]]</f>
        <v>0</v>
      </c>
      <c r="M131" s="3" t="str">
        <f>PROPER(CONCATENATE(Table13[[#This Row],[First_Name]], Table13[[#This Row],[Last_Name]]))</f>
        <v>Gracebrown</v>
      </c>
      <c r="N131" s="3" t="str">
        <f t="shared" si="2"/>
        <v>Nov</v>
      </c>
      <c r="O131" s="3" t="str">
        <f>TEXT(Table13[[#This Row],[Join_Date]],"yyyy")</f>
        <v>2022</v>
      </c>
      <c r="P131" s="3" t="str">
        <f>LEFT('Main Project Raw Data'!E131,FIND("-",'Main Project Raw Data'!E131)-1)</f>
        <v>DevOps</v>
      </c>
      <c r="Q131" s="3" t="str">
        <f>RIGHT('Main Project Raw Data'!E131,LEN('Main Project Raw Data'!E131)-FIND("-",'Main Project Raw Data'!E131))</f>
        <v>Nevada</v>
      </c>
    </row>
    <row r="132" spans="1:17" x14ac:dyDescent="0.3">
      <c r="A132" s="3" t="str">
        <f>TRIM(Table1[[#This Row],[Employee_ID]])</f>
        <v>EMP1130</v>
      </c>
      <c r="B132" s="3" t="str">
        <f>TRIM(Table1[[#This Row],[First_Name]])</f>
        <v>Frank</v>
      </c>
      <c r="C132" s="3" t="str">
        <f>TRIM(Table1[[#This Row],[Last_Name]])</f>
        <v>Brown</v>
      </c>
      <c r="D132" s="3">
        <f>IF(Table1[[#This Row],[Age]]="",AVERAGE(Table1[Age]),Table1[[#This Row],[Age]])</f>
        <v>25</v>
      </c>
      <c r="E132" s="3" t="s">
        <v>21</v>
      </c>
      <c r="F132" s="3" t="s">
        <v>28</v>
      </c>
      <c r="G132" s="5">
        <f>IF(ISNUMBER('Main Project Raw Data'!G132),'Main Project Raw Data'!G132,IF(ISNUMBER(SEARCH("/",'Main Project Raw Data'!G132)),DATE(RIGHT('Main Project Raw Data'!G132,4),LEFT('Main Project Raw Data'!G132,FIND("/",'Main Project Raw Data'!G132)-1),MID('Main Project Raw Data'!G132,FIND("/",'Main Project Raw Data'!G132)+1,2)),DATE(RIGHT('Main Project Raw Data'!G132,4),MID('Main Project Raw Data'!G132,4,2),LEFT('Main Project Raw Data'!G132,2))))</f>
        <v>44766</v>
      </c>
      <c r="H132" s="3">
        <f>IF(Table1[[#This Row],[Salary]]="",AVERAGE(Table1[Salary]),Table1[[#This Row],[Salary]])</f>
        <v>51074.33</v>
      </c>
      <c r="I132" s="3" t="s">
        <v>239</v>
      </c>
      <c r="J132" s="3">
        <f>ABS(Table1[[#This Row],[Phone]])</f>
        <v>7303379336</v>
      </c>
      <c r="K132" s="3" t="str">
        <f>PROPER(TRIM(Table1[[#This Row],[Performance_Score]]))</f>
        <v>Excellent</v>
      </c>
      <c r="L132" s="3" t="b">
        <f>Table1[[#This Row],[Remote_Work]]</f>
        <v>1</v>
      </c>
      <c r="M132" s="3" t="str">
        <f>PROPER(CONCATENATE(Table13[[#This Row],[First_Name]], Table13[[#This Row],[Last_Name]]))</f>
        <v>Frankbrown</v>
      </c>
      <c r="N132" s="3" t="str">
        <f t="shared" si="2"/>
        <v>Jul</v>
      </c>
      <c r="O132" s="3" t="str">
        <f>TEXT(Table13[[#This Row],[Join_Date]],"yyyy")</f>
        <v>2022</v>
      </c>
      <c r="P132" s="3" t="str">
        <f>LEFT('Main Project Raw Data'!E132,FIND("-",'Main Project Raw Data'!E132)-1)</f>
        <v>Finance</v>
      </c>
      <c r="Q132" s="3" t="str">
        <f>RIGHT('Main Project Raw Data'!E132,LEN('Main Project Raw Data'!E132)-FIND("-",'Main Project Raw Data'!E132))</f>
        <v>Texas</v>
      </c>
    </row>
    <row r="133" spans="1:17" x14ac:dyDescent="0.3">
      <c r="A133" s="3" t="str">
        <f>TRIM(Table1[[#This Row],[Employee_ID]])</f>
        <v>EMP1131</v>
      </c>
      <c r="B133" s="3" t="str">
        <f>TRIM(Table1[[#This Row],[First_Name]])</f>
        <v>Charlie</v>
      </c>
      <c r="C133" s="3" t="str">
        <f>TRIM(Table1[[#This Row],[Last_Name]])</f>
        <v>Jones</v>
      </c>
      <c r="D133" s="3">
        <f>IF(Table1[[#This Row],[Age]]="",AVERAGE(Table1[Age]),Table1[[#This Row],[Age]])</f>
        <v>25</v>
      </c>
      <c r="E133" s="3" t="s">
        <v>70</v>
      </c>
      <c r="F133" s="3" t="s">
        <v>33</v>
      </c>
      <c r="G133" s="5">
        <f>IF(ISNUMBER('Main Project Raw Data'!G133),'Main Project Raw Data'!G133,IF(ISNUMBER(SEARCH("/",'Main Project Raw Data'!G133)),DATE(RIGHT('Main Project Raw Data'!G133,4),LEFT('Main Project Raw Data'!G133,FIND("/",'Main Project Raw Data'!G133)-1),MID('Main Project Raw Data'!G133,FIND("/",'Main Project Raw Data'!G133)+1,2)),DATE(RIGHT('Main Project Raw Data'!G133,4),MID('Main Project Raw Data'!G133,4,2),LEFT('Main Project Raw Data'!G133,2))))</f>
        <v>45107</v>
      </c>
      <c r="H133" s="3">
        <f>IF(Table1[[#This Row],[Salary]]="",AVERAGE(Table1[Salary]),Table1[[#This Row],[Salary]])</f>
        <v>98489.32</v>
      </c>
      <c r="I133" s="3" t="s">
        <v>120</v>
      </c>
      <c r="J133" s="3">
        <f>ABS(Table1[[#This Row],[Phone]])</f>
        <v>5636205014</v>
      </c>
      <c r="K133" s="3" t="str">
        <f>PROPER(TRIM(Table1[[#This Row],[Performance_Score]]))</f>
        <v>Excellent</v>
      </c>
      <c r="L133" s="3" t="b">
        <f>Table1[[#This Row],[Remote_Work]]</f>
        <v>0</v>
      </c>
      <c r="M133" s="3" t="str">
        <f>PROPER(CONCATENATE(Table13[[#This Row],[First_Name]], Table13[[#This Row],[Last_Name]]))</f>
        <v>Charliejones</v>
      </c>
      <c r="N133" s="3" t="str">
        <f t="shared" si="2"/>
        <v>Jun</v>
      </c>
      <c r="O133" s="3" t="str">
        <f>TEXT(Table13[[#This Row],[Join_Date]],"yyyy")</f>
        <v>2023</v>
      </c>
      <c r="P133" s="3" t="str">
        <f>LEFT('Main Project Raw Data'!E133,FIND("-",'Main Project Raw Data'!E133)-1)</f>
        <v>Finance</v>
      </c>
      <c r="Q133" s="3" t="str">
        <f>RIGHT('Main Project Raw Data'!E133,LEN('Main Project Raw Data'!E133)-FIND("-",'Main Project Raw Data'!E133))</f>
        <v>California</v>
      </c>
    </row>
    <row r="134" spans="1:17" x14ac:dyDescent="0.3">
      <c r="A134" s="3" t="str">
        <f>TRIM(Table1[[#This Row],[Employee_ID]])</f>
        <v>EMP1132</v>
      </c>
      <c r="B134" s="3" t="str">
        <f>TRIM(Table1[[#This Row],[First_Name]])</f>
        <v>Frank</v>
      </c>
      <c r="C134" s="3" t="str">
        <f>TRIM(Table1[[#This Row],[Last_Name]])</f>
        <v>Smith</v>
      </c>
      <c r="D134" s="3">
        <f>IF(Table1[[#This Row],[Age]]="",AVERAGE(Table1[Age]),Table1[[#This Row],[Age]])</f>
        <v>32.484548825710753</v>
      </c>
      <c r="E134" s="3" t="s">
        <v>70</v>
      </c>
      <c r="F134" s="3" t="s">
        <v>28</v>
      </c>
      <c r="G134" s="5">
        <f>IF(ISNUMBER('Main Project Raw Data'!G134),'Main Project Raw Data'!G134,IF(ISNUMBER(SEARCH("/",'Main Project Raw Data'!G134)),DATE(RIGHT('Main Project Raw Data'!G134,4),LEFT('Main Project Raw Data'!G134,FIND("/",'Main Project Raw Data'!G134)-1),MID('Main Project Raw Data'!G134,FIND("/",'Main Project Raw Data'!G134)+1,2)),DATE(RIGHT('Main Project Raw Data'!G134,4),MID('Main Project Raw Data'!G134,4,2),LEFT('Main Project Raw Data'!G134,2))))</f>
        <v>45597</v>
      </c>
      <c r="H134" s="3">
        <f>IF(Table1[[#This Row],[Salary]]="",AVERAGE(Table1[Salary]),Table1[[#This Row],[Salary]])</f>
        <v>112120.71</v>
      </c>
      <c r="I134" s="3" t="s">
        <v>137</v>
      </c>
      <c r="J134" s="3">
        <f>ABS(Table1[[#This Row],[Phone]])</f>
        <v>812473949</v>
      </c>
      <c r="K134" s="3" t="str">
        <f>PROPER(TRIM(Table1[[#This Row],[Performance_Score]]))</f>
        <v>Poor</v>
      </c>
      <c r="L134" s="3" t="b">
        <f>Table1[[#This Row],[Remote_Work]]</f>
        <v>1</v>
      </c>
      <c r="M134" s="3" t="str">
        <f>PROPER(CONCATENATE(Table13[[#This Row],[First_Name]], Table13[[#This Row],[Last_Name]]))</f>
        <v>Franksmith</v>
      </c>
      <c r="N134" s="3" t="str">
        <f t="shared" si="2"/>
        <v>Nov</v>
      </c>
      <c r="O134" s="3" t="str">
        <f>TEXT(Table13[[#This Row],[Join_Date]],"yyyy")</f>
        <v>2024</v>
      </c>
      <c r="P134" s="3" t="str">
        <f>LEFT('Main Project Raw Data'!E134,FIND("-",'Main Project Raw Data'!E134)-1)</f>
        <v>Finance</v>
      </c>
      <c r="Q134" s="3" t="str">
        <f>RIGHT('Main Project Raw Data'!E134,LEN('Main Project Raw Data'!E134)-FIND("-",'Main Project Raw Data'!E134))</f>
        <v>California</v>
      </c>
    </row>
    <row r="135" spans="1:17" x14ac:dyDescent="0.3">
      <c r="A135" s="3" t="str">
        <f>TRIM(Table1[[#This Row],[Employee_ID]])</f>
        <v>EMP1133</v>
      </c>
      <c r="B135" s="3" t="str">
        <f>TRIM(Table1[[#This Row],[First_Name]])</f>
        <v>Alice</v>
      </c>
      <c r="C135" s="3" t="str">
        <f>TRIM(Table1[[#This Row],[Last_Name]])</f>
        <v>Jones</v>
      </c>
      <c r="D135" s="3">
        <f>IF(Table1[[#This Row],[Age]]="",AVERAGE(Table1[Age]),Table1[[#This Row],[Age]])</f>
        <v>32.484548825710753</v>
      </c>
      <c r="E135" s="3" t="s">
        <v>60</v>
      </c>
      <c r="F135" s="3" t="s">
        <v>28</v>
      </c>
      <c r="G135" s="5">
        <f>IF(ISNUMBER('Main Project Raw Data'!G135),'Main Project Raw Data'!G135,IF(ISNUMBER(SEARCH("/",'Main Project Raw Data'!G135)),DATE(RIGHT('Main Project Raw Data'!G135,4),LEFT('Main Project Raw Data'!G135,FIND("/",'Main Project Raw Data'!G135)-1),MID('Main Project Raw Data'!G135,FIND("/",'Main Project Raw Data'!G135)+1,2)),DATE(RIGHT('Main Project Raw Data'!G135,4),MID('Main Project Raw Data'!G135,4,2),LEFT('Main Project Raw Data'!G135,2))))</f>
        <v>44968</v>
      </c>
      <c r="H135" s="3">
        <f>IF(Table1[[#This Row],[Salary]]="",AVERAGE(Table1[Salary]),Table1[[#This Row],[Salary]])</f>
        <v>114465.04</v>
      </c>
      <c r="I135" s="3" t="s">
        <v>29</v>
      </c>
      <c r="J135" s="3">
        <f>ABS(Table1[[#This Row],[Phone]])</f>
        <v>334234257</v>
      </c>
      <c r="K135" s="3" t="str">
        <f>PROPER(TRIM(Table1[[#This Row],[Performance_Score]]))</f>
        <v>Good</v>
      </c>
      <c r="L135" s="3" t="b">
        <f>Table1[[#This Row],[Remote_Work]]</f>
        <v>0</v>
      </c>
      <c r="M135" s="3" t="str">
        <f>PROPER(CONCATENATE(Table13[[#This Row],[First_Name]], Table13[[#This Row],[Last_Name]]))</f>
        <v>Alicejones</v>
      </c>
      <c r="N135" s="3" t="str">
        <f t="shared" si="2"/>
        <v>Feb</v>
      </c>
      <c r="O135" s="3" t="str">
        <f>TEXT(Table13[[#This Row],[Join_Date]],"yyyy")</f>
        <v>2023</v>
      </c>
      <c r="P135" s="3" t="str">
        <f>LEFT('Main Project Raw Data'!E135,FIND("-",'Main Project Raw Data'!E135)-1)</f>
        <v>Cloud Tech</v>
      </c>
      <c r="Q135" s="3" t="str">
        <f>RIGHT('Main Project Raw Data'!E135,LEN('Main Project Raw Data'!E135)-FIND("-",'Main Project Raw Data'!E135))</f>
        <v>New York</v>
      </c>
    </row>
    <row r="136" spans="1:17" x14ac:dyDescent="0.3">
      <c r="A136" s="3" t="str">
        <f>TRIM(Table1[[#This Row],[Employee_ID]])</f>
        <v>EMP1134</v>
      </c>
      <c r="B136" s="3" t="str">
        <f>TRIM(Table1[[#This Row],[First_Name]])</f>
        <v>Bob</v>
      </c>
      <c r="C136" s="3" t="str">
        <f>TRIM(Table1[[#This Row],[Last_Name]])</f>
        <v>Davis</v>
      </c>
      <c r="D136" s="3">
        <f>IF(Table1[[#This Row],[Age]]="",AVERAGE(Table1[Age]),Table1[[#This Row],[Age]])</f>
        <v>40</v>
      </c>
      <c r="E136" s="3" t="s">
        <v>85</v>
      </c>
      <c r="F136" s="3" t="s">
        <v>28</v>
      </c>
      <c r="G136" s="5">
        <f>IF(ISNUMBER('Main Project Raw Data'!G136),'Main Project Raw Data'!G136,IF(ISNUMBER(SEARCH("/",'Main Project Raw Data'!G136)),DATE(RIGHT('Main Project Raw Data'!G136,4),LEFT('Main Project Raw Data'!G136,FIND("/",'Main Project Raw Data'!G136)-1),MID('Main Project Raw Data'!G136,FIND("/",'Main Project Raw Data'!G136)+1,2)),DATE(RIGHT('Main Project Raw Data'!G136,4),MID('Main Project Raw Data'!G136,4,2),LEFT('Main Project Raw Data'!G136,2))))</f>
        <v>45618</v>
      </c>
      <c r="H136" s="3">
        <f>IF(Table1[[#This Row],[Salary]]="",AVERAGE(Table1[Salary]),Table1[[#This Row],[Salary]])</f>
        <v>57035.51</v>
      </c>
      <c r="I136" s="3" t="s">
        <v>17</v>
      </c>
      <c r="J136" s="3">
        <f>ABS(Table1[[#This Row],[Phone]])</f>
        <v>3230241025</v>
      </c>
      <c r="K136" s="3" t="str">
        <f>PROPER(TRIM(Table1[[#This Row],[Performance_Score]]))</f>
        <v>Poor</v>
      </c>
      <c r="L136" s="3" t="b">
        <f>Table1[[#This Row],[Remote_Work]]</f>
        <v>1</v>
      </c>
      <c r="M136" s="3" t="str">
        <f>PROPER(CONCATENATE(Table13[[#This Row],[First_Name]], Table13[[#This Row],[Last_Name]]))</f>
        <v>Bobdavis</v>
      </c>
      <c r="N136" s="3" t="str">
        <f t="shared" si="2"/>
        <v>Nov</v>
      </c>
      <c r="O136" s="3" t="str">
        <f>TEXT(Table13[[#This Row],[Join_Date]],"yyyy")</f>
        <v>2024</v>
      </c>
      <c r="P136" s="3" t="str">
        <f>LEFT('Main Project Raw Data'!E136,FIND("-",'Main Project Raw Data'!E136)-1)</f>
        <v>Cloud Tech</v>
      </c>
      <c r="Q136" s="3" t="str">
        <f>RIGHT('Main Project Raw Data'!E136,LEN('Main Project Raw Data'!E136)-FIND("-",'Main Project Raw Data'!E136))</f>
        <v>Nevada</v>
      </c>
    </row>
    <row r="137" spans="1:17" x14ac:dyDescent="0.3">
      <c r="A137" s="3" t="str">
        <f>TRIM(Table1[[#This Row],[Employee_ID]])</f>
        <v>EMP1135</v>
      </c>
      <c r="B137" s="3" t="str">
        <f>TRIM(Table1[[#This Row],[First_Name]])</f>
        <v>Eva</v>
      </c>
      <c r="C137" s="3" t="str">
        <f>TRIM(Table1[[#This Row],[Last_Name]])</f>
        <v>Jones</v>
      </c>
      <c r="D137" s="3">
        <f>IF(Table1[[#This Row],[Age]]="",AVERAGE(Table1[Age]),Table1[[#This Row],[Age]])</f>
        <v>25</v>
      </c>
      <c r="E137" s="3" t="s">
        <v>268</v>
      </c>
      <c r="F137" s="3" t="s">
        <v>16</v>
      </c>
      <c r="G137" s="5">
        <f>IF(ISNUMBER('Main Project Raw Data'!G137),'Main Project Raw Data'!G137,IF(ISNUMBER(SEARCH("/",'Main Project Raw Data'!G137)),DATE(RIGHT('Main Project Raw Data'!G137,4),LEFT('Main Project Raw Data'!G137,FIND("/",'Main Project Raw Data'!G137)-1),MID('Main Project Raw Data'!G137,FIND("/",'Main Project Raw Data'!G137)+1,2)),DATE(RIGHT('Main Project Raw Data'!G137,4),MID('Main Project Raw Data'!G137,4,2),LEFT('Main Project Raw Data'!G137,2))))</f>
        <v>44431</v>
      </c>
      <c r="H137" s="3">
        <f>IF(Table1[[#This Row],[Salary]]="",AVERAGE(Table1[Salary]),Table1[[#This Row],[Salary]])</f>
        <v>75092.429999999993</v>
      </c>
      <c r="I137" s="3" t="s">
        <v>277</v>
      </c>
      <c r="J137" s="3">
        <f>ABS(Table1[[#This Row],[Phone]])</f>
        <v>1534735527</v>
      </c>
      <c r="K137" s="3" t="str">
        <f>PROPER(TRIM(Table1[[#This Row],[Performance_Score]]))</f>
        <v>Excellent</v>
      </c>
      <c r="L137" s="3" t="b">
        <f>Table1[[#This Row],[Remote_Work]]</f>
        <v>1</v>
      </c>
      <c r="M137" s="3" t="str">
        <f>PROPER(CONCATENATE(Table13[[#This Row],[First_Name]], Table13[[#This Row],[Last_Name]]))</f>
        <v>Evajones</v>
      </c>
      <c r="N137" s="3" t="str">
        <f t="shared" si="2"/>
        <v>Aug</v>
      </c>
      <c r="O137" s="3" t="str">
        <f>TEXT(Table13[[#This Row],[Join_Date]],"yyyy")</f>
        <v>2021</v>
      </c>
      <c r="P137" s="3" t="str">
        <f>LEFT('Main Project Raw Data'!E137,FIND("-",'Main Project Raw Data'!E137)-1)</f>
        <v>Cloud Tech</v>
      </c>
      <c r="Q137" s="3" t="str">
        <f>RIGHT('Main Project Raw Data'!E137,LEN('Main Project Raw Data'!E137)-FIND("-",'Main Project Raw Data'!E137))</f>
        <v>California</v>
      </c>
    </row>
    <row r="138" spans="1:17" x14ac:dyDescent="0.3">
      <c r="A138" s="3" t="str">
        <f>TRIM(Table1[[#This Row],[Employee_ID]])</f>
        <v>EMP1136</v>
      </c>
      <c r="B138" s="3" t="str">
        <f>TRIM(Table1[[#This Row],[First_Name]])</f>
        <v>David</v>
      </c>
      <c r="C138" s="3" t="str">
        <f>TRIM(Table1[[#This Row],[Last_Name]])</f>
        <v>Smith</v>
      </c>
      <c r="D138" s="3">
        <f>IF(Table1[[#This Row],[Age]]="",AVERAGE(Table1[Age]),Table1[[#This Row],[Age]])</f>
        <v>32.484548825710753</v>
      </c>
      <c r="E138" s="3" t="s">
        <v>265</v>
      </c>
      <c r="F138" s="3" t="s">
        <v>28</v>
      </c>
      <c r="G138" s="5">
        <f>IF(ISNUMBER('Main Project Raw Data'!G138),'Main Project Raw Data'!G138,IF(ISNUMBER(SEARCH("/",'Main Project Raw Data'!G138)),DATE(RIGHT('Main Project Raw Data'!G138,4),LEFT('Main Project Raw Data'!G138,FIND("/",'Main Project Raw Data'!G138)-1),MID('Main Project Raw Data'!G138,FIND("/",'Main Project Raw Data'!G138)+1,2)),DATE(RIGHT('Main Project Raw Data'!G138,4),MID('Main Project Raw Data'!G138,4,2),LEFT('Main Project Raw Data'!G138,2))))</f>
        <v>45602</v>
      </c>
      <c r="H138" s="3">
        <f>IF(Table1[[#This Row],[Salary]]="",AVERAGE(Table1[Salary]),Table1[[#This Row],[Salary]])</f>
        <v>62603.98</v>
      </c>
      <c r="I138" s="3" t="s">
        <v>340</v>
      </c>
      <c r="J138" s="3">
        <f>ABS(Table1[[#This Row],[Phone]])</f>
        <v>9611223385</v>
      </c>
      <c r="K138" s="3" t="str">
        <f>PROPER(TRIM(Table1[[#This Row],[Performance_Score]]))</f>
        <v>Good</v>
      </c>
      <c r="L138" s="3" t="b">
        <f>Table1[[#This Row],[Remote_Work]]</f>
        <v>0</v>
      </c>
      <c r="M138" s="3" t="str">
        <f>PROPER(CONCATENATE(Table13[[#This Row],[First_Name]], Table13[[#This Row],[Last_Name]]))</f>
        <v>Davidsmith</v>
      </c>
      <c r="N138" s="3" t="str">
        <f t="shared" si="2"/>
        <v>Nov</v>
      </c>
      <c r="O138" s="3" t="str">
        <f>TEXT(Table13[[#This Row],[Join_Date]],"yyyy")</f>
        <v>2024</v>
      </c>
      <c r="P138" s="3" t="str">
        <f>LEFT('Main Project Raw Data'!E138,FIND("-",'Main Project Raw Data'!E138)-1)</f>
        <v>Finance</v>
      </c>
      <c r="Q138" s="3" t="str">
        <f>RIGHT('Main Project Raw Data'!E138,LEN('Main Project Raw Data'!E138)-FIND("-",'Main Project Raw Data'!E138))</f>
        <v>Illinois</v>
      </c>
    </row>
    <row r="139" spans="1:17" x14ac:dyDescent="0.3">
      <c r="A139" s="3" t="str">
        <f>TRIM(Table1[[#This Row],[Employee_ID]])</f>
        <v>EMP1137</v>
      </c>
      <c r="B139" s="3" t="str">
        <f>TRIM(Table1[[#This Row],[First_Name]])</f>
        <v>Grace</v>
      </c>
      <c r="C139" s="3" t="str">
        <f>TRIM(Table1[[#This Row],[Last_Name]])</f>
        <v>Smith</v>
      </c>
      <c r="D139" s="3">
        <f>IF(Table1[[#This Row],[Age]]="",AVERAGE(Table1[Age]),Table1[[#This Row],[Age]])</f>
        <v>32.484548825710753</v>
      </c>
      <c r="E139" s="3" t="s">
        <v>56</v>
      </c>
      <c r="F139" s="3" t="s">
        <v>33</v>
      </c>
      <c r="G139" s="5">
        <f>IF(ISNUMBER('Main Project Raw Data'!G139),'Main Project Raw Data'!G139,IF(ISNUMBER(SEARCH("/",'Main Project Raw Data'!G139)),DATE(RIGHT('Main Project Raw Data'!G139,4),LEFT('Main Project Raw Data'!G139,FIND("/",'Main Project Raw Data'!G139)-1),MID('Main Project Raw Data'!G139,FIND("/",'Main Project Raw Data'!G139)+1,2)),DATE(RIGHT('Main Project Raw Data'!G139,4),MID('Main Project Raw Data'!G139,4,2),LEFT('Main Project Raw Data'!G139,2))))</f>
        <v>45173</v>
      </c>
      <c r="H139" s="3">
        <f>IF(Table1[[#This Row],[Salary]]="",AVERAGE(Table1[Salary]),Table1[[#This Row],[Salary]])</f>
        <v>60018.239999999998</v>
      </c>
      <c r="I139" s="3" t="s">
        <v>135</v>
      </c>
      <c r="J139" s="3">
        <f>ABS(Table1[[#This Row],[Phone]])</f>
        <v>5596309937</v>
      </c>
      <c r="K139" s="3" t="str">
        <f>PROPER(TRIM(Table1[[#This Row],[Performance_Score]]))</f>
        <v>Excellent</v>
      </c>
      <c r="L139" s="3" t="b">
        <f>Table1[[#This Row],[Remote_Work]]</f>
        <v>0</v>
      </c>
      <c r="M139" s="3" t="str">
        <f>PROPER(CONCATENATE(Table13[[#This Row],[First_Name]], Table13[[#This Row],[Last_Name]]))</f>
        <v>Gracesmith</v>
      </c>
      <c r="N139" s="3" t="str">
        <f t="shared" si="2"/>
        <v>Sep</v>
      </c>
      <c r="O139" s="3" t="str">
        <f>TEXT(Table13[[#This Row],[Join_Date]],"yyyy")</f>
        <v>2023</v>
      </c>
      <c r="P139" s="3" t="str">
        <f>LEFT('Main Project Raw Data'!E139,FIND("-",'Main Project Raw Data'!E139)-1)</f>
        <v>DevOps</v>
      </c>
      <c r="Q139" s="3" t="str">
        <f>RIGHT('Main Project Raw Data'!E139,LEN('Main Project Raw Data'!E139)-FIND("-",'Main Project Raw Data'!E139))</f>
        <v>New York</v>
      </c>
    </row>
    <row r="140" spans="1:17" x14ac:dyDescent="0.3">
      <c r="A140" s="3" t="str">
        <f>TRIM(Table1[[#This Row],[Employee_ID]])</f>
        <v>EMP1138</v>
      </c>
      <c r="B140" s="3" t="str">
        <f>TRIM(Table1[[#This Row],[First_Name]])</f>
        <v>Eva</v>
      </c>
      <c r="C140" s="3" t="str">
        <f>TRIM(Table1[[#This Row],[Last_Name]])</f>
        <v>Davis</v>
      </c>
      <c r="D140" s="3">
        <f>IF(Table1[[#This Row],[Age]]="",AVERAGE(Table1[Age]),Table1[[#This Row],[Age]])</f>
        <v>40</v>
      </c>
      <c r="E140" s="3" t="s">
        <v>149</v>
      </c>
      <c r="F140" s="3" t="s">
        <v>16</v>
      </c>
      <c r="G140" s="5">
        <f>IF(ISNUMBER('Main Project Raw Data'!G140),'Main Project Raw Data'!G140,IF(ISNUMBER(SEARCH("/",'Main Project Raw Data'!G140)),DATE(RIGHT('Main Project Raw Data'!G140,4),LEFT('Main Project Raw Data'!G140,FIND("/",'Main Project Raw Data'!G140)-1),MID('Main Project Raw Data'!G140,FIND("/",'Main Project Raw Data'!G140)+1,2)),DATE(RIGHT('Main Project Raw Data'!G140,4),MID('Main Project Raw Data'!G140,4,2),LEFT('Main Project Raw Data'!G140,2))))</f>
        <v>45419</v>
      </c>
      <c r="H140" s="3">
        <f>IF(Table1[[#This Row],[Salary]]="",AVERAGE(Table1[Salary]),Table1[[#This Row],[Salary]])</f>
        <v>82567.73</v>
      </c>
      <c r="I140" s="3" t="s">
        <v>35</v>
      </c>
      <c r="J140" s="3">
        <f>ABS(Table1[[#This Row],[Phone]])</f>
        <v>4253042896</v>
      </c>
      <c r="K140" s="3" t="str">
        <f>PROPER(TRIM(Table1[[#This Row],[Performance_Score]]))</f>
        <v>Poor</v>
      </c>
      <c r="L140" s="3" t="b">
        <f>Table1[[#This Row],[Remote_Work]]</f>
        <v>1</v>
      </c>
      <c r="M140" s="3" t="str">
        <f>PROPER(CONCATENATE(Table13[[#This Row],[First_Name]], Table13[[#This Row],[Last_Name]]))</f>
        <v>Evadavis</v>
      </c>
      <c r="N140" s="3" t="str">
        <f t="shared" si="2"/>
        <v>May</v>
      </c>
      <c r="O140" s="3" t="str">
        <f>TEXT(Table13[[#This Row],[Join_Date]],"yyyy")</f>
        <v>2024</v>
      </c>
      <c r="P140" s="3" t="str">
        <f>LEFT('Main Project Raw Data'!E140,FIND("-",'Main Project Raw Data'!E140)-1)</f>
        <v>HR</v>
      </c>
      <c r="Q140" s="3" t="str">
        <f>RIGHT('Main Project Raw Data'!E140,LEN('Main Project Raw Data'!E140)-FIND("-",'Main Project Raw Data'!E140))</f>
        <v>Nevada</v>
      </c>
    </row>
    <row r="141" spans="1:17" x14ac:dyDescent="0.3">
      <c r="A141" s="3" t="str">
        <f>TRIM(Table1[[#This Row],[Employee_ID]])</f>
        <v>EMP1139</v>
      </c>
      <c r="B141" s="3" t="str">
        <f>TRIM(Table1[[#This Row],[First_Name]])</f>
        <v>Charlie</v>
      </c>
      <c r="C141" s="3" t="str">
        <f>TRIM(Table1[[#This Row],[Last_Name]])</f>
        <v>Smith</v>
      </c>
      <c r="D141" s="3">
        <f>IF(Table1[[#This Row],[Age]]="",AVERAGE(Table1[Age]),Table1[[#This Row],[Age]])</f>
        <v>25</v>
      </c>
      <c r="E141" s="3" t="s">
        <v>70</v>
      </c>
      <c r="F141" s="3" t="s">
        <v>28</v>
      </c>
      <c r="G141" s="5">
        <f>IF(ISNUMBER('Main Project Raw Data'!G141),'Main Project Raw Data'!G141,IF(ISNUMBER(SEARCH("/",'Main Project Raw Data'!G141)),DATE(RIGHT('Main Project Raw Data'!G141,4),LEFT('Main Project Raw Data'!G141,FIND("/",'Main Project Raw Data'!G141)-1),MID('Main Project Raw Data'!G141,FIND("/",'Main Project Raw Data'!G141)+1,2)),DATE(RIGHT('Main Project Raw Data'!G141,4),MID('Main Project Raw Data'!G141,4,2),LEFT('Main Project Raw Data'!G141,2))))</f>
        <v>44295</v>
      </c>
      <c r="H141" s="3">
        <f>IF(Table1[[#This Row],[Salary]]="",AVERAGE(Table1[Salary]),Table1[[#This Row],[Salary]])</f>
        <v>94725.71</v>
      </c>
      <c r="I141" s="3" t="s">
        <v>194</v>
      </c>
      <c r="J141" s="3">
        <f>ABS(Table1[[#This Row],[Phone]])</f>
        <v>3179128684</v>
      </c>
      <c r="K141" s="3" t="str">
        <f>PROPER(TRIM(Table1[[#This Row],[Performance_Score]]))</f>
        <v>Poor</v>
      </c>
      <c r="L141" s="3" t="b">
        <f>Table1[[#This Row],[Remote_Work]]</f>
        <v>0</v>
      </c>
      <c r="M141" s="3" t="str">
        <f>PROPER(CONCATENATE(Table13[[#This Row],[First_Name]], Table13[[#This Row],[Last_Name]]))</f>
        <v>Charliesmith</v>
      </c>
      <c r="N141" s="3" t="str">
        <f t="shared" si="2"/>
        <v>Apr</v>
      </c>
      <c r="O141" s="3" t="str">
        <f>TEXT(Table13[[#This Row],[Join_Date]],"yyyy")</f>
        <v>2021</v>
      </c>
      <c r="P141" s="3" t="str">
        <f>LEFT('Main Project Raw Data'!E141,FIND("-",'Main Project Raw Data'!E141)-1)</f>
        <v>Finance</v>
      </c>
      <c r="Q141" s="3" t="str">
        <f>RIGHT('Main Project Raw Data'!E141,LEN('Main Project Raw Data'!E141)-FIND("-",'Main Project Raw Data'!E141))</f>
        <v>California</v>
      </c>
    </row>
    <row r="142" spans="1:17" x14ac:dyDescent="0.3">
      <c r="A142" s="3" t="str">
        <f>TRIM(Table1[[#This Row],[Employee_ID]])</f>
        <v>EMP1140</v>
      </c>
      <c r="B142" s="3" t="str">
        <f>TRIM(Table1[[#This Row],[First_Name]])</f>
        <v>Eva</v>
      </c>
      <c r="C142" s="3" t="str">
        <f>TRIM(Table1[[#This Row],[Last_Name]])</f>
        <v>Garcia</v>
      </c>
      <c r="D142" s="3">
        <f>IF(Table1[[#This Row],[Age]]="",AVERAGE(Table1[Age]),Table1[[#This Row],[Age]])</f>
        <v>40</v>
      </c>
      <c r="E142" s="3" t="s">
        <v>66</v>
      </c>
      <c r="F142" s="3" t="s">
        <v>33</v>
      </c>
      <c r="G142" s="5">
        <f>IF(ISNUMBER('Main Project Raw Data'!G142),'Main Project Raw Data'!G142,IF(ISNUMBER(SEARCH("/",'Main Project Raw Data'!G142)),DATE(RIGHT('Main Project Raw Data'!G142,4),LEFT('Main Project Raw Data'!G142,FIND("/",'Main Project Raw Data'!G142)-1),MID('Main Project Raw Data'!G142,FIND("/",'Main Project Raw Data'!G142)+1,2)),DATE(RIGHT('Main Project Raw Data'!G142,4),MID('Main Project Raw Data'!G142,4,2),LEFT('Main Project Raw Data'!G142,2))))</f>
        <v>45578</v>
      </c>
      <c r="H142" s="3">
        <f>IF(Table1[[#This Row],[Salary]]="",AVERAGE(Table1[Salary]),Table1[[#This Row],[Salary]])</f>
        <v>83824.56</v>
      </c>
      <c r="I142" s="3" t="s">
        <v>296</v>
      </c>
      <c r="J142" s="3">
        <f>ABS(Table1[[#This Row],[Phone]])</f>
        <v>7872558776</v>
      </c>
      <c r="K142" s="3" t="str">
        <f>PROPER(TRIM(Table1[[#This Row],[Performance_Score]]))</f>
        <v>Poor</v>
      </c>
      <c r="L142" s="3" t="b">
        <f>Table1[[#This Row],[Remote_Work]]</f>
        <v>0</v>
      </c>
      <c r="M142" s="3" t="str">
        <f>PROPER(CONCATENATE(Table13[[#This Row],[First_Name]], Table13[[#This Row],[Last_Name]]))</f>
        <v>Evagarcia</v>
      </c>
      <c r="N142" s="3" t="str">
        <f t="shared" si="2"/>
        <v>Oct</v>
      </c>
      <c r="O142" s="3" t="str">
        <f>TEXT(Table13[[#This Row],[Join_Date]],"yyyy")</f>
        <v>2024</v>
      </c>
      <c r="P142" s="3" t="str">
        <f>LEFT('Main Project Raw Data'!E142,FIND("-",'Main Project Raw Data'!E142)-1)</f>
        <v>HR</v>
      </c>
      <c r="Q142" s="3" t="str">
        <f>RIGHT('Main Project Raw Data'!E142,LEN('Main Project Raw Data'!E142)-FIND("-",'Main Project Raw Data'!E142))</f>
        <v>New York</v>
      </c>
    </row>
    <row r="143" spans="1:17" x14ac:dyDescent="0.3">
      <c r="A143" s="3" t="str">
        <f>TRIM(Table1[[#This Row],[Employee_ID]])</f>
        <v>EMP1141</v>
      </c>
      <c r="B143" s="3" t="str">
        <f>TRIM(Table1[[#This Row],[First_Name]])</f>
        <v>Frank</v>
      </c>
      <c r="C143" s="3" t="str">
        <f>TRIM(Table1[[#This Row],[Last_Name]])</f>
        <v>Smith</v>
      </c>
      <c r="D143" s="3">
        <f>IF(Table1[[#This Row],[Age]]="",AVERAGE(Table1[Age]),Table1[[#This Row],[Age]])</f>
        <v>32.484548825710753</v>
      </c>
      <c r="E143" s="3" t="s">
        <v>149</v>
      </c>
      <c r="F143" s="3" t="s">
        <v>33</v>
      </c>
      <c r="G143" s="5">
        <f>IF(ISNUMBER('Main Project Raw Data'!G143),'Main Project Raw Data'!G143,IF(ISNUMBER(SEARCH("/",'Main Project Raw Data'!G143)),DATE(RIGHT('Main Project Raw Data'!G143,4),LEFT('Main Project Raw Data'!G143,FIND("/",'Main Project Raw Data'!G143)-1),MID('Main Project Raw Data'!G143,FIND("/",'Main Project Raw Data'!G143)+1,2)),DATE(RIGHT('Main Project Raw Data'!G143,4),MID('Main Project Raw Data'!G143,4,2),LEFT('Main Project Raw Data'!G143,2))))</f>
        <v>43875</v>
      </c>
      <c r="H143" s="3">
        <f>IF(Table1[[#This Row],[Salary]]="",AVERAGE(Table1[Salary]),Table1[[#This Row],[Salary]])</f>
        <v>118456.11</v>
      </c>
      <c r="I143" s="3" t="s">
        <v>137</v>
      </c>
      <c r="J143" s="3">
        <f>ABS(Table1[[#This Row],[Phone]])</f>
        <v>4969033372</v>
      </c>
      <c r="K143" s="3" t="str">
        <f>PROPER(TRIM(Table1[[#This Row],[Performance_Score]]))</f>
        <v>Excellent</v>
      </c>
      <c r="L143" s="3" t="b">
        <f>Table1[[#This Row],[Remote_Work]]</f>
        <v>1</v>
      </c>
      <c r="M143" s="3" t="str">
        <f>PROPER(CONCATENATE(Table13[[#This Row],[First_Name]], Table13[[#This Row],[Last_Name]]))</f>
        <v>Franksmith</v>
      </c>
      <c r="N143" s="3" t="str">
        <f t="shared" si="2"/>
        <v>Feb</v>
      </c>
      <c r="O143" s="3" t="str">
        <f>TEXT(Table13[[#This Row],[Join_Date]],"yyyy")</f>
        <v>2020</v>
      </c>
      <c r="P143" s="3" t="str">
        <f>LEFT('Main Project Raw Data'!E143,FIND("-",'Main Project Raw Data'!E143)-1)</f>
        <v>HR</v>
      </c>
      <c r="Q143" s="3" t="str">
        <f>RIGHT('Main Project Raw Data'!E143,LEN('Main Project Raw Data'!E143)-FIND("-",'Main Project Raw Data'!E143))</f>
        <v>Nevada</v>
      </c>
    </row>
    <row r="144" spans="1:17" x14ac:dyDescent="0.3">
      <c r="A144" s="3" t="str">
        <f>TRIM(Table1[[#This Row],[Employee_ID]])</f>
        <v>EMP1142</v>
      </c>
      <c r="B144" s="3" t="str">
        <f>TRIM(Table1[[#This Row],[First_Name]])</f>
        <v>Eva</v>
      </c>
      <c r="C144" s="3" t="str">
        <f>TRIM(Table1[[#This Row],[Last_Name]])</f>
        <v>Brown</v>
      </c>
      <c r="D144" s="3">
        <f>IF(Table1[[#This Row],[Age]]="",AVERAGE(Table1[Age]),Table1[[#This Row],[Age]])</f>
        <v>25</v>
      </c>
      <c r="E144" s="3" t="s">
        <v>219</v>
      </c>
      <c r="F144" s="3" t="s">
        <v>28</v>
      </c>
      <c r="G144" s="5">
        <f>IF(ISNUMBER('Main Project Raw Data'!G144),'Main Project Raw Data'!G144,IF(ISNUMBER(SEARCH("/",'Main Project Raw Data'!G144)),DATE(RIGHT('Main Project Raw Data'!G144,4),LEFT('Main Project Raw Data'!G144,FIND("/",'Main Project Raw Data'!G144)-1),MID('Main Project Raw Data'!G144,FIND("/",'Main Project Raw Data'!G144)+1,2)),DATE(RIGHT('Main Project Raw Data'!G144,4),MID('Main Project Raw Data'!G144,4,2),LEFT('Main Project Raw Data'!G144,2))))</f>
        <v>44108</v>
      </c>
      <c r="H144" s="3">
        <f>IF(Table1[[#This Row],[Salary]]="",AVERAGE(Table1[Salary]),Table1[[#This Row],[Salary]])</f>
        <v>113743.19</v>
      </c>
      <c r="I144" s="3" t="s">
        <v>155</v>
      </c>
      <c r="J144" s="3">
        <f>ABS(Table1[[#This Row],[Phone]])</f>
        <v>6346692547</v>
      </c>
      <c r="K144" s="3" t="str">
        <f>PROPER(TRIM(Table1[[#This Row],[Performance_Score]]))</f>
        <v>Good</v>
      </c>
      <c r="L144" s="3" t="b">
        <f>Table1[[#This Row],[Remote_Work]]</f>
        <v>1</v>
      </c>
      <c r="M144" s="3" t="str">
        <f>PROPER(CONCATENATE(Table13[[#This Row],[First_Name]], Table13[[#This Row],[Last_Name]]))</f>
        <v>Evabrown</v>
      </c>
      <c r="N144" s="3" t="str">
        <f t="shared" si="2"/>
        <v>Oct</v>
      </c>
      <c r="O144" s="3" t="str">
        <f>TEXT(Table13[[#This Row],[Join_Date]],"yyyy")</f>
        <v>2020</v>
      </c>
      <c r="P144" s="3" t="str">
        <f>LEFT('Main Project Raw Data'!E144,FIND("-",'Main Project Raw Data'!E144)-1)</f>
        <v>Sales</v>
      </c>
      <c r="Q144" s="3" t="str">
        <f>RIGHT('Main Project Raw Data'!E144,LEN('Main Project Raw Data'!E144)-FIND("-",'Main Project Raw Data'!E144))</f>
        <v>Nevada</v>
      </c>
    </row>
    <row r="145" spans="1:17" x14ac:dyDescent="0.3">
      <c r="A145" s="3" t="str">
        <f>TRIM(Table1[[#This Row],[Employee_ID]])</f>
        <v>EMP1143</v>
      </c>
      <c r="B145" s="3" t="str">
        <f>TRIM(Table1[[#This Row],[First_Name]])</f>
        <v>Eva</v>
      </c>
      <c r="C145" s="3" t="str">
        <f>TRIM(Table1[[#This Row],[Last_Name]])</f>
        <v>Garcia</v>
      </c>
      <c r="D145" s="3">
        <f>IF(Table1[[#This Row],[Age]]="",AVERAGE(Table1[Age]),Table1[[#This Row],[Age]])</f>
        <v>30</v>
      </c>
      <c r="E145" s="3" t="s">
        <v>177</v>
      </c>
      <c r="F145" s="3" t="s">
        <v>16</v>
      </c>
      <c r="G145" s="5">
        <f>IF(ISNUMBER('Main Project Raw Data'!G145),'Main Project Raw Data'!G145,IF(ISNUMBER(SEARCH("/",'Main Project Raw Data'!G145)),DATE(RIGHT('Main Project Raw Data'!G145,4),LEFT('Main Project Raw Data'!G145,FIND("/",'Main Project Raw Data'!G145)-1),MID('Main Project Raw Data'!G145,FIND("/",'Main Project Raw Data'!G145)+1,2)),DATE(RIGHT('Main Project Raw Data'!G145,4),MID('Main Project Raw Data'!G145,4,2),LEFT('Main Project Raw Data'!G145,2))))</f>
        <v>45134</v>
      </c>
      <c r="H145" s="3">
        <f>IF(Table1[[#This Row],[Salary]]="",AVERAGE(Table1[Salary]),Table1[[#This Row],[Salary]])</f>
        <v>63309.24</v>
      </c>
      <c r="I145" s="3" t="s">
        <v>296</v>
      </c>
      <c r="J145" s="3">
        <f>ABS(Table1[[#This Row],[Phone]])</f>
        <v>1214785389</v>
      </c>
      <c r="K145" s="3" t="str">
        <f>PROPER(TRIM(Table1[[#This Row],[Performance_Score]]))</f>
        <v>Good</v>
      </c>
      <c r="L145" s="3" t="b">
        <f>Table1[[#This Row],[Remote_Work]]</f>
        <v>0</v>
      </c>
      <c r="M145" s="3" t="str">
        <f>PROPER(CONCATENATE(Table13[[#This Row],[First_Name]], Table13[[#This Row],[Last_Name]]))</f>
        <v>Evagarcia</v>
      </c>
      <c r="N145" s="3" t="str">
        <f t="shared" si="2"/>
        <v>Jul</v>
      </c>
      <c r="O145" s="3" t="str">
        <f>TEXT(Table13[[#This Row],[Join_Date]],"yyyy")</f>
        <v>2023</v>
      </c>
      <c r="P145" s="3" t="str">
        <f>LEFT('Main Project Raw Data'!E145,FIND("-",'Main Project Raw Data'!E145)-1)</f>
        <v>Sales</v>
      </c>
      <c r="Q145" s="3" t="str">
        <f>RIGHT('Main Project Raw Data'!E145,LEN('Main Project Raw Data'!E145)-FIND("-",'Main Project Raw Data'!E145))</f>
        <v>California</v>
      </c>
    </row>
    <row r="146" spans="1:17" x14ac:dyDescent="0.3">
      <c r="A146" s="3" t="str">
        <f>TRIM(Table1[[#This Row],[Employee_ID]])</f>
        <v>EMP1144</v>
      </c>
      <c r="B146" s="3" t="str">
        <f>TRIM(Table1[[#This Row],[First_Name]])</f>
        <v>Charlie</v>
      </c>
      <c r="C146" s="3" t="str">
        <f>TRIM(Table1[[#This Row],[Last_Name]])</f>
        <v>Garcia</v>
      </c>
      <c r="D146" s="3">
        <f>IF(Table1[[#This Row],[Age]]="",AVERAGE(Table1[Age]),Table1[[#This Row],[Age]])</f>
        <v>25</v>
      </c>
      <c r="E146" s="3" t="s">
        <v>328</v>
      </c>
      <c r="F146" s="3" t="s">
        <v>16</v>
      </c>
      <c r="G146" s="5">
        <f>IF(ISNUMBER('Main Project Raw Data'!G146),'Main Project Raw Data'!G146,IF(ISNUMBER(SEARCH("/",'Main Project Raw Data'!G146)),DATE(RIGHT('Main Project Raw Data'!G146,4),LEFT('Main Project Raw Data'!G146,FIND("/",'Main Project Raw Data'!G146)-1),MID('Main Project Raw Data'!G146,FIND("/",'Main Project Raw Data'!G146)+1,2)),DATE(RIGHT('Main Project Raw Data'!G146,4),MID('Main Project Raw Data'!G146,4,2),LEFT('Main Project Raw Data'!G146,2))))</f>
        <v>44463</v>
      </c>
      <c r="H146" s="3">
        <f>IF(Table1[[#This Row],[Salary]]="",AVERAGE(Table1[Salary]),Table1[[#This Row],[Salary]])</f>
        <v>105202.73</v>
      </c>
      <c r="I146" s="3" t="s">
        <v>87</v>
      </c>
      <c r="J146" s="3">
        <f>ABS(Table1[[#This Row],[Phone]])</f>
        <v>7895677664</v>
      </c>
      <c r="K146" s="3" t="str">
        <f>PROPER(TRIM(Table1[[#This Row],[Performance_Score]]))</f>
        <v>Excellent</v>
      </c>
      <c r="L146" s="3" t="b">
        <f>Table1[[#This Row],[Remote_Work]]</f>
        <v>1</v>
      </c>
      <c r="M146" s="3" t="str">
        <f>PROPER(CONCATENATE(Table13[[#This Row],[First_Name]], Table13[[#This Row],[Last_Name]]))</f>
        <v>Charliegarcia</v>
      </c>
      <c r="N146" s="3" t="str">
        <f t="shared" si="2"/>
        <v>Sep</v>
      </c>
      <c r="O146" s="3" t="str">
        <f>TEXT(Table13[[#This Row],[Join_Date]],"yyyy")</f>
        <v>2021</v>
      </c>
      <c r="P146" s="3" t="str">
        <f>LEFT('Main Project Raw Data'!E146,FIND("-",'Main Project Raw Data'!E146)-1)</f>
        <v>DevOps</v>
      </c>
      <c r="Q146" s="3" t="str">
        <f>RIGHT('Main Project Raw Data'!E146,LEN('Main Project Raw Data'!E146)-FIND("-",'Main Project Raw Data'!E146))</f>
        <v>Nevada</v>
      </c>
    </row>
    <row r="147" spans="1:17" x14ac:dyDescent="0.3">
      <c r="A147" s="3" t="str">
        <f>TRIM(Table1[[#This Row],[Employee_ID]])</f>
        <v>EMP1145</v>
      </c>
      <c r="B147" s="3" t="str">
        <f>TRIM(Table1[[#This Row],[First_Name]])</f>
        <v>Frank</v>
      </c>
      <c r="C147" s="3" t="str">
        <f>TRIM(Table1[[#This Row],[Last_Name]])</f>
        <v>Davis</v>
      </c>
      <c r="D147" s="3">
        <f>IF(Table1[[#This Row],[Age]]="",AVERAGE(Table1[Age]),Table1[[#This Row],[Age]])</f>
        <v>30</v>
      </c>
      <c r="E147" s="3" t="s">
        <v>268</v>
      </c>
      <c r="F147" s="3" t="s">
        <v>33</v>
      </c>
      <c r="G147" s="5">
        <f>IF(ISNUMBER('Main Project Raw Data'!G147),'Main Project Raw Data'!G147,IF(ISNUMBER(SEARCH("/",'Main Project Raw Data'!G147)),DATE(RIGHT('Main Project Raw Data'!G147,4),LEFT('Main Project Raw Data'!G147,FIND("/",'Main Project Raw Data'!G147)-1),MID('Main Project Raw Data'!G147,FIND("/",'Main Project Raw Data'!G147)+1,2)),DATE(RIGHT('Main Project Raw Data'!G147,4),MID('Main Project Raw Data'!G147,4,2),LEFT('Main Project Raw Data'!G147,2))))</f>
        <v>45568</v>
      </c>
      <c r="H147" s="3">
        <f>IF(Table1[[#This Row],[Salary]]="",AVERAGE(Table1[Salary]),Table1[[#This Row],[Salary]])</f>
        <v>79085.22</v>
      </c>
      <c r="I147" s="3" t="s">
        <v>52</v>
      </c>
      <c r="J147" s="3">
        <f>ABS(Table1[[#This Row],[Phone]])</f>
        <v>7546027340</v>
      </c>
      <c r="K147" s="3" t="str">
        <f>PROPER(TRIM(Table1[[#This Row],[Performance_Score]]))</f>
        <v>Good</v>
      </c>
      <c r="L147" s="3" t="b">
        <f>Table1[[#This Row],[Remote_Work]]</f>
        <v>1</v>
      </c>
      <c r="M147" s="3" t="str">
        <f>PROPER(CONCATENATE(Table13[[#This Row],[First_Name]], Table13[[#This Row],[Last_Name]]))</f>
        <v>Frankdavis</v>
      </c>
      <c r="N147" s="3" t="str">
        <f t="shared" si="2"/>
        <v>Oct</v>
      </c>
      <c r="O147" s="3" t="str">
        <f>TEXT(Table13[[#This Row],[Join_Date]],"yyyy")</f>
        <v>2024</v>
      </c>
      <c r="P147" s="3" t="str">
        <f>LEFT('Main Project Raw Data'!E147,FIND("-",'Main Project Raw Data'!E147)-1)</f>
        <v>Cloud Tech</v>
      </c>
      <c r="Q147" s="3" t="str">
        <f>RIGHT('Main Project Raw Data'!E147,LEN('Main Project Raw Data'!E147)-FIND("-",'Main Project Raw Data'!E147))</f>
        <v>California</v>
      </c>
    </row>
    <row r="148" spans="1:17" x14ac:dyDescent="0.3">
      <c r="A148" s="3" t="str">
        <f>TRIM(Table1[[#This Row],[Employee_ID]])</f>
        <v>EMP1146</v>
      </c>
      <c r="B148" s="3" t="str">
        <f>TRIM(Table1[[#This Row],[First_Name]])</f>
        <v>Frank</v>
      </c>
      <c r="C148" s="3" t="str">
        <f>TRIM(Table1[[#This Row],[Last_Name]])</f>
        <v>Williams</v>
      </c>
      <c r="D148" s="3">
        <f>IF(Table1[[#This Row],[Age]]="",AVERAGE(Table1[Age]),Table1[[#This Row],[Age]])</f>
        <v>32.484548825710753</v>
      </c>
      <c r="E148" s="3" t="s">
        <v>177</v>
      </c>
      <c r="F148" s="3" t="s">
        <v>16</v>
      </c>
      <c r="G148" s="5">
        <f>IF(ISNUMBER('Main Project Raw Data'!G148),'Main Project Raw Data'!G148,IF(ISNUMBER(SEARCH("/",'Main Project Raw Data'!G148)),DATE(RIGHT('Main Project Raw Data'!G148,4),LEFT('Main Project Raw Data'!G148,FIND("/",'Main Project Raw Data'!G148)-1),MID('Main Project Raw Data'!G148,FIND("/",'Main Project Raw Data'!G148)+1,2)),DATE(RIGHT('Main Project Raw Data'!G148,4),MID('Main Project Raw Data'!G148,4,2),LEFT('Main Project Raw Data'!G148,2))))</f>
        <v>44475</v>
      </c>
      <c r="H148" s="3">
        <f>IF(Table1[[#This Row],[Salary]]="",AVERAGE(Table1[Salary]),Table1[[#This Row],[Salary]])</f>
        <v>113983.43</v>
      </c>
      <c r="I148" s="3" t="s">
        <v>40</v>
      </c>
      <c r="J148" s="3">
        <f>ABS(Table1[[#This Row],[Phone]])</f>
        <v>5148881430</v>
      </c>
      <c r="K148" s="3" t="str">
        <f>PROPER(TRIM(Table1[[#This Row],[Performance_Score]]))</f>
        <v>Excellent</v>
      </c>
      <c r="L148" s="3" t="b">
        <f>Table1[[#This Row],[Remote_Work]]</f>
        <v>1</v>
      </c>
      <c r="M148" s="3" t="str">
        <f>PROPER(CONCATENATE(Table13[[#This Row],[First_Name]], Table13[[#This Row],[Last_Name]]))</f>
        <v>Frankwilliams</v>
      </c>
      <c r="N148" s="3" t="str">
        <f t="shared" si="2"/>
        <v>Oct</v>
      </c>
      <c r="O148" s="3" t="str">
        <f>TEXT(Table13[[#This Row],[Join_Date]],"yyyy")</f>
        <v>2021</v>
      </c>
      <c r="P148" s="3" t="str">
        <f>LEFT('Main Project Raw Data'!E148,FIND("-",'Main Project Raw Data'!E148)-1)</f>
        <v>Sales</v>
      </c>
      <c r="Q148" s="3" t="str">
        <f>RIGHT('Main Project Raw Data'!E148,LEN('Main Project Raw Data'!E148)-FIND("-",'Main Project Raw Data'!E148))</f>
        <v>California</v>
      </c>
    </row>
    <row r="149" spans="1:17" x14ac:dyDescent="0.3">
      <c r="A149" s="3" t="str">
        <f>TRIM(Table1[[#This Row],[Employee_ID]])</f>
        <v>EMP1147</v>
      </c>
      <c r="B149" s="3" t="str">
        <f>TRIM(Table1[[#This Row],[First_Name]])</f>
        <v>Eva</v>
      </c>
      <c r="C149" s="3" t="str">
        <f>TRIM(Table1[[#This Row],[Last_Name]])</f>
        <v>Williams</v>
      </c>
      <c r="D149" s="3">
        <f>IF(Table1[[#This Row],[Age]]="",AVERAGE(Table1[Age]),Table1[[#This Row],[Age]])</f>
        <v>35</v>
      </c>
      <c r="E149" s="3" t="s">
        <v>39</v>
      </c>
      <c r="F149" s="3" t="s">
        <v>16</v>
      </c>
      <c r="G149" s="5">
        <f>IF(ISNUMBER('Main Project Raw Data'!G149),'Main Project Raw Data'!G149,IF(ISNUMBER(SEARCH("/",'Main Project Raw Data'!G149)),DATE(RIGHT('Main Project Raw Data'!G149,4),LEFT('Main Project Raw Data'!G149,FIND("/",'Main Project Raw Data'!G149)-1),MID('Main Project Raw Data'!G149,FIND("/",'Main Project Raw Data'!G149)+1,2)),DATE(RIGHT('Main Project Raw Data'!G149,4),MID('Main Project Raw Data'!G149,4,2),LEFT('Main Project Raw Data'!G149,2))))</f>
        <v>44119</v>
      </c>
      <c r="H149" s="3">
        <f>IF(Table1[[#This Row],[Salary]]="",AVERAGE(Table1[Salary]),Table1[[#This Row],[Salary]])</f>
        <v>102790.6</v>
      </c>
      <c r="I149" s="3" t="s">
        <v>141</v>
      </c>
      <c r="J149" s="3">
        <f>ABS(Table1[[#This Row],[Phone]])</f>
        <v>1150835353</v>
      </c>
      <c r="K149" s="3" t="str">
        <f>PROPER(TRIM(Table1[[#This Row],[Performance_Score]]))</f>
        <v>Good</v>
      </c>
      <c r="L149" s="3" t="b">
        <f>Table1[[#This Row],[Remote_Work]]</f>
        <v>0</v>
      </c>
      <c r="M149" s="3" t="str">
        <f>PROPER(CONCATENATE(Table13[[#This Row],[First_Name]], Table13[[#This Row],[Last_Name]]))</f>
        <v>Evawilliams</v>
      </c>
      <c r="N149" s="3" t="str">
        <f t="shared" si="2"/>
        <v>Oct</v>
      </c>
      <c r="O149" s="3" t="str">
        <f>TEXT(Table13[[#This Row],[Join_Date]],"yyyy")</f>
        <v>2020</v>
      </c>
      <c r="P149" s="3" t="str">
        <f>LEFT('Main Project Raw Data'!E149,FIND("-",'Main Project Raw Data'!E149)-1)</f>
        <v>Cloud Tech</v>
      </c>
      <c r="Q149" s="3" t="str">
        <f>RIGHT('Main Project Raw Data'!E149,LEN('Main Project Raw Data'!E149)-FIND("-",'Main Project Raw Data'!E149))</f>
        <v>Florida</v>
      </c>
    </row>
    <row r="150" spans="1:17" x14ac:dyDescent="0.3">
      <c r="A150" s="3" t="str">
        <f>TRIM(Table1[[#This Row],[Employee_ID]])</f>
        <v>EMP1148</v>
      </c>
      <c r="B150" s="3" t="str">
        <f>TRIM(Table1[[#This Row],[First_Name]])</f>
        <v>Grace</v>
      </c>
      <c r="C150" s="3" t="str">
        <f>TRIM(Table1[[#This Row],[Last_Name]])</f>
        <v>Smith</v>
      </c>
      <c r="D150" s="3">
        <f>IF(Table1[[#This Row],[Age]]="",AVERAGE(Table1[Age]),Table1[[#This Row],[Age]])</f>
        <v>32.484548825710753</v>
      </c>
      <c r="E150" s="3" t="s">
        <v>139</v>
      </c>
      <c r="F150" s="3" t="s">
        <v>33</v>
      </c>
      <c r="G150" s="5">
        <f>IF(ISNUMBER('Main Project Raw Data'!G150),'Main Project Raw Data'!G150,IF(ISNUMBER(SEARCH("/",'Main Project Raw Data'!G150)),DATE(RIGHT('Main Project Raw Data'!G150,4),LEFT('Main Project Raw Data'!G150,FIND("/",'Main Project Raw Data'!G150)-1),MID('Main Project Raw Data'!G150,FIND("/",'Main Project Raw Data'!G150)+1,2)),DATE(RIGHT('Main Project Raw Data'!G150,4),MID('Main Project Raw Data'!G150,4,2),LEFT('Main Project Raw Data'!G150,2))))</f>
        <v>43859</v>
      </c>
      <c r="H150" s="3">
        <f>IF(Table1[[#This Row],[Salary]]="",AVERAGE(Table1[Salary]),Table1[[#This Row],[Salary]])</f>
        <v>68512.100000000006</v>
      </c>
      <c r="I150" s="3" t="s">
        <v>135</v>
      </c>
      <c r="J150" s="3">
        <f>ABS(Table1[[#This Row],[Phone]])</f>
        <v>4439284043</v>
      </c>
      <c r="K150" s="3" t="str">
        <f>PROPER(TRIM(Table1[[#This Row],[Performance_Score]]))</f>
        <v>Average</v>
      </c>
      <c r="L150" s="3" t="b">
        <f>Table1[[#This Row],[Remote_Work]]</f>
        <v>0</v>
      </c>
      <c r="M150" s="3" t="str">
        <f>PROPER(CONCATENATE(Table13[[#This Row],[First_Name]], Table13[[#This Row],[Last_Name]]))</f>
        <v>Gracesmith</v>
      </c>
      <c r="N150" s="3" t="str">
        <f t="shared" si="2"/>
        <v>Jan</v>
      </c>
      <c r="O150" s="3" t="str">
        <f>TEXT(Table13[[#This Row],[Join_Date]],"yyyy")</f>
        <v>2020</v>
      </c>
      <c r="P150" s="3" t="str">
        <f>LEFT('Main Project Raw Data'!E150,FIND("-",'Main Project Raw Data'!E150)-1)</f>
        <v>HR</v>
      </c>
      <c r="Q150" s="3" t="str">
        <f>RIGHT('Main Project Raw Data'!E150,LEN('Main Project Raw Data'!E150)-FIND("-",'Main Project Raw Data'!E150))</f>
        <v>Texas</v>
      </c>
    </row>
    <row r="151" spans="1:17" x14ac:dyDescent="0.3">
      <c r="A151" s="3" t="str">
        <f>TRIM(Table1[[#This Row],[Employee_ID]])</f>
        <v>EMP1149</v>
      </c>
      <c r="B151" s="3" t="str">
        <f>TRIM(Table1[[#This Row],[First_Name]])</f>
        <v>Frank</v>
      </c>
      <c r="C151" s="3" t="str">
        <f>TRIM(Table1[[#This Row],[Last_Name]])</f>
        <v>Garcia</v>
      </c>
      <c r="D151" s="3">
        <f>IF(Table1[[#This Row],[Age]]="",AVERAGE(Table1[Age]),Table1[[#This Row],[Age]])</f>
        <v>35</v>
      </c>
      <c r="E151" s="3" t="s">
        <v>74</v>
      </c>
      <c r="F151" s="3" t="s">
        <v>28</v>
      </c>
      <c r="G151" s="5">
        <f>IF(ISNUMBER('Main Project Raw Data'!G151),'Main Project Raw Data'!G151,IF(ISNUMBER(SEARCH("/",'Main Project Raw Data'!G151)),DATE(RIGHT('Main Project Raw Data'!G151,4),LEFT('Main Project Raw Data'!G151,FIND("/",'Main Project Raw Data'!G151)-1),MID('Main Project Raw Data'!G151,FIND("/",'Main Project Raw Data'!G151)+1,2)),DATE(RIGHT('Main Project Raw Data'!G151,4),MID('Main Project Raw Data'!G151,4,2),LEFT('Main Project Raw Data'!G151,2))))</f>
        <v>44591</v>
      </c>
      <c r="H151" s="3">
        <f>IF(Table1[[#This Row],[Salary]]="",AVERAGE(Table1[Salary]),Table1[[#This Row],[Salary]])</f>
        <v>57584.23</v>
      </c>
      <c r="I151" s="3" t="s">
        <v>180</v>
      </c>
      <c r="J151" s="3">
        <f>ABS(Table1[[#This Row],[Phone]])</f>
        <v>5669078262</v>
      </c>
      <c r="K151" s="3" t="str">
        <f>PROPER(TRIM(Table1[[#This Row],[Performance_Score]]))</f>
        <v>Average</v>
      </c>
      <c r="L151" s="3" t="b">
        <f>Table1[[#This Row],[Remote_Work]]</f>
        <v>1</v>
      </c>
      <c r="M151" s="3" t="str">
        <f>PROPER(CONCATENATE(Table13[[#This Row],[First_Name]], Table13[[#This Row],[Last_Name]]))</f>
        <v>Frankgarcia</v>
      </c>
      <c r="N151" s="3" t="str">
        <f t="shared" si="2"/>
        <v>Jan</v>
      </c>
      <c r="O151" s="3" t="str">
        <f>TEXT(Table13[[#This Row],[Join_Date]],"yyyy")</f>
        <v>2022</v>
      </c>
      <c r="P151" s="3" t="str">
        <f>LEFT('Main Project Raw Data'!E151,FIND("-",'Main Project Raw Data'!E151)-1)</f>
        <v>Sales</v>
      </c>
      <c r="Q151" s="3" t="str">
        <f>RIGHT('Main Project Raw Data'!E151,LEN('Main Project Raw Data'!E151)-FIND("-",'Main Project Raw Data'!E151))</f>
        <v>Florida</v>
      </c>
    </row>
    <row r="152" spans="1:17" x14ac:dyDescent="0.3">
      <c r="A152" s="3" t="str">
        <f>TRIM(Table1[[#This Row],[Employee_ID]])</f>
        <v>EMP1150</v>
      </c>
      <c r="B152" s="3" t="str">
        <f>TRIM(Table1[[#This Row],[First_Name]])</f>
        <v>Alice</v>
      </c>
      <c r="C152" s="3" t="str">
        <f>TRIM(Table1[[#This Row],[Last_Name]])</f>
        <v>Williams</v>
      </c>
      <c r="D152" s="3">
        <f>IF(Table1[[#This Row],[Age]]="",AVERAGE(Table1[Age]),Table1[[#This Row],[Age]])</f>
        <v>32.484548825710753</v>
      </c>
      <c r="E152" s="3" t="s">
        <v>177</v>
      </c>
      <c r="F152" s="3" t="s">
        <v>28</v>
      </c>
      <c r="G152" s="5">
        <f>IF(ISNUMBER('Main Project Raw Data'!G152),'Main Project Raw Data'!G152,IF(ISNUMBER(SEARCH("/",'Main Project Raw Data'!G152)),DATE(RIGHT('Main Project Raw Data'!G152,4),LEFT('Main Project Raw Data'!G152,FIND("/",'Main Project Raw Data'!G152)-1),MID('Main Project Raw Data'!G152,FIND("/",'Main Project Raw Data'!G152)+1,2)),DATE(RIGHT('Main Project Raw Data'!G152,4),MID('Main Project Raw Data'!G152,4,2),LEFT('Main Project Raw Data'!G152,2))))</f>
        <v>44284</v>
      </c>
      <c r="H152" s="3">
        <f>IF(Table1[[#This Row],[Salary]]="",AVERAGE(Table1[Salary]),Table1[[#This Row],[Salary]])</f>
        <v>95335.67</v>
      </c>
      <c r="I152" s="3" t="s">
        <v>362</v>
      </c>
      <c r="J152" s="3">
        <f>ABS(Table1[[#This Row],[Phone]])</f>
        <v>3373898774</v>
      </c>
      <c r="K152" s="3" t="str">
        <f>PROPER(TRIM(Table1[[#This Row],[Performance_Score]]))</f>
        <v>Poor</v>
      </c>
      <c r="L152" s="3" t="b">
        <f>Table1[[#This Row],[Remote_Work]]</f>
        <v>0</v>
      </c>
      <c r="M152" s="3" t="str">
        <f>PROPER(CONCATENATE(Table13[[#This Row],[First_Name]], Table13[[#This Row],[Last_Name]]))</f>
        <v>Alicewilliams</v>
      </c>
      <c r="N152" s="3" t="str">
        <f t="shared" si="2"/>
        <v>Mar</v>
      </c>
      <c r="O152" s="3" t="str">
        <f>TEXT(Table13[[#This Row],[Join_Date]],"yyyy")</f>
        <v>2021</v>
      </c>
      <c r="P152" s="3" t="str">
        <f>LEFT('Main Project Raw Data'!E152,FIND("-",'Main Project Raw Data'!E152)-1)</f>
        <v>Sales</v>
      </c>
      <c r="Q152" s="3" t="str">
        <f>RIGHT('Main Project Raw Data'!E152,LEN('Main Project Raw Data'!E152)-FIND("-",'Main Project Raw Data'!E152))</f>
        <v>California</v>
      </c>
    </row>
    <row r="153" spans="1:17" x14ac:dyDescent="0.3">
      <c r="A153" s="3" t="str">
        <f>TRIM(Table1[[#This Row],[Employee_ID]])</f>
        <v>EMP1151</v>
      </c>
      <c r="B153" s="3" t="str">
        <f>TRIM(Table1[[#This Row],[First_Name]])</f>
        <v>Heidi</v>
      </c>
      <c r="C153" s="3" t="str">
        <f>TRIM(Table1[[#This Row],[Last_Name]])</f>
        <v>Williams</v>
      </c>
      <c r="D153" s="3">
        <f>IF(Table1[[#This Row],[Age]]="",AVERAGE(Table1[Age]),Table1[[#This Row],[Age]])</f>
        <v>35</v>
      </c>
      <c r="E153" s="3" t="s">
        <v>230</v>
      </c>
      <c r="F153" s="3" t="s">
        <v>16</v>
      </c>
      <c r="G153" s="5">
        <f>IF(ISNUMBER('Main Project Raw Data'!G153),'Main Project Raw Data'!G153,IF(ISNUMBER(SEARCH("/",'Main Project Raw Data'!G153)),DATE(RIGHT('Main Project Raw Data'!G153,4),LEFT('Main Project Raw Data'!G153,FIND("/",'Main Project Raw Data'!G153)-1),MID('Main Project Raw Data'!G153,FIND("/",'Main Project Raw Data'!G153)+1,2)),DATE(RIGHT('Main Project Raw Data'!G153,4),MID('Main Project Raw Data'!G153,4,2),LEFT('Main Project Raw Data'!G153,2))))</f>
        <v>44117</v>
      </c>
      <c r="H153" s="3">
        <f>IF(Table1[[#This Row],[Salary]]="",AVERAGE(Table1[Salary]),Table1[[#This Row],[Salary]])</f>
        <v>53174.28</v>
      </c>
      <c r="I153" s="3" t="s">
        <v>67</v>
      </c>
      <c r="J153" s="3">
        <f>ABS(Table1[[#This Row],[Phone]])</f>
        <v>1536637779</v>
      </c>
      <c r="K153" s="3" t="str">
        <f>PROPER(TRIM(Table1[[#This Row],[Performance_Score]]))</f>
        <v>Average</v>
      </c>
      <c r="L153" s="3" t="b">
        <f>Table1[[#This Row],[Remote_Work]]</f>
        <v>1</v>
      </c>
      <c r="M153" s="3" t="str">
        <f>PROPER(CONCATENATE(Table13[[#This Row],[First_Name]], Table13[[#This Row],[Last_Name]]))</f>
        <v>Heidiwilliams</v>
      </c>
      <c r="N153" s="3" t="str">
        <f t="shared" si="2"/>
        <v>Oct</v>
      </c>
      <c r="O153" s="3" t="str">
        <f>TEXT(Table13[[#This Row],[Join_Date]],"yyyy")</f>
        <v>2020</v>
      </c>
      <c r="P153" s="3" t="str">
        <f>LEFT('Main Project Raw Data'!E153,FIND("-",'Main Project Raw Data'!E153)-1)</f>
        <v>DevOps</v>
      </c>
      <c r="Q153" s="3" t="str">
        <f>RIGHT('Main Project Raw Data'!E153,LEN('Main Project Raw Data'!E153)-FIND("-",'Main Project Raw Data'!E153))</f>
        <v>Florida</v>
      </c>
    </row>
    <row r="154" spans="1:17" x14ac:dyDescent="0.3">
      <c r="A154" s="3" t="str">
        <f>TRIM(Table1[[#This Row],[Employee_ID]])</f>
        <v>EMP1152</v>
      </c>
      <c r="B154" s="3" t="str">
        <f>TRIM(Table1[[#This Row],[First_Name]])</f>
        <v>Heidi</v>
      </c>
      <c r="C154" s="3" t="str">
        <f>TRIM(Table1[[#This Row],[Last_Name]])</f>
        <v>Smith</v>
      </c>
      <c r="D154" s="3">
        <f>IF(Table1[[#This Row],[Age]]="",AVERAGE(Table1[Age]),Table1[[#This Row],[Age]])</f>
        <v>25</v>
      </c>
      <c r="E154" s="3" t="s">
        <v>60</v>
      </c>
      <c r="F154" s="3" t="s">
        <v>28</v>
      </c>
      <c r="G154" s="5">
        <f>IF(ISNUMBER('Main Project Raw Data'!G154),'Main Project Raw Data'!G154,IF(ISNUMBER(SEARCH("/",'Main Project Raw Data'!G154)),DATE(RIGHT('Main Project Raw Data'!G154,4),LEFT('Main Project Raw Data'!G154,FIND("/",'Main Project Raw Data'!G154)-1),MID('Main Project Raw Data'!G154,FIND("/",'Main Project Raw Data'!G154)+1,2)),DATE(RIGHT('Main Project Raw Data'!G154,4),MID('Main Project Raw Data'!G154,4,2),LEFT('Main Project Raw Data'!G154,2))))</f>
        <v>43931</v>
      </c>
      <c r="H154" s="3">
        <f>IF(Table1[[#This Row],[Salary]]="",AVERAGE(Table1[Salary]),Table1[[#This Row],[Salary]])</f>
        <v>77205.210000000006</v>
      </c>
      <c r="I154" s="3" t="s">
        <v>366</v>
      </c>
      <c r="J154" s="3">
        <f>ABS(Table1[[#This Row],[Phone]])</f>
        <v>5292407552</v>
      </c>
      <c r="K154" s="3" t="str">
        <f>PROPER(TRIM(Table1[[#This Row],[Performance_Score]]))</f>
        <v>Average</v>
      </c>
      <c r="L154" s="3" t="b">
        <f>Table1[[#This Row],[Remote_Work]]</f>
        <v>0</v>
      </c>
      <c r="M154" s="3" t="str">
        <f>PROPER(CONCATENATE(Table13[[#This Row],[First_Name]], Table13[[#This Row],[Last_Name]]))</f>
        <v>Heidismith</v>
      </c>
      <c r="N154" s="3" t="str">
        <f t="shared" si="2"/>
        <v>Apr</v>
      </c>
      <c r="O154" s="3" t="str">
        <f>TEXT(Table13[[#This Row],[Join_Date]],"yyyy")</f>
        <v>2020</v>
      </c>
      <c r="P154" s="3" t="str">
        <f>LEFT('Main Project Raw Data'!E154,FIND("-",'Main Project Raw Data'!E154)-1)</f>
        <v>Cloud Tech</v>
      </c>
      <c r="Q154" s="3" t="str">
        <f>RIGHT('Main Project Raw Data'!E154,LEN('Main Project Raw Data'!E154)-FIND("-",'Main Project Raw Data'!E154))</f>
        <v>New York</v>
      </c>
    </row>
    <row r="155" spans="1:17" x14ac:dyDescent="0.3">
      <c r="A155" s="3" t="str">
        <f>TRIM(Table1[[#This Row],[Employee_ID]])</f>
        <v>EMP1153</v>
      </c>
      <c r="B155" s="3" t="str">
        <f>TRIM(Table1[[#This Row],[First_Name]])</f>
        <v>Grace</v>
      </c>
      <c r="C155" s="3" t="str">
        <f>TRIM(Table1[[#This Row],[Last_Name]])</f>
        <v>Williams</v>
      </c>
      <c r="D155" s="3">
        <f>IF(Table1[[#This Row],[Age]]="",AVERAGE(Table1[Age]),Table1[[#This Row],[Age]])</f>
        <v>32.484548825710753</v>
      </c>
      <c r="E155" s="3" t="s">
        <v>328</v>
      </c>
      <c r="F155" s="3" t="s">
        <v>16</v>
      </c>
      <c r="G155" s="5">
        <f>IF(ISNUMBER('Main Project Raw Data'!G155),'Main Project Raw Data'!G155,IF(ISNUMBER(SEARCH("/",'Main Project Raw Data'!G155)),DATE(RIGHT('Main Project Raw Data'!G155,4),LEFT('Main Project Raw Data'!G155,FIND("/",'Main Project Raw Data'!G155)-1),MID('Main Project Raw Data'!G155,FIND("/",'Main Project Raw Data'!G155)+1,2)),DATE(RIGHT('Main Project Raw Data'!G155,4),MID('Main Project Raw Data'!G155,4,2),LEFT('Main Project Raw Data'!G155,2))))</f>
        <v>45644</v>
      </c>
      <c r="H155" s="3">
        <f>IF(Table1[[#This Row],[Salary]]="",AVERAGE(Table1[Salary]),Table1[[#This Row],[Salary]])</f>
        <v>79041.919999999998</v>
      </c>
      <c r="I155" s="3" t="s">
        <v>71</v>
      </c>
      <c r="J155" s="3">
        <f>ABS(Table1[[#This Row],[Phone]])</f>
        <v>6668459089</v>
      </c>
      <c r="K155" s="3" t="str">
        <f>PROPER(TRIM(Table1[[#This Row],[Performance_Score]]))</f>
        <v>Average</v>
      </c>
      <c r="L155" s="3" t="b">
        <f>Table1[[#This Row],[Remote_Work]]</f>
        <v>1</v>
      </c>
      <c r="M155" s="3" t="str">
        <f>PROPER(CONCATENATE(Table13[[#This Row],[First_Name]], Table13[[#This Row],[Last_Name]]))</f>
        <v>Gracewilliams</v>
      </c>
      <c r="N155" s="3" t="str">
        <f t="shared" si="2"/>
        <v>Dec</v>
      </c>
      <c r="O155" s="3" t="str">
        <f>TEXT(Table13[[#This Row],[Join_Date]],"yyyy")</f>
        <v>2024</v>
      </c>
      <c r="P155" s="3" t="str">
        <f>LEFT('Main Project Raw Data'!E155,FIND("-",'Main Project Raw Data'!E155)-1)</f>
        <v>DevOps</v>
      </c>
      <c r="Q155" s="3" t="str">
        <f>RIGHT('Main Project Raw Data'!E155,LEN('Main Project Raw Data'!E155)-FIND("-",'Main Project Raw Data'!E155))</f>
        <v>Nevada</v>
      </c>
    </row>
    <row r="156" spans="1:17" x14ac:dyDescent="0.3">
      <c r="A156" s="3" t="str">
        <f>TRIM(Table1[[#This Row],[Employee_ID]])</f>
        <v>EMP1154</v>
      </c>
      <c r="B156" s="3" t="str">
        <f>TRIM(Table1[[#This Row],[First_Name]])</f>
        <v>Heidi</v>
      </c>
      <c r="C156" s="3" t="str">
        <f>TRIM(Table1[[#This Row],[Last_Name]])</f>
        <v>Jones</v>
      </c>
      <c r="D156" s="3">
        <f>IF(Table1[[#This Row],[Age]]="",AVERAGE(Table1[Age]),Table1[[#This Row],[Age]])</f>
        <v>32.484548825710753</v>
      </c>
      <c r="E156" s="3" t="s">
        <v>70</v>
      </c>
      <c r="F156" s="3" t="s">
        <v>16</v>
      </c>
      <c r="G156" s="5">
        <f>IF(ISNUMBER('Main Project Raw Data'!G156),'Main Project Raw Data'!G156,IF(ISNUMBER(SEARCH("/",'Main Project Raw Data'!G156)),DATE(RIGHT('Main Project Raw Data'!G156,4),LEFT('Main Project Raw Data'!G156,FIND("/",'Main Project Raw Data'!G156)-1),MID('Main Project Raw Data'!G156,FIND("/",'Main Project Raw Data'!G156)+1,2)),DATE(RIGHT('Main Project Raw Data'!G156,4),MID('Main Project Raw Data'!G156,4,2),LEFT('Main Project Raw Data'!G156,2))))</f>
        <v>45244</v>
      </c>
      <c r="H156" s="3">
        <f>IF(Table1[[#This Row],[Salary]]="",AVERAGE(Table1[Salary]),Table1[[#This Row],[Salary]])</f>
        <v>75937.100000000006</v>
      </c>
      <c r="I156" s="3" t="s">
        <v>319</v>
      </c>
      <c r="J156" s="3">
        <f>ABS(Table1[[#This Row],[Phone]])</f>
        <v>2259999662</v>
      </c>
      <c r="K156" s="3" t="str">
        <f>PROPER(TRIM(Table1[[#This Row],[Performance_Score]]))</f>
        <v>Excellent</v>
      </c>
      <c r="L156" s="3" t="b">
        <f>Table1[[#This Row],[Remote_Work]]</f>
        <v>1</v>
      </c>
      <c r="M156" s="3" t="str">
        <f>PROPER(CONCATENATE(Table13[[#This Row],[First_Name]], Table13[[#This Row],[Last_Name]]))</f>
        <v>Heidijones</v>
      </c>
      <c r="N156" s="3" t="str">
        <f t="shared" si="2"/>
        <v>Nov</v>
      </c>
      <c r="O156" s="3" t="str">
        <f>TEXT(Table13[[#This Row],[Join_Date]],"yyyy")</f>
        <v>2023</v>
      </c>
      <c r="P156" s="3" t="str">
        <f>LEFT('Main Project Raw Data'!E156,FIND("-",'Main Project Raw Data'!E156)-1)</f>
        <v>Finance</v>
      </c>
      <c r="Q156" s="3" t="str">
        <f>RIGHT('Main Project Raw Data'!E156,LEN('Main Project Raw Data'!E156)-FIND("-",'Main Project Raw Data'!E156))</f>
        <v>California</v>
      </c>
    </row>
    <row r="157" spans="1:17" x14ac:dyDescent="0.3">
      <c r="A157" s="3" t="str">
        <f>TRIM(Table1[[#This Row],[Employee_ID]])</f>
        <v>EMP1155</v>
      </c>
      <c r="B157" s="3" t="str">
        <f>TRIM(Table1[[#This Row],[First_Name]])</f>
        <v>David</v>
      </c>
      <c r="C157" s="3" t="str">
        <f>TRIM(Table1[[#This Row],[Last_Name]])</f>
        <v>Johnson</v>
      </c>
      <c r="D157" s="3">
        <f>IF(Table1[[#This Row],[Age]]="",AVERAGE(Table1[Age]),Table1[[#This Row],[Age]])</f>
        <v>35</v>
      </c>
      <c r="E157" s="3" t="s">
        <v>85</v>
      </c>
      <c r="F157" s="3" t="s">
        <v>33</v>
      </c>
      <c r="G157" s="5">
        <f>IF(ISNUMBER('Main Project Raw Data'!G157),'Main Project Raw Data'!G157,IF(ISNUMBER(SEARCH("/",'Main Project Raw Data'!G157)),DATE(RIGHT('Main Project Raw Data'!G157,4),LEFT('Main Project Raw Data'!G157,FIND("/",'Main Project Raw Data'!G157)-1),MID('Main Project Raw Data'!G157,FIND("/",'Main Project Raw Data'!G157)+1,2)),DATE(RIGHT('Main Project Raw Data'!G157,4),MID('Main Project Raw Data'!G157,4,2),LEFT('Main Project Raw Data'!G157,2))))</f>
        <v>44946</v>
      </c>
      <c r="H157" s="3">
        <f>IF(Table1[[#This Row],[Salary]]="",AVERAGE(Table1[Salary]),Table1[[#This Row],[Salary]])</f>
        <v>113118.73</v>
      </c>
      <c r="I157" s="3" t="s">
        <v>217</v>
      </c>
      <c r="J157" s="3">
        <f>ABS(Table1[[#This Row],[Phone]])</f>
        <v>6186371596</v>
      </c>
      <c r="K157" s="3" t="str">
        <f>PROPER(TRIM(Table1[[#This Row],[Performance_Score]]))</f>
        <v>Average</v>
      </c>
      <c r="L157" s="3" t="b">
        <f>Table1[[#This Row],[Remote_Work]]</f>
        <v>0</v>
      </c>
      <c r="M157" s="3" t="str">
        <f>PROPER(CONCATENATE(Table13[[#This Row],[First_Name]], Table13[[#This Row],[Last_Name]]))</f>
        <v>Davidjohnson</v>
      </c>
      <c r="N157" s="3" t="str">
        <f t="shared" si="2"/>
        <v>Jan</v>
      </c>
      <c r="O157" s="3" t="str">
        <f>TEXT(Table13[[#This Row],[Join_Date]],"yyyy")</f>
        <v>2023</v>
      </c>
      <c r="P157" s="3" t="str">
        <f>LEFT('Main Project Raw Data'!E157,FIND("-",'Main Project Raw Data'!E157)-1)</f>
        <v>Cloud Tech</v>
      </c>
      <c r="Q157" s="3" t="str">
        <f>RIGHT('Main Project Raw Data'!E157,LEN('Main Project Raw Data'!E157)-FIND("-",'Main Project Raw Data'!E157))</f>
        <v>Nevada</v>
      </c>
    </row>
    <row r="158" spans="1:17" x14ac:dyDescent="0.3">
      <c r="A158" s="3" t="str">
        <f>TRIM(Table1[[#This Row],[Employee_ID]])</f>
        <v>EMP1156</v>
      </c>
      <c r="B158" s="3" t="str">
        <f>TRIM(Table1[[#This Row],[First_Name]])</f>
        <v>Alice</v>
      </c>
      <c r="C158" s="3" t="str">
        <f>TRIM(Table1[[#This Row],[Last_Name]])</f>
        <v>Davis</v>
      </c>
      <c r="D158" s="3">
        <f>IF(Table1[[#This Row],[Age]]="",AVERAGE(Table1[Age]),Table1[[#This Row],[Age]])</f>
        <v>40</v>
      </c>
      <c r="E158" s="3" t="s">
        <v>66</v>
      </c>
      <c r="F158" s="3" t="s">
        <v>16</v>
      </c>
      <c r="G158" s="5">
        <f>IF(ISNUMBER('Main Project Raw Data'!G158),'Main Project Raw Data'!G158,IF(ISNUMBER(SEARCH("/",'Main Project Raw Data'!G158)),DATE(RIGHT('Main Project Raw Data'!G158,4),LEFT('Main Project Raw Data'!G158,FIND("/",'Main Project Raw Data'!G158)-1),MID('Main Project Raw Data'!G158,FIND("/",'Main Project Raw Data'!G158)+1,2)),DATE(RIGHT('Main Project Raw Data'!G158,4),MID('Main Project Raw Data'!G158,4,2),LEFT('Main Project Raw Data'!G158,2))))</f>
        <v>45332</v>
      </c>
      <c r="H158" s="3">
        <f>IF(Table1[[#This Row],[Salary]]="",AVERAGE(Table1[Salary]),Table1[[#This Row],[Salary]])</f>
        <v>107693.38</v>
      </c>
      <c r="I158" s="3" t="s">
        <v>163</v>
      </c>
      <c r="J158" s="3">
        <f>ABS(Table1[[#This Row],[Phone]])</f>
        <v>4121820969</v>
      </c>
      <c r="K158" s="3" t="str">
        <f>PROPER(TRIM(Table1[[#This Row],[Performance_Score]]))</f>
        <v>Average</v>
      </c>
      <c r="L158" s="3" t="b">
        <f>Table1[[#This Row],[Remote_Work]]</f>
        <v>1</v>
      </c>
      <c r="M158" s="3" t="str">
        <f>PROPER(CONCATENATE(Table13[[#This Row],[First_Name]], Table13[[#This Row],[Last_Name]]))</f>
        <v>Alicedavis</v>
      </c>
      <c r="N158" s="3" t="str">
        <f t="shared" si="2"/>
        <v>Feb</v>
      </c>
      <c r="O158" s="3" t="str">
        <f>TEXT(Table13[[#This Row],[Join_Date]],"yyyy")</f>
        <v>2024</v>
      </c>
      <c r="P158" s="3" t="str">
        <f>LEFT('Main Project Raw Data'!E158,FIND("-",'Main Project Raw Data'!E158)-1)</f>
        <v>HR</v>
      </c>
      <c r="Q158" s="3" t="str">
        <f>RIGHT('Main Project Raw Data'!E158,LEN('Main Project Raw Data'!E158)-FIND("-",'Main Project Raw Data'!E158))</f>
        <v>New York</v>
      </c>
    </row>
    <row r="159" spans="1:17" x14ac:dyDescent="0.3">
      <c r="A159" s="3" t="str">
        <f>TRIM(Table1[[#This Row],[Employee_ID]])</f>
        <v>EMP1157</v>
      </c>
      <c r="B159" s="3" t="str">
        <f>TRIM(Table1[[#This Row],[First_Name]])</f>
        <v>David</v>
      </c>
      <c r="C159" s="3" t="str">
        <f>TRIM(Table1[[#This Row],[Last_Name]])</f>
        <v>Johnson</v>
      </c>
      <c r="D159" s="3">
        <f>IF(Table1[[#This Row],[Age]]="",AVERAGE(Table1[Age]),Table1[[#This Row],[Age]])</f>
        <v>32.484548825710753</v>
      </c>
      <c r="E159" s="3" t="s">
        <v>159</v>
      </c>
      <c r="F159" s="3" t="s">
        <v>33</v>
      </c>
      <c r="G159" s="5">
        <f>IF(ISNUMBER('Main Project Raw Data'!G159),'Main Project Raw Data'!G159,IF(ISNUMBER(SEARCH("/",'Main Project Raw Data'!G159)),DATE(RIGHT('Main Project Raw Data'!G159,4),LEFT('Main Project Raw Data'!G159,FIND("/",'Main Project Raw Data'!G159)-1),MID('Main Project Raw Data'!G159,FIND("/",'Main Project Raw Data'!G159)+1,2)),DATE(RIGHT('Main Project Raw Data'!G159,4),MID('Main Project Raw Data'!G159,4,2),LEFT('Main Project Raw Data'!G159,2))))</f>
        <v>44329</v>
      </c>
      <c r="H159" s="3">
        <f>IF(Table1[[#This Row],[Salary]]="",AVERAGE(Table1[Salary]),Table1[[#This Row],[Salary]])</f>
        <v>119217.46</v>
      </c>
      <c r="I159" s="3" t="s">
        <v>217</v>
      </c>
      <c r="J159" s="3">
        <f>ABS(Table1[[#This Row],[Phone]])</f>
        <v>2316433480</v>
      </c>
      <c r="K159" s="3" t="str">
        <f>PROPER(TRIM(Table1[[#This Row],[Performance_Score]]))</f>
        <v>Poor</v>
      </c>
      <c r="L159" s="3" t="b">
        <f>Table1[[#This Row],[Remote_Work]]</f>
        <v>0</v>
      </c>
      <c r="M159" s="3" t="str">
        <f>PROPER(CONCATENATE(Table13[[#This Row],[First_Name]], Table13[[#This Row],[Last_Name]]))</f>
        <v>Davidjohnson</v>
      </c>
      <c r="N159" s="3" t="str">
        <f t="shared" si="2"/>
        <v>May</v>
      </c>
      <c r="O159" s="3" t="str">
        <f>TEXT(Table13[[#This Row],[Join_Date]],"yyyy")</f>
        <v>2021</v>
      </c>
      <c r="P159" s="3" t="str">
        <f>LEFT('Main Project Raw Data'!E159,FIND("-",'Main Project Raw Data'!E159)-1)</f>
        <v>Cloud Tech</v>
      </c>
      <c r="Q159" s="3" t="str">
        <f>RIGHT('Main Project Raw Data'!E159,LEN('Main Project Raw Data'!E159)-FIND("-",'Main Project Raw Data'!E159))</f>
        <v>Texas</v>
      </c>
    </row>
    <row r="160" spans="1:17" x14ac:dyDescent="0.3">
      <c r="A160" s="3" t="str">
        <f>TRIM(Table1[[#This Row],[Employee_ID]])</f>
        <v>EMP1158</v>
      </c>
      <c r="B160" s="3" t="str">
        <f>TRIM(Table1[[#This Row],[First_Name]])</f>
        <v>David</v>
      </c>
      <c r="C160" s="3" t="str">
        <f>TRIM(Table1[[#This Row],[Last_Name]])</f>
        <v>Smith</v>
      </c>
      <c r="D160" s="3">
        <f>IF(Table1[[#This Row],[Age]]="",AVERAGE(Table1[Age]),Table1[[#This Row],[Age]])</f>
        <v>25</v>
      </c>
      <c r="E160" s="3" t="s">
        <v>109</v>
      </c>
      <c r="F160" s="3" t="s">
        <v>28</v>
      </c>
      <c r="G160" s="5">
        <f>IF(ISNUMBER('Main Project Raw Data'!G160),'Main Project Raw Data'!G160,IF(ISNUMBER(SEARCH("/",'Main Project Raw Data'!G160)),DATE(RIGHT('Main Project Raw Data'!G160,4),LEFT('Main Project Raw Data'!G160,FIND("/",'Main Project Raw Data'!G160)-1),MID('Main Project Raw Data'!G160,FIND("/",'Main Project Raw Data'!G160)+1,2)),DATE(RIGHT('Main Project Raw Data'!G160,4),MID('Main Project Raw Data'!G160,4,2),LEFT('Main Project Raw Data'!G160,2))))</f>
        <v>44273</v>
      </c>
      <c r="H160" s="3">
        <f>IF(Table1[[#This Row],[Salary]]="",AVERAGE(Table1[Salary]),Table1[[#This Row],[Salary]])</f>
        <v>106913.71</v>
      </c>
      <c r="I160" s="3" t="s">
        <v>340</v>
      </c>
      <c r="J160" s="3">
        <f>ABS(Table1[[#This Row],[Phone]])</f>
        <v>7058025661</v>
      </c>
      <c r="K160" s="3" t="str">
        <f>PROPER(TRIM(Table1[[#This Row],[Performance_Score]]))</f>
        <v>Average</v>
      </c>
      <c r="L160" s="3" t="b">
        <f>Table1[[#This Row],[Remote_Work]]</f>
        <v>0</v>
      </c>
      <c r="M160" s="3" t="str">
        <f>PROPER(CONCATENATE(Table13[[#This Row],[First_Name]], Table13[[#This Row],[Last_Name]]))</f>
        <v>Davidsmith</v>
      </c>
      <c r="N160" s="3" t="str">
        <f t="shared" si="2"/>
        <v>Mar</v>
      </c>
      <c r="O160" s="3" t="str">
        <f>TEXT(Table13[[#This Row],[Join_Date]],"yyyy")</f>
        <v>2021</v>
      </c>
      <c r="P160" s="3" t="str">
        <f>LEFT('Main Project Raw Data'!E160,FIND("-",'Main Project Raw Data'!E160)-1)</f>
        <v>Sales</v>
      </c>
      <c r="Q160" s="3" t="str">
        <f>RIGHT('Main Project Raw Data'!E160,LEN('Main Project Raw Data'!E160)-FIND("-",'Main Project Raw Data'!E160))</f>
        <v>New York</v>
      </c>
    </row>
    <row r="161" spans="1:17" x14ac:dyDescent="0.3">
      <c r="A161" s="3" t="str">
        <f>TRIM(Table1[[#This Row],[Employee_ID]])</f>
        <v>EMP1159</v>
      </c>
      <c r="B161" s="3" t="str">
        <f>TRIM(Table1[[#This Row],[First_Name]])</f>
        <v>Charlie</v>
      </c>
      <c r="C161" s="3" t="str">
        <f>TRIM(Table1[[#This Row],[Last_Name]])</f>
        <v>Brown</v>
      </c>
      <c r="D161" s="3">
        <f>IF(Table1[[#This Row],[Age]]="",AVERAGE(Table1[Age]),Table1[[#This Row],[Age]])</f>
        <v>32.484548825710753</v>
      </c>
      <c r="E161" s="3" t="s">
        <v>268</v>
      </c>
      <c r="F161" s="3" t="s">
        <v>16</v>
      </c>
      <c r="G161" s="5">
        <f>IF(ISNUMBER('Main Project Raw Data'!G161),'Main Project Raw Data'!G161,IF(ISNUMBER(SEARCH("/",'Main Project Raw Data'!G161)),DATE(RIGHT('Main Project Raw Data'!G161,4),LEFT('Main Project Raw Data'!G161,FIND("/",'Main Project Raw Data'!G161)-1),MID('Main Project Raw Data'!G161,FIND("/",'Main Project Raw Data'!G161)+1,2)),DATE(RIGHT('Main Project Raw Data'!G161,4),MID('Main Project Raw Data'!G161,4,2),LEFT('Main Project Raw Data'!G161,2))))</f>
        <v>44097</v>
      </c>
      <c r="H161" s="3">
        <f>IF(Table1[[#This Row],[Salary]]="",AVERAGE(Table1[Salary]),Table1[[#This Row],[Salary]])</f>
        <v>87815.08</v>
      </c>
      <c r="I161" s="3" t="s">
        <v>125</v>
      </c>
      <c r="J161" s="3">
        <f>ABS(Table1[[#This Row],[Phone]])</f>
        <v>1286716322</v>
      </c>
      <c r="K161" s="3" t="str">
        <f>PROPER(TRIM(Table1[[#This Row],[Performance_Score]]))</f>
        <v>Average</v>
      </c>
      <c r="L161" s="3" t="b">
        <f>Table1[[#This Row],[Remote_Work]]</f>
        <v>1</v>
      </c>
      <c r="M161" s="3" t="str">
        <f>PROPER(CONCATENATE(Table13[[#This Row],[First_Name]], Table13[[#This Row],[Last_Name]]))</f>
        <v>Charliebrown</v>
      </c>
      <c r="N161" s="3" t="str">
        <f t="shared" si="2"/>
        <v>Sep</v>
      </c>
      <c r="O161" s="3" t="str">
        <f>TEXT(Table13[[#This Row],[Join_Date]],"yyyy")</f>
        <v>2020</v>
      </c>
      <c r="P161" s="3" t="str">
        <f>LEFT('Main Project Raw Data'!E161,FIND("-",'Main Project Raw Data'!E161)-1)</f>
        <v>Cloud Tech</v>
      </c>
      <c r="Q161" s="3" t="str">
        <f>RIGHT('Main Project Raw Data'!E161,LEN('Main Project Raw Data'!E161)-FIND("-",'Main Project Raw Data'!E161))</f>
        <v>California</v>
      </c>
    </row>
    <row r="162" spans="1:17" x14ac:dyDescent="0.3">
      <c r="A162" s="3" t="str">
        <f>TRIM(Table1[[#This Row],[Employee_ID]])</f>
        <v>EMP1160</v>
      </c>
      <c r="B162" s="3" t="str">
        <f>TRIM(Table1[[#This Row],[First_Name]])</f>
        <v>Bob</v>
      </c>
      <c r="C162" s="3" t="str">
        <f>TRIM(Table1[[#This Row],[Last_Name]])</f>
        <v>Davis</v>
      </c>
      <c r="D162" s="3">
        <f>IF(Table1[[#This Row],[Age]]="",AVERAGE(Table1[Age]),Table1[[#This Row],[Age]])</f>
        <v>25</v>
      </c>
      <c r="E162" s="3" t="s">
        <v>103</v>
      </c>
      <c r="F162" s="3" t="s">
        <v>33</v>
      </c>
      <c r="G162" s="5">
        <f>IF(ISNUMBER('Main Project Raw Data'!G162),'Main Project Raw Data'!G162,IF(ISNUMBER(SEARCH("/",'Main Project Raw Data'!G162)),DATE(RIGHT('Main Project Raw Data'!G162,4),LEFT('Main Project Raw Data'!G162,FIND("/",'Main Project Raw Data'!G162)-1),MID('Main Project Raw Data'!G162,FIND("/",'Main Project Raw Data'!G162)+1,2)),DATE(RIGHT('Main Project Raw Data'!G162,4),MID('Main Project Raw Data'!G162,4,2),LEFT('Main Project Raw Data'!G162,2))))</f>
        <v>45418</v>
      </c>
      <c r="H162" s="3">
        <f>IF(Table1[[#This Row],[Salary]]="",AVERAGE(Table1[Salary]),Table1[[#This Row],[Salary]])</f>
        <v>105190.21</v>
      </c>
      <c r="I162" s="3" t="s">
        <v>17</v>
      </c>
      <c r="J162" s="3">
        <f>ABS(Table1[[#This Row],[Phone]])</f>
        <v>4672994937</v>
      </c>
      <c r="K162" s="3" t="str">
        <f>PROPER(TRIM(Table1[[#This Row],[Performance_Score]]))</f>
        <v>Good</v>
      </c>
      <c r="L162" s="3" t="b">
        <f>Table1[[#This Row],[Remote_Work]]</f>
        <v>1</v>
      </c>
      <c r="M162" s="3" t="str">
        <f>PROPER(CONCATENATE(Table13[[#This Row],[First_Name]], Table13[[#This Row],[Last_Name]]))</f>
        <v>Bobdavis</v>
      </c>
      <c r="N162" s="3" t="str">
        <f t="shared" si="2"/>
        <v>May</v>
      </c>
      <c r="O162" s="3" t="str">
        <f>TEXT(Table13[[#This Row],[Join_Date]],"yyyy")</f>
        <v>2024</v>
      </c>
      <c r="P162" s="3" t="str">
        <f>LEFT('Main Project Raw Data'!E162,FIND("-",'Main Project Raw Data'!E162)-1)</f>
        <v>Admin</v>
      </c>
      <c r="Q162" s="3" t="str">
        <f>RIGHT('Main Project Raw Data'!E162,LEN('Main Project Raw Data'!E162)-FIND("-",'Main Project Raw Data'!E162))</f>
        <v>Texas</v>
      </c>
    </row>
    <row r="163" spans="1:17" x14ac:dyDescent="0.3">
      <c r="A163" s="3" t="str">
        <f>TRIM(Table1[[#This Row],[Employee_ID]])</f>
        <v>EMP1161</v>
      </c>
      <c r="B163" s="3" t="str">
        <f>TRIM(Table1[[#This Row],[First_Name]])</f>
        <v>Alice</v>
      </c>
      <c r="C163" s="3" t="str">
        <f>TRIM(Table1[[#This Row],[Last_Name]])</f>
        <v>Smith</v>
      </c>
      <c r="D163" s="3">
        <f>IF(Table1[[#This Row],[Age]]="",AVERAGE(Table1[Age]),Table1[[#This Row],[Age]])</f>
        <v>30</v>
      </c>
      <c r="E163" s="3" t="s">
        <v>139</v>
      </c>
      <c r="F163" s="3" t="s">
        <v>16</v>
      </c>
      <c r="G163" s="5">
        <f>IF(ISNUMBER('Main Project Raw Data'!G163),'Main Project Raw Data'!G163,IF(ISNUMBER(SEARCH("/",'Main Project Raw Data'!G163)),DATE(RIGHT('Main Project Raw Data'!G163,4),LEFT('Main Project Raw Data'!G163,FIND("/",'Main Project Raw Data'!G163)-1),MID('Main Project Raw Data'!G163,FIND("/",'Main Project Raw Data'!G163)+1,2)),DATE(RIGHT('Main Project Raw Data'!G163,4),MID('Main Project Raw Data'!G163,4,2),LEFT('Main Project Raw Data'!G163,2))))</f>
        <v>45350</v>
      </c>
      <c r="H163" s="3">
        <f>IF(Table1[[#This Row],[Salary]]="",AVERAGE(Table1[Salary]),Table1[[#This Row],[Salary]])</f>
        <v>79467.240000000005</v>
      </c>
      <c r="I163" s="3" t="s">
        <v>182</v>
      </c>
      <c r="J163" s="3">
        <f>ABS(Table1[[#This Row],[Phone]])</f>
        <v>7430271692</v>
      </c>
      <c r="K163" s="3" t="str">
        <f>PROPER(TRIM(Table1[[#This Row],[Performance_Score]]))</f>
        <v>Poor</v>
      </c>
      <c r="L163" s="3" t="b">
        <f>Table1[[#This Row],[Remote_Work]]</f>
        <v>0</v>
      </c>
      <c r="M163" s="3" t="str">
        <f>PROPER(CONCATENATE(Table13[[#This Row],[First_Name]], Table13[[#This Row],[Last_Name]]))</f>
        <v>Alicesmith</v>
      </c>
      <c r="N163" s="3" t="str">
        <f t="shared" si="2"/>
        <v>Feb</v>
      </c>
      <c r="O163" s="3" t="str">
        <f>TEXT(Table13[[#This Row],[Join_Date]],"yyyy")</f>
        <v>2024</v>
      </c>
      <c r="P163" s="3" t="str">
        <f>LEFT('Main Project Raw Data'!E163,FIND("-",'Main Project Raw Data'!E163)-1)</f>
        <v>HR</v>
      </c>
      <c r="Q163" s="3" t="str">
        <f>RIGHT('Main Project Raw Data'!E163,LEN('Main Project Raw Data'!E163)-FIND("-",'Main Project Raw Data'!E163))</f>
        <v>Texas</v>
      </c>
    </row>
    <row r="164" spans="1:17" x14ac:dyDescent="0.3">
      <c r="A164" s="3" t="str">
        <f>TRIM(Table1[[#This Row],[Employee_ID]])</f>
        <v>EMP1162</v>
      </c>
      <c r="B164" s="3" t="str">
        <f>TRIM(Table1[[#This Row],[First_Name]])</f>
        <v>Bob</v>
      </c>
      <c r="C164" s="3" t="str">
        <f>TRIM(Table1[[#This Row],[Last_Name]])</f>
        <v>Garcia</v>
      </c>
      <c r="D164" s="3">
        <f>IF(Table1[[#This Row],[Age]]="",AVERAGE(Table1[Age]),Table1[[#This Row],[Age]])</f>
        <v>40</v>
      </c>
      <c r="E164" s="3" t="s">
        <v>70</v>
      </c>
      <c r="F164" s="3" t="s">
        <v>28</v>
      </c>
      <c r="G164" s="5">
        <f>IF(ISNUMBER('Main Project Raw Data'!G164),'Main Project Raw Data'!G164,IF(ISNUMBER(SEARCH("/",'Main Project Raw Data'!G164)),DATE(RIGHT('Main Project Raw Data'!G164,4),LEFT('Main Project Raw Data'!G164,FIND("/",'Main Project Raw Data'!G164)-1),MID('Main Project Raw Data'!G164,FIND("/",'Main Project Raw Data'!G164)+1,2)),DATE(RIGHT('Main Project Raw Data'!G164,4),MID('Main Project Raw Data'!G164,4,2),LEFT('Main Project Raw Data'!G164,2))))</f>
        <v>45046</v>
      </c>
      <c r="H164" s="3">
        <f>IF(Table1[[#This Row],[Salary]]="",AVERAGE(Table1[Salary]),Table1[[#This Row],[Salary]])</f>
        <v>57633.78</v>
      </c>
      <c r="I164" s="3" t="s">
        <v>153</v>
      </c>
      <c r="J164" s="3">
        <f>ABS(Table1[[#This Row],[Phone]])</f>
        <v>8597779013</v>
      </c>
      <c r="K164" s="3" t="str">
        <f>PROPER(TRIM(Table1[[#This Row],[Performance_Score]]))</f>
        <v>Poor</v>
      </c>
      <c r="L164" s="3" t="b">
        <f>Table1[[#This Row],[Remote_Work]]</f>
        <v>1</v>
      </c>
      <c r="M164" s="3" t="str">
        <f>PROPER(CONCATENATE(Table13[[#This Row],[First_Name]], Table13[[#This Row],[Last_Name]]))</f>
        <v>Bobgarcia</v>
      </c>
      <c r="N164" s="3" t="str">
        <f t="shared" si="2"/>
        <v>Apr</v>
      </c>
      <c r="O164" s="3" t="str">
        <f>TEXT(Table13[[#This Row],[Join_Date]],"yyyy")</f>
        <v>2023</v>
      </c>
      <c r="P164" s="3" t="str">
        <f>LEFT('Main Project Raw Data'!E164,FIND("-",'Main Project Raw Data'!E164)-1)</f>
        <v>Finance</v>
      </c>
      <c r="Q164" s="3" t="str">
        <f>RIGHT('Main Project Raw Data'!E164,LEN('Main Project Raw Data'!E164)-FIND("-",'Main Project Raw Data'!E164))</f>
        <v>California</v>
      </c>
    </row>
    <row r="165" spans="1:17" x14ac:dyDescent="0.3">
      <c r="A165" s="3" t="str">
        <f>TRIM(Table1[[#This Row],[Employee_ID]])</f>
        <v>EMP1163</v>
      </c>
      <c r="B165" s="3" t="str">
        <f>TRIM(Table1[[#This Row],[First_Name]])</f>
        <v>Alice</v>
      </c>
      <c r="C165" s="3" t="str">
        <f>TRIM(Table1[[#This Row],[Last_Name]])</f>
        <v>Brown</v>
      </c>
      <c r="D165" s="3">
        <f>IF(Table1[[#This Row],[Age]]="",AVERAGE(Table1[Age]),Table1[[#This Row],[Age]])</f>
        <v>32.484548825710753</v>
      </c>
      <c r="E165" s="3" t="s">
        <v>212</v>
      </c>
      <c r="F165" s="3" t="s">
        <v>28</v>
      </c>
      <c r="G165" s="5">
        <f>IF(ISNUMBER('Main Project Raw Data'!G165),'Main Project Raw Data'!G165,IF(ISNUMBER(SEARCH("/",'Main Project Raw Data'!G165)),DATE(RIGHT('Main Project Raw Data'!G165,4),LEFT('Main Project Raw Data'!G165,FIND("/",'Main Project Raw Data'!G165)-1),MID('Main Project Raw Data'!G165,FIND("/",'Main Project Raw Data'!G165)+1,2)),DATE(RIGHT('Main Project Raw Data'!G165,4),MID('Main Project Raw Data'!G165,4,2),LEFT('Main Project Raw Data'!G165,2))))</f>
        <v>43924</v>
      </c>
      <c r="H165" s="3">
        <f>IF(Table1[[#This Row],[Salary]]="",AVERAGE(Table1[Salary]),Table1[[#This Row],[Salary]])</f>
        <v>54257.78</v>
      </c>
      <c r="I165" s="3" t="s">
        <v>80</v>
      </c>
      <c r="J165" s="3">
        <f>ABS(Table1[[#This Row],[Phone]])</f>
        <v>7546926328</v>
      </c>
      <c r="K165" s="3" t="str">
        <f>PROPER(TRIM(Table1[[#This Row],[Performance_Score]]))</f>
        <v>Poor</v>
      </c>
      <c r="L165" s="3" t="b">
        <f>Table1[[#This Row],[Remote_Work]]</f>
        <v>1</v>
      </c>
      <c r="M165" s="3" t="str">
        <f>PROPER(CONCATENATE(Table13[[#This Row],[First_Name]], Table13[[#This Row],[Last_Name]]))</f>
        <v>Alicebrown</v>
      </c>
      <c r="N165" s="3" t="str">
        <f t="shared" si="2"/>
        <v>Apr</v>
      </c>
      <c r="O165" s="3" t="str">
        <f>TEXT(Table13[[#This Row],[Join_Date]],"yyyy")</f>
        <v>2020</v>
      </c>
      <c r="P165" s="3" t="str">
        <f>LEFT('Main Project Raw Data'!E165,FIND("-",'Main Project Raw Data'!E165)-1)</f>
        <v>HR</v>
      </c>
      <c r="Q165" s="3" t="str">
        <f>RIGHT('Main Project Raw Data'!E165,LEN('Main Project Raw Data'!E165)-FIND("-",'Main Project Raw Data'!E165))</f>
        <v>Florida</v>
      </c>
    </row>
    <row r="166" spans="1:17" x14ac:dyDescent="0.3">
      <c r="A166" s="3" t="str">
        <f>TRIM(Table1[[#This Row],[Employee_ID]])</f>
        <v>EMP1164</v>
      </c>
      <c r="B166" s="3" t="str">
        <f>TRIM(Table1[[#This Row],[First_Name]])</f>
        <v>Grace</v>
      </c>
      <c r="C166" s="3" t="str">
        <f>TRIM(Table1[[#This Row],[Last_Name]])</f>
        <v>Johnson</v>
      </c>
      <c r="D166" s="3">
        <f>IF(Table1[[#This Row],[Age]]="",AVERAGE(Table1[Age]),Table1[[#This Row],[Age]])</f>
        <v>40</v>
      </c>
      <c r="E166" s="3" t="s">
        <v>237</v>
      </c>
      <c r="F166" s="3" t="s">
        <v>33</v>
      </c>
      <c r="G166" s="5">
        <f>IF(ISNUMBER('Main Project Raw Data'!G166),'Main Project Raw Data'!G166,IF(ISNUMBER(SEARCH("/",'Main Project Raw Data'!G166)),DATE(RIGHT('Main Project Raw Data'!G166,4),LEFT('Main Project Raw Data'!G166,FIND("/",'Main Project Raw Data'!G166)-1),MID('Main Project Raw Data'!G166,FIND("/",'Main Project Raw Data'!G166)+1,2)),DATE(RIGHT('Main Project Raw Data'!G166,4),MID('Main Project Raw Data'!G166,4,2),LEFT('Main Project Raw Data'!G166,2))))</f>
        <v>45289</v>
      </c>
      <c r="H166" s="3">
        <f>IF(Table1[[#This Row],[Salary]]="",AVERAGE(Table1[Salary]),Table1[[#This Row],[Salary]])</f>
        <v>113679.06</v>
      </c>
      <c r="I166" s="3" t="s">
        <v>127</v>
      </c>
      <c r="J166" s="3">
        <f>ABS(Table1[[#This Row],[Phone]])</f>
        <v>6762916031</v>
      </c>
      <c r="K166" s="3" t="str">
        <f>PROPER(TRIM(Table1[[#This Row],[Performance_Score]]))</f>
        <v>Poor</v>
      </c>
      <c r="L166" s="3" t="b">
        <f>Table1[[#This Row],[Remote_Work]]</f>
        <v>1</v>
      </c>
      <c r="M166" s="3" t="str">
        <f>PROPER(CONCATENATE(Table13[[#This Row],[First_Name]], Table13[[#This Row],[Last_Name]]))</f>
        <v>Gracejohnson</v>
      </c>
      <c r="N166" s="3" t="str">
        <f t="shared" si="2"/>
        <v>Dec</v>
      </c>
      <c r="O166" s="3" t="str">
        <f>TEXT(Table13[[#This Row],[Join_Date]],"yyyy")</f>
        <v>2023</v>
      </c>
      <c r="P166" s="3" t="str">
        <f>LEFT('Main Project Raw Data'!E166,FIND("-",'Main Project Raw Data'!E166)-1)</f>
        <v>DevOps</v>
      </c>
      <c r="Q166" s="3" t="str">
        <f>RIGHT('Main Project Raw Data'!E166,LEN('Main Project Raw Data'!E166)-FIND("-",'Main Project Raw Data'!E166))</f>
        <v>Texas</v>
      </c>
    </row>
    <row r="167" spans="1:17" x14ac:dyDescent="0.3">
      <c r="A167" s="3" t="str">
        <f>TRIM(Table1[[#This Row],[Employee_ID]])</f>
        <v>EMP1165</v>
      </c>
      <c r="B167" s="3" t="str">
        <f>TRIM(Table1[[#This Row],[First_Name]])</f>
        <v>Bob</v>
      </c>
      <c r="C167" s="3" t="str">
        <f>TRIM(Table1[[#This Row],[Last_Name]])</f>
        <v>Smith</v>
      </c>
      <c r="D167" s="3">
        <f>IF(Table1[[#This Row],[Age]]="",AVERAGE(Table1[Age]),Table1[[#This Row],[Age]])</f>
        <v>35</v>
      </c>
      <c r="E167" s="3" t="s">
        <v>109</v>
      </c>
      <c r="F167" s="3" t="s">
        <v>16</v>
      </c>
      <c r="G167" s="5">
        <f>IF(ISNUMBER('Main Project Raw Data'!G167),'Main Project Raw Data'!G167,IF(ISNUMBER(SEARCH("/",'Main Project Raw Data'!G167)),DATE(RIGHT('Main Project Raw Data'!G167,4),LEFT('Main Project Raw Data'!G167,FIND("/",'Main Project Raw Data'!G167)-1),MID('Main Project Raw Data'!G167,FIND("/",'Main Project Raw Data'!G167)+1,2)),DATE(RIGHT('Main Project Raw Data'!G167,4),MID('Main Project Raw Data'!G167,4,2),LEFT('Main Project Raw Data'!G167,2))))</f>
        <v>44089</v>
      </c>
      <c r="H167" s="3">
        <f>IF(Table1[[#This Row],[Salary]]="",AVERAGE(Table1[Salary]),Table1[[#This Row],[Salary]])</f>
        <v>69251.12</v>
      </c>
      <c r="I167" s="3" t="s">
        <v>123</v>
      </c>
      <c r="J167" s="3">
        <f>ABS(Table1[[#This Row],[Phone]])</f>
        <v>4841376814</v>
      </c>
      <c r="K167" s="3" t="str">
        <f>PROPER(TRIM(Table1[[#This Row],[Performance_Score]]))</f>
        <v>Poor</v>
      </c>
      <c r="L167" s="3" t="b">
        <f>Table1[[#This Row],[Remote_Work]]</f>
        <v>1</v>
      </c>
      <c r="M167" s="3" t="str">
        <f>PROPER(CONCATENATE(Table13[[#This Row],[First_Name]], Table13[[#This Row],[Last_Name]]))</f>
        <v>Bobsmith</v>
      </c>
      <c r="N167" s="3" t="str">
        <f t="shared" si="2"/>
        <v>Sep</v>
      </c>
      <c r="O167" s="3" t="str">
        <f>TEXT(Table13[[#This Row],[Join_Date]],"yyyy")</f>
        <v>2020</v>
      </c>
      <c r="P167" s="3" t="str">
        <f>LEFT('Main Project Raw Data'!E167,FIND("-",'Main Project Raw Data'!E167)-1)</f>
        <v>Sales</v>
      </c>
      <c r="Q167" s="3" t="str">
        <f>RIGHT('Main Project Raw Data'!E167,LEN('Main Project Raw Data'!E167)-FIND("-",'Main Project Raw Data'!E167))</f>
        <v>New York</v>
      </c>
    </row>
    <row r="168" spans="1:17" x14ac:dyDescent="0.3">
      <c r="A168" s="3" t="str">
        <f>TRIM(Table1[[#This Row],[Employee_ID]])</f>
        <v>EMP1166</v>
      </c>
      <c r="B168" s="3" t="str">
        <f>TRIM(Table1[[#This Row],[First_Name]])</f>
        <v>Frank</v>
      </c>
      <c r="C168" s="3" t="str">
        <f>TRIM(Table1[[#This Row],[Last_Name]])</f>
        <v>Garcia</v>
      </c>
      <c r="D168" s="3">
        <f>IF(Table1[[#This Row],[Age]]="",AVERAGE(Table1[Age]),Table1[[#This Row],[Age]])</f>
        <v>40</v>
      </c>
      <c r="E168" s="3" t="s">
        <v>98</v>
      </c>
      <c r="F168" s="3" t="s">
        <v>33</v>
      </c>
      <c r="G168" s="5">
        <f>IF(ISNUMBER('Main Project Raw Data'!G168),'Main Project Raw Data'!G168,IF(ISNUMBER(SEARCH("/",'Main Project Raw Data'!G168)),DATE(RIGHT('Main Project Raw Data'!G168,4),LEFT('Main Project Raw Data'!G168,FIND("/",'Main Project Raw Data'!G168)-1),MID('Main Project Raw Data'!G168,FIND("/",'Main Project Raw Data'!G168)+1,2)),DATE(RIGHT('Main Project Raw Data'!G168,4),MID('Main Project Raw Data'!G168,4,2),LEFT('Main Project Raw Data'!G168,2))))</f>
        <v>44760</v>
      </c>
      <c r="H168" s="3">
        <f>IF(Table1[[#This Row],[Salary]]="",AVERAGE(Table1[Salary]),Table1[[#This Row],[Salary]])</f>
        <v>85388.58</v>
      </c>
      <c r="I168" s="3" t="s">
        <v>180</v>
      </c>
      <c r="J168" s="3">
        <f>ABS(Table1[[#This Row],[Phone]])</f>
        <v>1185672437</v>
      </c>
      <c r="K168" s="3" t="str">
        <f>PROPER(TRIM(Table1[[#This Row],[Performance_Score]]))</f>
        <v>Poor</v>
      </c>
      <c r="L168" s="3" t="b">
        <f>Table1[[#This Row],[Remote_Work]]</f>
        <v>1</v>
      </c>
      <c r="M168" s="3" t="str">
        <f>PROPER(CONCATENATE(Table13[[#This Row],[First_Name]], Table13[[#This Row],[Last_Name]]))</f>
        <v>Frankgarcia</v>
      </c>
      <c r="N168" s="3" t="str">
        <f t="shared" si="2"/>
        <v>Jul</v>
      </c>
      <c r="O168" s="3" t="str">
        <f>TEXT(Table13[[#This Row],[Join_Date]],"yyyy")</f>
        <v>2022</v>
      </c>
      <c r="P168" s="3" t="str">
        <f>LEFT('Main Project Raw Data'!E168,FIND("-",'Main Project Raw Data'!E168)-1)</f>
        <v>Sales</v>
      </c>
      <c r="Q168" s="3" t="str">
        <f>RIGHT('Main Project Raw Data'!E168,LEN('Main Project Raw Data'!E168)-FIND("-",'Main Project Raw Data'!E168))</f>
        <v>Illinois</v>
      </c>
    </row>
    <row r="169" spans="1:17" x14ac:dyDescent="0.3">
      <c r="A169" s="3" t="str">
        <f>TRIM(Table1[[#This Row],[Employee_ID]])</f>
        <v>EMP1167</v>
      </c>
      <c r="B169" s="3" t="str">
        <f>TRIM(Table1[[#This Row],[First_Name]])</f>
        <v>Bob</v>
      </c>
      <c r="C169" s="3" t="str">
        <f>TRIM(Table1[[#This Row],[Last_Name]])</f>
        <v>Davis</v>
      </c>
      <c r="D169" s="3">
        <f>IF(Table1[[#This Row],[Age]]="",AVERAGE(Table1[Age]),Table1[[#This Row],[Age]])</f>
        <v>32.484548825710753</v>
      </c>
      <c r="E169" s="3" t="s">
        <v>56</v>
      </c>
      <c r="F169" s="3" t="s">
        <v>33</v>
      </c>
      <c r="G169" s="5">
        <f>IF(ISNUMBER('Main Project Raw Data'!G169),'Main Project Raw Data'!G169,IF(ISNUMBER(SEARCH("/",'Main Project Raw Data'!G169)),DATE(RIGHT('Main Project Raw Data'!G169,4),LEFT('Main Project Raw Data'!G169,FIND("/",'Main Project Raw Data'!G169)-1),MID('Main Project Raw Data'!G169,FIND("/",'Main Project Raw Data'!G169)+1,2)),DATE(RIGHT('Main Project Raw Data'!G169,4),MID('Main Project Raw Data'!G169,4,2),LEFT('Main Project Raw Data'!G169,2))))</f>
        <v>44755</v>
      </c>
      <c r="H169" s="3">
        <f>IF(Table1[[#This Row],[Salary]]="",AVERAGE(Table1[Salary]),Table1[[#This Row],[Salary]])</f>
        <v>112166.37</v>
      </c>
      <c r="I169" s="3" t="s">
        <v>17</v>
      </c>
      <c r="J169" s="3">
        <f>ABS(Table1[[#This Row],[Phone]])</f>
        <v>701765635</v>
      </c>
      <c r="K169" s="3" t="str">
        <f>PROPER(TRIM(Table1[[#This Row],[Performance_Score]]))</f>
        <v>Excellent</v>
      </c>
      <c r="L169" s="3" t="b">
        <f>Table1[[#This Row],[Remote_Work]]</f>
        <v>0</v>
      </c>
      <c r="M169" s="3" t="str">
        <f>PROPER(CONCATENATE(Table13[[#This Row],[First_Name]], Table13[[#This Row],[Last_Name]]))</f>
        <v>Bobdavis</v>
      </c>
      <c r="N169" s="3" t="str">
        <f t="shared" si="2"/>
        <v>Jul</v>
      </c>
      <c r="O169" s="3" t="str">
        <f>TEXT(Table13[[#This Row],[Join_Date]],"yyyy")</f>
        <v>2022</v>
      </c>
      <c r="P169" s="3" t="str">
        <f>LEFT('Main Project Raw Data'!E169,FIND("-",'Main Project Raw Data'!E169)-1)</f>
        <v>DevOps</v>
      </c>
      <c r="Q169" s="3" t="str">
        <f>RIGHT('Main Project Raw Data'!E169,LEN('Main Project Raw Data'!E169)-FIND("-",'Main Project Raw Data'!E169))</f>
        <v>New York</v>
      </c>
    </row>
    <row r="170" spans="1:17" x14ac:dyDescent="0.3">
      <c r="A170" s="3" t="str">
        <f>TRIM(Table1[[#This Row],[Employee_ID]])</f>
        <v>EMP1168</v>
      </c>
      <c r="B170" s="3" t="str">
        <f>TRIM(Table1[[#This Row],[First_Name]])</f>
        <v>Heidi</v>
      </c>
      <c r="C170" s="3" t="str">
        <f>TRIM(Table1[[#This Row],[Last_Name]])</f>
        <v>Davis</v>
      </c>
      <c r="D170" s="3">
        <f>IF(Table1[[#This Row],[Age]]="",AVERAGE(Table1[Age]),Table1[[#This Row],[Age]])</f>
        <v>40</v>
      </c>
      <c r="E170" s="3" t="s">
        <v>100</v>
      </c>
      <c r="F170" s="3" t="s">
        <v>16</v>
      </c>
      <c r="G170" s="5">
        <f>IF(ISNUMBER('Main Project Raw Data'!G170),'Main Project Raw Data'!G170,IF(ISNUMBER(SEARCH("/",'Main Project Raw Data'!G170)),DATE(RIGHT('Main Project Raw Data'!G170,4),LEFT('Main Project Raw Data'!G170,FIND("/",'Main Project Raw Data'!G170)-1),MID('Main Project Raw Data'!G170,FIND("/",'Main Project Raw Data'!G170)+1,2)),DATE(RIGHT('Main Project Raw Data'!G170,4),MID('Main Project Raw Data'!G170,4,2),LEFT('Main Project Raw Data'!G170,2))))</f>
        <v>44237</v>
      </c>
      <c r="H170" s="3">
        <f>IF(Table1[[#This Row],[Salary]]="",AVERAGE(Table1[Salary]),Table1[[#This Row],[Salary]])</f>
        <v>79873.48</v>
      </c>
      <c r="I170" s="3" t="s">
        <v>394</v>
      </c>
      <c r="J170" s="3">
        <f>ABS(Table1[[#This Row],[Phone]])</f>
        <v>41257770</v>
      </c>
      <c r="K170" s="3" t="str">
        <f>PROPER(TRIM(Table1[[#This Row],[Performance_Score]]))</f>
        <v>Average</v>
      </c>
      <c r="L170" s="3" t="b">
        <f>Table1[[#This Row],[Remote_Work]]</f>
        <v>0</v>
      </c>
      <c r="M170" s="3" t="str">
        <f>PROPER(CONCATENATE(Table13[[#This Row],[First_Name]], Table13[[#This Row],[Last_Name]]))</f>
        <v>Heididavis</v>
      </c>
      <c r="N170" s="3" t="str">
        <f t="shared" si="2"/>
        <v>Feb</v>
      </c>
      <c r="O170" s="3" t="str">
        <f>TEXT(Table13[[#This Row],[Join_Date]],"yyyy")</f>
        <v>2021</v>
      </c>
      <c r="P170" s="3" t="str">
        <f>LEFT('Main Project Raw Data'!E170,FIND("-",'Main Project Raw Data'!E170)-1)</f>
        <v>Finance</v>
      </c>
      <c r="Q170" s="3" t="str">
        <f>RIGHT('Main Project Raw Data'!E170,LEN('Main Project Raw Data'!E170)-FIND("-",'Main Project Raw Data'!E170))</f>
        <v>Nevada</v>
      </c>
    </row>
    <row r="171" spans="1:17" x14ac:dyDescent="0.3">
      <c r="A171" s="3" t="str">
        <f>TRIM(Table1[[#This Row],[Employee_ID]])</f>
        <v>EMP1169</v>
      </c>
      <c r="B171" s="3" t="str">
        <f>TRIM(Table1[[#This Row],[First_Name]])</f>
        <v>Frank</v>
      </c>
      <c r="C171" s="3" t="str">
        <f>TRIM(Table1[[#This Row],[Last_Name]])</f>
        <v>Miller</v>
      </c>
      <c r="D171" s="3">
        <f>IF(Table1[[#This Row],[Age]]="",AVERAGE(Table1[Age]),Table1[[#This Row],[Age]])</f>
        <v>30</v>
      </c>
      <c r="E171" s="3" t="s">
        <v>230</v>
      </c>
      <c r="F171" s="3" t="s">
        <v>16</v>
      </c>
      <c r="G171" s="5">
        <f>IF(ISNUMBER('Main Project Raw Data'!G171),'Main Project Raw Data'!G171,IF(ISNUMBER(SEARCH("/",'Main Project Raw Data'!G171)),DATE(RIGHT('Main Project Raw Data'!G171,4),LEFT('Main Project Raw Data'!G171,FIND("/",'Main Project Raw Data'!G171)-1),MID('Main Project Raw Data'!G171,FIND("/",'Main Project Raw Data'!G171)+1,2)),DATE(RIGHT('Main Project Raw Data'!G171,4),MID('Main Project Raw Data'!G171,4,2),LEFT('Main Project Raw Data'!G171,2))))</f>
        <v>43958</v>
      </c>
      <c r="H171" s="3">
        <f>IF(Table1[[#This Row],[Salary]]="",AVERAGE(Table1[Salary]),Table1[[#This Row],[Salary]])</f>
        <v>108224.03</v>
      </c>
      <c r="I171" s="3" t="s">
        <v>110</v>
      </c>
      <c r="J171" s="3">
        <f>ABS(Table1[[#This Row],[Phone]])</f>
        <v>1837274219</v>
      </c>
      <c r="K171" s="3" t="str">
        <f>PROPER(TRIM(Table1[[#This Row],[Performance_Score]]))</f>
        <v>Poor</v>
      </c>
      <c r="L171" s="3" t="b">
        <f>Table1[[#This Row],[Remote_Work]]</f>
        <v>1</v>
      </c>
      <c r="M171" s="3" t="str">
        <f>PROPER(CONCATENATE(Table13[[#This Row],[First_Name]], Table13[[#This Row],[Last_Name]]))</f>
        <v>Frankmiller</v>
      </c>
      <c r="N171" s="3" t="str">
        <f t="shared" si="2"/>
        <v>May</v>
      </c>
      <c r="O171" s="3" t="str">
        <f>TEXT(Table13[[#This Row],[Join_Date]],"yyyy")</f>
        <v>2020</v>
      </c>
      <c r="P171" s="3" t="str">
        <f>LEFT('Main Project Raw Data'!E171,FIND("-",'Main Project Raw Data'!E171)-1)</f>
        <v>DevOps</v>
      </c>
      <c r="Q171" s="3" t="str">
        <f>RIGHT('Main Project Raw Data'!E171,LEN('Main Project Raw Data'!E171)-FIND("-",'Main Project Raw Data'!E171))</f>
        <v>Florida</v>
      </c>
    </row>
    <row r="172" spans="1:17" x14ac:dyDescent="0.3">
      <c r="A172" s="3" t="str">
        <f>TRIM(Table1[[#This Row],[Employee_ID]])</f>
        <v>EMP1170</v>
      </c>
      <c r="B172" s="3" t="str">
        <f>TRIM(Table1[[#This Row],[First_Name]])</f>
        <v>Bob</v>
      </c>
      <c r="C172" s="3" t="str">
        <f>TRIM(Table1[[#This Row],[Last_Name]])</f>
        <v>Garcia</v>
      </c>
      <c r="D172" s="3">
        <f>IF(Table1[[#This Row],[Age]]="",AVERAGE(Table1[Age]),Table1[[#This Row],[Age]])</f>
        <v>35</v>
      </c>
      <c r="E172" s="3" t="s">
        <v>89</v>
      </c>
      <c r="F172" s="3" t="s">
        <v>16</v>
      </c>
      <c r="G172" s="5">
        <f>IF(ISNUMBER('Main Project Raw Data'!G172),'Main Project Raw Data'!G172,IF(ISNUMBER(SEARCH("/",'Main Project Raw Data'!G172)),DATE(RIGHT('Main Project Raw Data'!G172,4),LEFT('Main Project Raw Data'!G172,FIND("/",'Main Project Raw Data'!G172)-1),MID('Main Project Raw Data'!G172,FIND("/",'Main Project Raw Data'!G172)+1,2)),DATE(RIGHT('Main Project Raw Data'!G172,4),MID('Main Project Raw Data'!G172,4,2),LEFT('Main Project Raw Data'!G172,2))))</f>
        <v>45032</v>
      </c>
      <c r="H172" s="3">
        <f>IF(Table1[[#This Row],[Salary]]="",AVERAGE(Table1[Salary]),Table1[[#This Row],[Salary]])</f>
        <v>116963.72</v>
      </c>
      <c r="I172" s="3" t="s">
        <v>153</v>
      </c>
      <c r="J172" s="3">
        <f>ABS(Table1[[#This Row],[Phone]])</f>
        <v>9124186209</v>
      </c>
      <c r="K172" s="3" t="str">
        <f>PROPER(TRIM(Table1[[#This Row],[Performance_Score]]))</f>
        <v>Average</v>
      </c>
      <c r="L172" s="3" t="b">
        <f>Table1[[#This Row],[Remote_Work]]</f>
        <v>1</v>
      </c>
      <c r="M172" s="3" t="str">
        <f>PROPER(CONCATENATE(Table13[[#This Row],[First_Name]], Table13[[#This Row],[Last_Name]]))</f>
        <v>Bobgarcia</v>
      </c>
      <c r="N172" s="3" t="str">
        <f t="shared" si="2"/>
        <v>Apr</v>
      </c>
      <c r="O172" s="3" t="str">
        <f>TEXT(Table13[[#This Row],[Join_Date]],"yyyy")</f>
        <v>2023</v>
      </c>
      <c r="P172" s="3" t="str">
        <f>LEFT('Main Project Raw Data'!E172,FIND("-",'Main Project Raw Data'!E172)-1)</f>
        <v>Admin</v>
      </c>
      <c r="Q172" s="3" t="str">
        <f>RIGHT('Main Project Raw Data'!E172,LEN('Main Project Raw Data'!E172)-FIND("-",'Main Project Raw Data'!E172))</f>
        <v>Illinois</v>
      </c>
    </row>
    <row r="173" spans="1:17" x14ac:dyDescent="0.3">
      <c r="A173" s="3" t="str">
        <f>TRIM(Table1[[#This Row],[Employee_ID]])</f>
        <v>EMP1171</v>
      </c>
      <c r="B173" s="3" t="str">
        <f>TRIM(Table1[[#This Row],[First_Name]])</f>
        <v>Bob</v>
      </c>
      <c r="C173" s="3" t="str">
        <f>TRIM(Table1[[#This Row],[Last_Name]])</f>
        <v>Jones</v>
      </c>
      <c r="D173" s="3">
        <f>IF(Table1[[#This Row],[Age]]="",AVERAGE(Table1[Age]),Table1[[#This Row],[Age]])</f>
        <v>40</v>
      </c>
      <c r="E173" s="3" t="s">
        <v>149</v>
      </c>
      <c r="F173" s="3" t="s">
        <v>33</v>
      </c>
      <c r="G173" s="5">
        <f>IF(ISNUMBER('Main Project Raw Data'!G173),'Main Project Raw Data'!G173,IF(ISNUMBER(SEARCH("/",'Main Project Raw Data'!G173)),DATE(RIGHT('Main Project Raw Data'!G173,4),LEFT('Main Project Raw Data'!G173,FIND("/",'Main Project Raw Data'!G173)-1),MID('Main Project Raw Data'!G173,FIND("/",'Main Project Raw Data'!G173)+1,2)),DATE(RIGHT('Main Project Raw Data'!G173,4),MID('Main Project Raw Data'!G173,4,2),LEFT('Main Project Raw Data'!G173,2))))</f>
        <v>45637</v>
      </c>
      <c r="H173" s="3">
        <f>IF(Table1[[#This Row],[Salary]]="",AVERAGE(Table1[Salary]),Table1[[#This Row],[Salary]])</f>
        <v>114109.06</v>
      </c>
      <c r="I173" s="3" t="s">
        <v>50</v>
      </c>
      <c r="J173" s="3">
        <f>ABS(Table1[[#This Row],[Phone]])</f>
        <v>4275230836</v>
      </c>
      <c r="K173" s="3" t="str">
        <f>PROPER(TRIM(Table1[[#This Row],[Performance_Score]]))</f>
        <v>Average</v>
      </c>
      <c r="L173" s="3" t="b">
        <f>Table1[[#This Row],[Remote_Work]]</f>
        <v>1</v>
      </c>
      <c r="M173" s="3" t="str">
        <f>PROPER(CONCATENATE(Table13[[#This Row],[First_Name]], Table13[[#This Row],[Last_Name]]))</f>
        <v>Bobjones</v>
      </c>
      <c r="N173" s="3" t="str">
        <f t="shared" si="2"/>
        <v>Dec</v>
      </c>
      <c r="O173" s="3" t="str">
        <f>TEXT(Table13[[#This Row],[Join_Date]],"yyyy")</f>
        <v>2024</v>
      </c>
      <c r="P173" s="3" t="str">
        <f>LEFT('Main Project Raw Data'!E173,FIND("-",'Main Project Raw Data'!E173)-1)</f>
        <v>HR</v>
      </c>
      <c r="Q173" s="3" t="str">
        <f>RIGHT('Main Project Raw Data'!E173,LEN('Main Project Raw Data'!E173)-FIND("-",'Main Project Raw Data'!E173))</f>
        <v>Nevada</v>
      </c>
    </row>
    <row r="174" spans="1:17" x14ac:dyDescent="0.3">
      <c r="A174" s="3" t="str">
        <f>TRIM(Table1[[#This Row],[Employee_ID]])</f>
        <v>EMP1172</v>
      </c>
      <c r="B174" s="3" t="str">
        <f>TRIM(Table1[[#This Row],[First_Name]])</f>
        <v>Eva</v>
      </c>
      <c r="C174" s="3" t="str">
        <f>TRIM(Table1[[#This Row],[Last_Name]])</f>
        <v>Williams</v>
      </c>
      <c r="D174" s="3">
        <f>IF(Table1[[#This Row],[Age]]="",AVERAGE(Table1[Age]),Table1[[#This Row],[Age]])</f>
        <v>32.484548825710753</v>
      </c>
      <c r="E174" s="3" t="s">
        <v>146</v>
      </c>
      <c r="F174" s="3" t="s">
        <v>16</v>
      </c>
      <c r="G174" s="5">
        <f>IF(ISNUMBER('Main Project Raw Data'!G174),'Main Project Raw Data'!G174,IF(ISNUMBER(SEARCH("/",'Main Project Raw Data'!G174)),DATE(RIGHT('Main Project Raw Data'!G174,4),LEFT('Main Project Raw Data'!G174,FIND("/",'Main Project Raw Data'!G174)-1),MID('Main Project Raw Data'!G174,FIND("/",'Main Project Raw Data'!G174)+1,2)),DATE(RIGHT('Main Project Raw Data'!G174,4),MID('Main Project Raw Data'!G174,4,2),LEFT('Main Project Raw Data'!G174,2))))</f>
        <v>45014</v>
      </c>
      <c r="H174" s="3">
        <f>IF(Table1[[#This Row],[Salary]]="",AVERAGE(Table1[Salary]),Table1[[#This Row],[Salary]])</f>
        <v>85518.88</v>
      </c>
      <c r="I174" s="3" t="s">
        <v>141</v>
      </c>
      <c r="J174" s="3">
        <f>ABS(Table1[[#This Row],[Phone]])</f>
        <v>816470899</v>
      </c>
      <c r="K174" s="3" t="str">
        <f>PROPER(TRIM(Table1[[#This Row],[Performance_Score]]))</f>
        <v>Excellent</v>
      </c>
      <c r="L174" s="3" t="b">
        <f>Table1[[#This Row],[Remote_Work]]</f>
        <v>0</v>
      </c>
      <c r="M174" s="3" t="str">
        <f>PROPER(CONCATENATE(Table13[[#This Row],[First_Name]], Table13[[#This Row],[Last_Name]]))</f>
        <v>Evawilliams</v>
      </c>
      <c r="N174" s="3" t="str">
        <f t="shared" si="2"/>
        <v>Mar</v>
      </c>
      <c r="O174" s="3" t="str">
        <f>TEXT(Table13[[#This Row],[Join_Date]],"yyyy")</f>
        <v>2023</v>
      </c>
      <c r="P174" s="3" t="str">
        <f>LEFT('Main Project Raw Data'!E174,FIND("-",'Main Project Raw Data'!E174)-1)</f>
        <v>HR</v>
      </c>
      <c r="Q174" s="3" t="str">
        <f>RIGHT('Main Project Raw Data'!E174,LEN('Main Project Raw Data'!E174)-FIND("-",'Main Project Raw Data'!E174))</f>
        <v>California</v>
      </c>
    </row>
    <row r="175" spans="1:17" x14ac:dyDescent="0.3">
      <c r="A175" s="3" t="str">
        <f>TRIM(Table1[[#This Row],[Employee_ID]])</f>
        <v>EMP1173</v>
      </c>
      <c r="B175" s="3" t="str">
        <f>TRIM(Table1[[#This Row],[First_Name]])</f>
        <v>Heidi</v>
      </c>
      <c r="C175" s="3" t="str">
        <f>TRIM(Table1[[#This Row],[Last_Name]])</f>
        <v>Brown</v>
      </c>
      <c r="D175" s="3">
        <f>IF(Table1[[#This Row],[Age]]="",AVERAGE(Table1[Age]),Table1[[#This Row],[Age]])</f>
        <v>30</v>
      </c>
      <c r="E175" s="3" t="s">
        <v>268</v>
      </c>
      <c r="F175" s="3" t="s">
        <v>28</v>
      </c>
      <c r="G175" s="5">
        <f>IF(ISNUMBER('Main Project Raw Data'!G175),'Main Project Raw Data'!G175,IF(ISNUMBER(SEARCH("/",'Main Project Raw Data'!G175)),DATE(RIGHT('Main Project Raw Data'!G175,4),LEFT('Main Project Raw Data'!G175,FIND("/",'Main Project Raw Data'!G175)-1),MID('Main Project Raw Data'!G175,FIND("/",'Main Project Raw Data'!G175)+1,2)),DATE(RIGHT('Main Project Raw Data'!G175,4),MID('Main Project Raw Data'!G175,4,2),LEFT('Main Project Raw Data'!G175,2))))</f>
        <v>44583</v>
      </c>
      <c r="H175" s="3">
        <f>IF(Table1[[#This Row],[Salary]]="",AVERAGE(Table1[Salary]),Table1[[#This Row],[Salary]])</f>
        <v>58041.97</v>
      </c>
      <c r="I175" s="3" t="s">
        <v>403</v>
      </c>
      <c r="J175" s="3">
        <f>ABS(Table1[[#This Row],[Phone]])</f>
        <v>6335331059</v>
      </c>
      <c r="K175" s="3" t="str">
        <f>PROPER(TRIM(Table1[[#This Row],[Performance_Score]]))</f>
        <v>Poor</v>
      </c>
      <c r="L175" s="3" t="b">
        <f>Table1[[#This Row],[Remote_Work]]</f>
        <v>1</v>
      </c>
      <c r="M175" s="3" t="str">
        <f>PROPER(CONCATENATE(Table13[[#This Row],[First_Name]], Table13[[#This Row],[Last_Name]]))</f>
        <v>Heidibrown</v>
      </c>
      <c r="N175" s="3" t="str">
        <f t="shared" si="2"/>
        <v>Jan</v>
      </c>
      <c r="O175" s="3" t="str">
        <f>TEXT(Table13[[#This Row],[Join_Date]],"yyyy")</f>
        <v>2022</v>
      </c>
      <c r="P175" s="3" t="str">
        <f>LEFT('Main Project Raw Data'!E175,FIND("-",'Main Project Raw Data'!E175)-1)</f>
        <v>Cloud Tech</v>
      </c>
      <c r="Q175" s="3" t="str">
        <f>RIGHT('Main Project Raw Data'!E175,LEN('Main Project Raw Data'!E175)-FIND("-",'Main Project Raw Data'!E175))</f>
        <v>California</v>
      </c>
    </row>
    <row r="176" spans="1:17" x14ac:dyDescent="0.3">
      <c r="A176" s="3" t="str">
        <f>TRIM(Table1[[#This Row],[Employee_ID]])</f>
        <v>EMP1174</v>
      </c>
      <c r="B176" s="3" t="str">
        <f>TRIM(Table1[[#This Row],[First_Name]])</f>
        <v>David</v>
      </c>
      <c r="C176" s="3" t="str">
        <f>TRIM(Table1[[#This Row],[Last_Name]])</f>
        <v>Garcia</v>
      </c>
      <c r="D176" s="3">
        <f>IF(Table1[[#This Row],[Age]]="",AVERAGE(Table1[Age]),Table1[[#This Row],[Age]])</f>
        <v>40</v>
      </c>
      <c r="E176" s="3" t="s">
        <v>98</v>
      </c>
      <c r="F176" s="3" t="s">
        <v>28</v>
      </c>
      <c r="G176" s="5">
        <f>IF(ISNUMBER('Main Project Raw Data'!G176),'Main Project Raw Data'!G176,IF(ISNUMBER(SEARCH("/",'Main Project Raw Data'!G176)),DATE(RIGHT('Main Project Raw Data'!G176,4),LEFT('Main Project Raw Data'!G176,FIND("/",'Main Project Raw Data'!G176)-1),MID('Main Project Raw Data'!G176,FIND("/",'Main Project Raw Data'!G176)+1,2)),DATE(RIGHT('Main Project Raw Data'!G176,4),MID('Main Project Raw Data'!G176,4,2),LEFT('Main Project Raw Data'!G176,2))))</f>
        <v>45213</v>
      </c>
      <c r="H176" s="3">
        <f>IF(Table1[[#This Row],[Salary]]="",AVERAGE(Table1[Salary]),Table1[[#This Row],[Salary]])</f>
        <v>94988.94</v>
      </c>
      <c r="I176" s="3" t="s">
        <v>101</v>
      </c>
      <c r="J176" s="3">
        <f>ABS(Table1[[#This Row],[Phone]])</f>
        <v>531312205</v>
      </c>
      <c r="K176" s="3" t="str">
        <f>PROPER(TRIM(Table1[[#This Row],[Performance_Score]]))</f>
        <v>Good</v>
      </c>
      <c r="L176" s="3" t="b">
        <f>Table1[[#This Row],[Remote_Work]]</f>
        <v>0</v>
      </c>
      <c r="M176" s="3" t="str">
        <f>PROPER(CONCATENATE(Table13[[#This Row],[First_Name]], Table13[[#This Row],[Last_Name]]))</f>
        <v>Davidgarcia</v>
      </c>
      <c r="N176" s="3" t="str">
        <f t="shared" si="2"/>
        <v>Oct</v>
      </c>
      <c r="O176" s="3" t="str">
        <f>TEXT(Table13[[#This Row],[Join_Date]],"yyyy")</f>
        <v>2023</v>
      </c>
      <c r="P176" s="3" t="str">
        <f>LEFT('Main Project Raw Data'!E176,FIND("-",'Main Project Raw Data'!E176)-1)</f>
        <v>Sales</v>
      </c>
      <c r="Q176" s="3" t="str">
        <f>RIGHT('Main Project Raw Data'!E176,LEN('Main Project Raw Data'!E176)-FIND("-",'Main Project Raw Data'!E176))</f>
        <v>Illinois</v>
      </c>
    </row>
    <row r="177" spans="1:17" x14ac:dyDescent="0.3">
      <c r="A177" s="3" t="str">
        <f>TRIM(Table1[[#This Row],[Employee_ID]])</f>
        <v>EMP1175</v>
      </c>
      <c r="B177" s="3" t="str">
        <f>TRIM(Table1[[#This Row],[First_Name]])</f>
        <v>Eva</v>
      </c>
      <c r="C177" s="3" t="str">
        <f>TRIM(Table1[[#This Row],[Last_Name]])</f>
        <v>Miller</v>
      </c>
      <c r="D177" s="3">
        <f>IF(Table1[[#This Row],[Age]]="",AVERAGE(Table1[Age]),Table1[[#This Row],[Age]])</f>
        <v>25</v>
      </c>
      <c r="E177" s="3" t="s">
        <v>118</v>
      </c>
      <c r="F177" s="3" t="s">
        <v>28</v>
      </c>
      <c r="G177" s="5">
        <f>IF(ISNUMBER('Main Project Raw Data'!G177),'Main Project Raw Data'!G177,IF(ISNUMBER(SEARCH("/",'Main Project Raw Data'!G177)),DATE(RIGHT('Main Project Raw Data'!G177,4),LEFT('Main Project Raw Data'!G177,FIND("/",'Main Project Raw Data'!G177)-1),MID('Main Project Raw Data'!G177,FIND("/",'Main Project Raw Data'!G177)+1,2)),DATE(RIGHT('Main Project Raw Data'!G177,4),MID('Main Project Raw Data'!G177,4,2),LEFT('Main Project Raw Data'!G177,2))))</f>
        <v>45569</v>
      </c>
      <c r="H177" s="3">
        <f>IF(Table1[[#This Row],[Salary]]="",AVERAGE(Table1[Salary]),Table1[[#This Row],[Salary]])</f>
        <v>71628.929999999993</v>
      </c>
      <c r="I177" s="3" t="s">
        <v>263</v>
      </c>
      <c r="J177" s="3">
        <f>ABS(Table1[[#This Row],[Phone]])</f>
        <v>8155839385</v>
      </c>
      <c r="K177" s="3" t="str">
        <f>PROPER(TRIM(Table1[[#This Row],[Performance_Score]]))</f>
        <v>Excellent</v>
      </c>
      <c r="L177" s="3" t="b">
        <f>Table1[[#This Row],[Remote_Work]]</f>
        <v>0</v>
      </c>
      <c r="M177" s="3" t="str">
        <f>PROPER(CONCATENATE(Table13[[#This Row],[First_Name]], Table13[[#This Row],[Last_Name]]))</f>
        <v>Evamiller</v>
      </c>
      <c r="N177" s="3" t="str">
        <f t="shared" si="2"/>
        <v>Oct</v>
      </c>
      <c r="O177" s="3" t="str">
        <f>TEXT(Table13[[#This Row],[Join_Date]],"yyyy")</f>
        <v>2024</v>
      </c>
      <c r="P177" s="3" t="str">
        <f>LEFT('Main Project Raw Data'!E177,FIND("-",'Main Project Raw Data'!E177)-1)</f>
        <v>Admin</v>
      </c>
      <c r="Q177" s="3" t="str">
        <f>RIGHT('Main Project Raw Data'!E177,LEN('Main Project Raw Data'!E177)-FIND("-",'Main Project Raw Data'!E177))</f>
        <v>California</v>
      </c>
    </row>
    <row r="178" spans="1:17" x14ac:dyDescent="0.3">
      <c r="A178" s="3" t="str">
        <f>TRIM(Table1[[#This Row],[Employee_ID]])</f>
        <v>EMP1176</v>
      </c>
      <c r="B178" s="3" t="str">
        <f>TRIM(Table1[[#This Row],[First_Name]])</f>
        <v>Alice</v>
      </c>
      <c r="C178" s="3" t="str">
        <f>TRIM(Table1[[#This Row],[Last_Name]])</f>
        <v>Williams</v>
      </c>
      <c r="D178" s="3">
        <f>IF(Table1[[#This Row],[Age]]="",AVERAGE(Table1[Age]),Table1[[#This Row],[Age]])</f>
        <v>30</v>
      </c>
      <c r="E178" s="3" t="s">
        <v>89</v>
      </c>
      <c r="F178" s="3" t="s">
        <v>28</v>
      </c>
      <c r="G178" s="5">
        <f>IF(ISNUMBER('Main Project Raw Data'!G178),'Main Project Raw Data'!G178,IF(ISNUMBER(SEARCH("/",'Main Project Raw Data'!G178)),DATE(RIGHT('Main Project Raw Data'!G178,4),LEFT('Main Project Raw Data'!G178,FIND("/",'Main Project Raw Data'!G178)-1),MID('Main Project Raw Data'!G178,FIND("/",'Main Project Raw Data'!G178)+1,2)),DATE(RIGHT('Main Project Raw Data'!G178,4),MID('Main Project Raw Data'!G178,4,2),LEFT('Main Project Raw Data'!G178,2))))</f>
        <v>44651</v>
      </c>
      <c r="H178" s="3">
        <f>IF(Table1[[#This Row],[Salary]]="",AVERAGE(Table1[Salary]),Table1[[#This Row],[Salary]])</f>
        <v>54870.98</v>
      </c>
      <c r="I178" s="3" t="s">
        <v>362</v>
      </c>
      <c r="J178" s="3">
        <f>ABS(Table1[[#This Row],[Phone]])</f>
        <v>6133155205</v>
      </c>
      <c r="K178" s="3" t="str">
        <f>PROPER(TRIM(Table1[[#This Row],[Performance_Score]]))</f>
        <v>Good</v>
      </c>
      <c r="L178" s="3" t="b">
        <f>Table1[[#This Row],[Remote_Work]]</f>
        <v>0</v>
      </c>
      <c r="M178" s="3" t="str">
        <f>PROPER(CONCATENATE(Table13[[#This Row],[First_Name]], Table13[[#This Row],[Last_Name]]))</f>
        <v>Alicewilliams</v>
      </c>
      <c r="N178" s="3" t="str">
        <f t="shared" si="2"/>
        <v>Mar</v>
      </c>
      <c r="O178" s="3" t="str">
        <f>TEXT(Table13[[#This Row],[Join_Date]],"yyyy")</f>
        <v>2022</v>
      </c>
      <c r="P178" s="3" t="str">
        <f>LEFT('Main Project Raw Data'!E178,FIND("-",'Main Project Raw Data'!E178)-1)</f>
        <v>Admin</v>
      </c>
      <c r="Q178" s="3" t="str">
        <f>RIGHT('Main Project Raw Data'!E178,LEN('Main Project Raw Data'!E178)-FIND("-",'Main Project Raw Data'!E178))</f>
        <v>Illinois</v>
      </c>
    </row>
    <row r="179" spans="1:17" x14ac:dyDescent="0.3">
      <c r="A179" s="3" t="str">
        <f>TRIM(Table1[[#This Row],[Employee_ID]])</f>
        <v>EMP1177</v>
      </c>
      <c r="B179" s="3" t="str">
        <f>TRIM(Table1[[#This Row],[First_Name]])</f>
        <v>Alice</v>
      </c>
      <c r="C179" s="3" t="str">
        <f>TRIM(Table1[[#This Row],[Last_Name]])</f>
        <v>Williams</v>
      </c>
      <c r="D179" s="3">
        <f>IF(Table1[[#This Row],[Age]]="",AVERAGE(Table1[Age]),Table1[[#This Row],[Age]])</f>
        <v>25</v>
      </c>
      <c r="E179" s="3" t="s">
        <v>78</v>
      </c>
      <c r="F179" s="3" t="s">
        <v>16</v>
      </c>
      <c r="G179" s="5">
        <f>IF(ISNUMBER('Main Project Raw Data'!G179),'Main Project Raw Data'!G179,IF(ISNUMBER(SEARCH("/",'Main Project Raw Data'!G179)),DATE(RIGHT('Main Project Raw Data'!G179,4),LEFT('Main Project Raw Data'!G179,FIND("/",'Main Project Raw Data'!G179)-1),MID('Main Project Raw Data'!G179,FIND("/",'Main Project Raw Data'!G179)+1,2)),DATE(RIGHT('Main Project Raw Data'!G179,4),MID('Main Project Raw Data'!G179,4,2),LEFT('Main Project Raw Data'!G179,2))))</f>
        <v>44806</v>
      </c>
      <c r="H179" s="3">
        <f>IF(Table1[[#This Row],[Salary]]="",AVERAGE(Table1[Salary]),Table1[[#This Row],[Salary]])</f>
        <v>79388.27</v>
      </c>
      <c r="I179" s="3" t="s">
        <v>362</v>
      </c>
      <c r="J179" s="3">
        <f>ABS(Table1[[#This Row],[Phone]])</f>
        <v>5063731494</v>
      </c>
      <c r="K179" s="3" t="str">
        <f>PROPER(TRIM(Table1[[#This Row],[Performance_Score]]))</f>
        <v>Average</v>
      </c>
      <c r="L179" s="3" t="b">
        <f>Table1[[#This Row],[Remote_Work]]</f>
        <v>1</v>
      </c>
      <c r="M179" s="3" t="str">
        <f>PROPER(CONCATENATE(Table13[[#This Row],[First_Name]], Table13[[#This Row],[Last_Name]]))</f>
        <v>Alicewilliams</v>
      </c>
      <c r="N179" s="3" t="str">
        <f t="shared" si="2"/>
        <v>Sep</v>
      </c>
      <c r="O179" s="3" t="str">
        <f>TEXT(Table13[[#This Row],[Join_Date]],"yyyy")</f>
        <v>2022</v>
      </c>
      <c r="P179" s="3" t="str">
        <f>LEFT('Main Project Raw Data'!E179,FIND("-",'Main Project Raw Data'!E179)-1)</f>
        <v>DevOps</v>
      </c>
      <c r="Q179" s="3" t="str">
        <f>RIGHT('Main Project Raw Data'!E179,LEN('Main Project Raw Data'!E179)-FIND("-",'Main Project Raw Data'!E179))</f>
        <v>Illinois</v>
      </c>
    </row>
    <row r="180" spans="1:17" x14ac:dyDescent="0.3">
      <c r="A180" s="3" t="str">
        <f>TRIM(Table1[[#This Row],[Employee_ID]])</f>
        <v>EMP1178</v>
      </c>
      <c r="B180" s="3" t="str">
        <f>TRIM(Table1[[#This Row],[First_Name]])</f>
        <v>Frank</v>
      </c>
      <c r="C180" s="3" t="str">
        <f>TRIM(Table1[[#This Row],[Last_Name]])</f>
        <v>Smith</v>
      </c>
      <c r="D180" s="3">
        <f>IF(Table1[[#This Row],[Age]]="",AVERAGE(Table1[Age]),Table1[[#This Row],[Age]])</f>
        <v>35</v>
      </c>
      <c r="E180" s="3" t="s">
        <v>15</v>
      </c>
      <c r="F180" s="3" t="s">
        <v>28</v>
      </c>
      <c r="G180" s="5">
        <f>IF(ISNUMBER('Main Project Raw Data'!G180),'Main Project Raw Data'!G180,IF(ISNUMBER(SEARCH("/",'Main Project Raw Data'!G180)),DATE(RIGHT('Main Project Raw Data'!G180,4),LEFT('Main Project Raw Data'!G180,FIND("/",'Main Project Raw Data'!G180)-1),MID('Main Project Raw Data'!G180,FIND("/",'Main Project Raw Data'!G180)+1,2)),DATE(RIGHT('Main Project Raw Data'!G180,4),MID('Main Project Raw Data'!G180,4,2),LEFT('Main Project Raw Data'!G180,2))))</f>
        <v>45082</v>
      </c>
      <c r="H180" s="3">
        <f>IF(Table1[[#This Row],[Salary]]="",AVERAGE(Table1[Salary]),Table1[[#This Row],[Salary]])</f>
        <v>55946.99</v>
      </c>
      <c r="I180" s="3" t="s">
        <v>137</v>
      </c>
      <c r="J180" s="3">
        <f>ABS(Table1[[#This Row],[Phone]])</f>
        <v>136497188</v>
      </c>
      <c r="K180" s="3" t="str">
        <f>PROPER(TRIM(Table1[[#This Row],[Performance_Score]]))</f>
        <v>Average</v>
      </c>
      <c r="L180" s="3" t="b">
        <f>Table1[[#This Row],[Remote_Work]]</f>
        <v>0</v>
      </c>
      <c r="M180" s="3" t="str">
        <f>PROPER(CONCATENATE(Table13[[#This Row],[First_Name]], Table13[[#This Row],[Last_Name]]))</f>
        <v>Franksmith</v>
      </c>
      <c r="N180" s="3" t="str">
        <f t="shared" si="2"/>
        <v>Jun</v>
      </c>
      <c r="O180" s="3" t="str">
        <f>TEXT(Table13[[#This Row],[Join_Date]],"yyyy")</f>
        <v>2023</v>
      </c>
      <c r="P180" s="3" t="str">
        <f>LEFT('Main Project Raw Data'!E180,FIND("-",'Main Project Raw Data'!E180)-1)</f>
        <v>DevOps</v>
      </c>
      <c r="Q180" s="3" t="str">
        <f>RIGHT('Main Project Raw Data'!E180,LEN('Main Project Raw Data'!E180)-FIND("-",'Main Project Raw Data'!E180))</f>
        <v>California</v>
      </c>
    </row>
    <row r="181" spans="1:17" x14ac:dyDescent="0.3">
      <c r="A181" s="3" t="str">
        <f>TRIM(Table1[[#This Row],[Employee_ID]])</f>
        <v>EMP1179</v>
      </c>
      <c r="B181" s="3" t="str">
        <f>TRIM(Table1[[#This Row],[First_Name]])</f>
        <v>Charlie</v>
      </c>
      <c r="C181" s="3" t="str">
        <f>TRIM(Table1[[#This Row],[Last_Name]])</f>
        <v>Williams</v>
      </c>
      <c r="D181" s="3">
        <f>IF(Table1[[#This Row],[Age]]="",AVERAGE(Table1[Age]),Table1[[#This Row],[Age]])</f>
        <v>32.484548825710753</v>
      </c>
      <c r="E181" s="3" t="s">
        <v>85</v>
      </c>
      <c r="F181" s="3" t="s">
        <v>16</v>
      </c>
      <c r="G181" s="5">
        <f>IF(ISNUMBER('Main Project Raw Data'!G181),'Main Project Raw Data'!G181,IF(ISNUMBER(SEARCH("/",'Main Project Raw Data'!G181)),DATE(RIGHT('Main Project Raw Data'!G181,4),LEFT('Main Project Raw Data'!G181,FIND("/",'Main Project Raw Data'!G181)-1),MID('Main Project Raw Data'!G181,FIND("/",'Main Project Raw Data'!G181)+1,2)),DATE(RIGHT('Main Project Raw Data'!G181,4),MID('Main Project Raw Data'!G181,4,2),LEFT('Main Project Raw Data'!G181,2))))</f>
        <v>44507</v>
      </c>
      <c r="H181" s="3">
        <f>IF(Table1[[#This Row],[Salary]]="",AVERAGE(Table1[Salary]),Table1[[#This Row],[Salary]])</f>
        <v>81017.91</v>
      </c>
      <c r="I181" s="3" t="s">
        <v>90</v>
      </c>
      <c r="J181" s="3">
        <f>ABS(Table1[[#This Row],[Phone]])</f>
        <v>2419562524</v>
      </c>
      <c r="K181" s="3" t="str">
        <f>PROPER(TRIM(Table1[[#This Row],[Performance_Score]]))</f>
        <v>Excellent</v>
      </c>
      <c r="L181" s="3" t="b">
        <f>Table1[[#This Row],[Remote_Work]]</f>
        <v>1</v>
      </c>
      <c r="M181" s="3" t="str">
        <f>PROPER(CONCATENATE(Table13[[#This Row],[First_Name]], Table13[[#This Row],[Last_Name]]))</f>
        <v>Charliewilliams</v>
      </c>
      <c r="N181" s="3" t="str">
        <f t="shared" si="2"/>
        <v>Nov</v>
      </c>
      <c r="O181" s="3" t="str">
        <f>TEXT(Table13[[#This Row],[Join_Date]],"yyyy")</f>
        <v>2021</v>
      </c>
      <c r="P181" s="3" t="str">
        <f>LEFT('Main Project Raw Data'!E181,FIND("-",'Main Project Raw Data'!E181)-1)</f>
        <v>Cloud Tech</v>
      </c>
      <c r="Q181" s="3" t="str">
        <f>RIGHT('Main Project Raw Data'!E181,LEN('Main Project Raw Data'!E181)-FIND("-",'Main Project Raw Data'!E181))</f>
        <v>Nevada</v>
      </c>
    </row>
    <row r="182" spans="1:17" x14ac:dyDescent="0.3">
      <c r="A182" s="3" t="str">
        <f>TRIM(Table1[[#This Row],[Employee_ID]])</f>
        <v>EMP1180</v>
      </c>
      <c r="B182" s="3" t="str">
        <f>TRIM(Table1[[#This Row],[First_Name]])</f>
        <v>Heidi</v>
      </c>
      <c r="C182" s="3" t="str">
        <f>TRIM(Table1[[#This Row],[Last_Name]])</f>
        <v>Jones</v>
      </c>
      <c r="D182" s="3">
        <f>IF(Table1[[#This Row],[Age]]="",AVERAGE(Table1[Age]),Table1[[#This Row],[Age]])</f>
        <v>40</v>
      </c>
      <c r="E182" s="3" t="s">
        <v>66</v>
      </c>
      <c r="F182" s="3" t="s">
        <v>28</v>
      </c>
      <c r="G182" s="5">
        <f>IF(ISNUMBER('Main Project Raw Data'!G182),'Main Project Raw Data'!G182,IF(ISNUMBER(SEARCH("/",'Main Project Raw Data'!G182)),DATE(RIGHT('Main Project Raw Data'!G182,4),LEFT('Main Project Raw Data'!G182,FIND("/",'Main Project Raw Data'!G182)-1),MID('Main Project Raw Data'!G182,FIND("/",'Main Project Raw Data'!G182)+1,2)),DATE(RIGHT('Main Project Raw Data'!G182,4),MID('Main Project Raw Data'!G182,4,2),LEFT('Main Project Raw Data'!G182,2))))</f>
        <v>44064</v>
      </c>
      <c r="H182" s="3">
        <f>IF(Table1[[#This Row],[Salary]]="",AVERAGE(Table1[Salary]),Table1[[#This Row],[Salary]])</f>
        <v>74162.100000000006</v>
      </c>
      <c r="I182" s="3" t="s">
        <v>319</v>
      </c>
      <c r="J182" s="3">
        <f>ABS(Table1[[#This Row],[Phone]])</f>
        <v>7150997682</v>
      </c>
      <c r="K182" s="3" t="str">
        <f>PROPER(TRIM(Table1[[#This Row],[Performance_Score]]))</f>
        <v>Excellent</v>
      </c>
      <c r="L182" s="3" t="b">
        <f>Table1[[#This Row],[Remote_Work]]</f>
        <v>0</v>
      </c>
      <c r="M182" s="3" t="str">
        <f>PROPER(CONCATENATE(Table13[[#This Row],[First_Name]], Table13[[#This Row],[Last_Name]]))</f>
        <v>Heidijones</v>
      </c>
      <c r="N182" s="3" t="str">
        <f t="shared" si="2"/>
        <v>Aug</v>
      </c>
      <c r="O182" s="3" t="str">
        <f>TEXT(Table13[[#This Row],[Join_Date]],"yyyy")</f>
        <v>2020</v>
      </c>
      <c r="P182" s="3" t="str">
        <f>LEFT('Main Project Raw Data'!E182,FIND("-",'Main Project Raw Data'!E182)-1)</f>
        <v>HR</v>
      </c>
      <c r="Q182" s="3" t="str">
        <f>RIGHT('Main Project Raw Data'!E182,LEN('Main Project Raw Data'!E182)-FIND("-",'Main Project Raw Data'!E182))</f>
        <v>New York</v>
      </c>
    </row>
    <row r="183" spans="1:17" x14ac:dyDescent="0.3">
      <c r="A183" s="3" t="str">
        <f>TRIM(Table1[[#This Row],[Employee_ID]])</f>
        <v>EMP1181</v>
      </c>
      <c r="B183" s="3" t="str">
        <f>TRIM(Table1[[#This Row],[First_Name]])</f>
        <v>Heidi</v>
      </c>
      <c r="C183" s="3" t="str">
        <f>TRIM(Table1[[#This Row],[Last_Name]])</f>
        <v>Davis</v>
      </c>
      <c r="D183" s="3">
        <f>IF(Table1[[#This Row],[Age]]="",AVERAGE(Table1[Age]),Table1[[#This Row],[Age]])</f>
        <v>32.484548825710753</v>
      </c>
      <c r="E183" s="3" t="s">
        <v>15</v>
      </c>
      <c r="F183" s="3" t="s">
        <v>16</v>
      </c>
      <c r="G183" s="5">
        <f>IF(ISNUMBER('Main Project Raw Data'!G183),'Main Project Raw Data'!G183,IF(ISNUMBER(SEARCH("/",'Main Project Raw Data'!G183)),DATE(RIGHT('Main Project Raw Data'!G183,4),LEFT('Main Project Raw Data'!G183,FIND("/",'Main Project Raw Data'!G183)-1),MID('Main Project Raw Data'!G183,FIND("/",'Main Project Raw Data'!G183)+1,2)),DATE(RIGHT('Main Project Raw Data'!G183,4),MID('Main Project Raw Data'!G183,4,2),LEFT('Main Project Raw Data'!G183,2))))</f>
        <v>44282</v>
      </c>
      <c r="H183" s="3">
        <f>IF(Table1[[#This Row],[Salary]]="",AVERAGE(Table1[Salary]),Table1[[#This Row],[Salary]])</f>
        <v>77668.44</v>
      </c>
      <c r="I183" s="3" t="s">
        <v>394</v>
      </c>
      <c r="J183" s="3">
        <f>ABS(Table1[[#This Row],[Phone]])</f>
        <v>8903091435</v>
      </c>
      <c r="K183" s="3" t="str">
        <f>PROPER(TRIM(Table1[[#This Row],[Performance_Score]]))</f>
        <v>Good</v>
      </c>
      <c r="L183" s="3" t="b">
        <f>Table1[[#This Row],[Remote_Work]]</f>
        <v>1</v>
      </c>
      <c r="M183" s="3" t="str">
        <f>PROPER(CONCATENATE(Table13[[#This Row],[First_Name]], Table13[[#This Row],[Last_Name]]))</f>
        <v>Heididavis</v>
      </c>
      <c r="N183" s="3" t="str">
        <f t="shared" si="2"/>
        <v>Mar</v>
      </c>
      <c r="O183" s="3" t="str">
        <f>TEXT(Table13[[#This Row],[Join_Date]],"yyyy")</f>
        <v>2021</v>
      </c>
      <c r="P183" s="3" t="str">
        <f>LEFT('Main Project Raw Data'!E183,FIND("-",'Main Project Raw Data'!E183)-1)</f>
        <v>DevOps</v>
      </c>
      <c r="Q183" s="3" t="str">
        <f>RIGHT('Main Project Raw Data'!E183,LEN('Main Project Raw Data'!E183)-FIND("-",'Main Project Raw Data'!E183))</f>
        <v>California</v>
      </c>
    </row>
    <row r="184" spans="1:17" x14ac:dyDescent="0.3">
      <c r="A184" s="3" t="str">
        <f>TRIM(Table1[[#This Row],[Employee_ID]])</f>
        <v>EMP1182</v>
      </c>
      <c r="B184" s="3" t="str">
        <f>TRIM(Table1[[#This Row],[First_Name]])</f>
        <v>Alice</v>
      </c>
      <c r="C184" s="3" t="str">
        <f>TRIM(Table1[[#This Row],[Last_Name]])</f>
        <v>Miller</v>
      </c>
      <c r="D184" s="3">
        <f>IF(Table1[[#This Row],[Age]]="",AVERAGE(Table1[Age]),Table1[[#This Row],[Age]])</f>
        <v>30</v>
      </c>
      <c r="E184" s="3" t="s">
        <v>66</v>
      </c>
      <c r="F184" s="3" t="s">
        <v>16</v>
      </c>
      <c r="G184" s="5">
        <f>IF(ISNUMBER('Main Project Raw Data'!G184),'Main Project Raw Data'!G184,IF(ISNUMBER(SEARCH("/",'Main Project Raw Data'!G184)),DATE(RIGHT('Main Project Raw Data'!G184,4),LEFT('Main Project Raw Data'!G184,FIND("/",'Main Project Raw Data'!G184)-1),MID('Main Project Raw Data'!G184,FIND("/",'Main Project Raw Data'!G184)+1,2)),DATE(RIGHT('Main Project Raw Data'!G184,4),MID('Main Project Raw Data'!G184,4,2),LEFT('Main Project Raw Data'!G184,2))))</f>
        <v>45396</v>
      </c>
      <c r="H184" s="3">
        <f>IF(Table1[[#This Row],[Salary]]="",AVERAGE(Table1[Salary]),Table1[[#This Row],[Salary]])</f>
        <v>67886.37</v>
      </c>
      <c r="I184" s="3" t="s">
        <v>166</v>
      </c>
      <c r="J184" s="3">
        <f>ABS(Table1[[#This Row],[Phone]])</f>
        <v>3910257431</v>
      </c>
      <c r="K184" s="3" t="str">
        <f>PROPER(TRIM(Table1[[#This Row],[Performance_Score]]))</f>
        <v>Poor</v>
      </c>
      <c r="L184" s="3" t="b">
        <f>Table1[[#This Row],[Remote_Work]]</f>
        <v>0</v>
      </c>
      <c r="M184" s="3" t="str">
        <f>PROPER(CONCATENATE(Table13[[#This Row],[First_Name]], Table13[[#This Row],[Last_Name]]))</f>
        <v>Alicemiller</v>
      </c>
      <c r="N184" s="3" t="str">
        <f t="shared" si="2"/>
        <v>Apr</v>
      </c>
      <c r="O184" s="3" t="str">
        <f>TEXT(Table13[[#This Row],[Join_Date]],"yyyy")</f>
        <v>2024</v>
      </c>
      <c r="P184" s="3" t="str">
        <f>LEFT('Main Project Raw Data'!E184,FIND("-",'Main Project Raw Data'!E184)-1)</f>
        <v>HR</v>
      </c>
      <c r="Q184" s="3" t="str">
        <f>RIGHT('Main Project Raw Data'!E184,LEN('Main Project Raw Data'!E184)-FIND("-",'Main Project Raw Data'!E184))</f>
        <v>New York</v>
      </c>
    </row>
    <row r="185" spans="1:17" x14ac:dyDescent="0.3">
      <c r="A185" s="3" t="str">
        <f>TRIM(Table1[[#This Row],[Employee_ID]])</f>
        <v>EMP1183</v>
      </c>
      <c r="B185" s="3" t="str">
        <f>TRIM(Table1[[#This Row],[First_Name]])</f>
        <v>Alice</v>
      </c>
      <c r="C185" s="3" t="str">
        <f>TRIM(Table1[[#This Row],[Last_Name]])</f>
        <v>Williams</v>
      </c>
      <c r="D185" s="3">
        <f>IF(Table1[[#This Row],[Age]]="",AVERAGE(Table1[Age]),Table1[[#This Row],[Age]])</f>
        <v>40</v>
      </c>
      <c r="E185" s="3" t="s">
        <v>230</v>
      </c>
      <c r="F185" s="3" t="s">
        <v>16</v>
      </c>
      <c r="G185" s="5">
        <f>IF(ISNUMBER('Main Project Raw Data'!G185),'Main Project Raw Data'!G185,IF(ISNUMBER(SEARCH("/",'Main Project Raw Data'!G185)),DATE(RIGHT('Main Project Raw Data'!G185,4),LEFT('Main Project Raw Data'!G185,FIND("/",'Main Project Raw Data'!G185)-1),MID('Main Project Raw Data'!G185,FIND("/",'Main Project Raw Data'!G185)+1,2)),DATE(RIGHT('Main Project Raw Data'!G185,4),MID('Main Project Raw Data'!G185,4,2),LEFT('Main Project Raw Data'!G185,2))))</f>
        <v>44095</v>
      </c>
      <c r="H185" s="3">
        <f>IF(Table1[[#This Row],[Salary]]="",AVERAGE(Table1[Salary]),Table1[[#This Row],[Salary]])</f>
        <v>76614.52</v>
      </c>
      <c r="I185" s="3" t="s">
        <v>362</v>
      </c>
      <c r="J185" s="3">
        <f>ABS(Table1[[#This Row],[Phone]])</f>
        <v>6303975244</v>
      </c>
      <c r="K185" s="3" t="str">
        <f>PROPER(TRIM(Table1[[#This Row],[Performance_Score]]))</f>
        <v>Good</v>
      </c>
      <c r="L185" s="3" t="b">
        <f>Table1[[#This Row],[Remote_Work]]</f>
        <v>1</v>
      </c>
      <c r="M185" s="3" t="str">
        <f>PROPER(CONCATENATE(Table13[[#This Row],[First_Name]], Table13[[#This Row],[Last_Name]]))</f>
        <v>Alicewilliams</v>
      </c>
      <c r="N185" s="3" t="str">
        <f t="shared" si="2"/>
        <v>Sep</v>
      </c>
      <c r="O185" s="3" t="str">
        <f>TEXT(Table13[[#This Row],[Join_Date]],"yyyy")</f>
        <v>2020</v>
      </c>
      <c r="P185" s="3" t="str">
        <f>LEFT('Main Project Raw Data'!E185,FIND("-",'Main Project Raw Data'!E185)-1)</f>
        <v>DevOps</v>
      </c>
      <c r="Q185" s="3" t="str">
        <f>RIGHT('Main Project Raw Data'!E185,LEN('Main Project Raw Data'!E185)-FIND("-",'Main Project Raw Data'!E185))</f>
        <v>Florida</v>
      </c>
    </row>
    <row r="186" spans="1:17" x14ac:dyDescent="0.3">
      <c r="A186" s="3" t="str">
        <f>TRIM(Table1[[#This Row],[Employee_ID]])</f>
        <v>EMP1184</v>
      </c>
      <c r="B186" s="3" t="str">
        <f>TRIM(Table1[[#This Row],[First_Name]])</f>
        <v>Frank</v>
      </c>
      <c r="C186" s="3" t="str">
        <f>TRIM(Table1[[#This Row],[Last_Name]])</f>
        <v>Smith</v>
      </c>
      <c r="D186" s="3">
        <f>IF(Table1[[#This Row],[Age]]="",AVERAGE(Table1[Age]),Table1[[#This Row],[Age]])</f>
        <v>25</v>
      </c>
      <c r="E186" s="3" t="s">
        <v>100</v>
      </c>
      <c r="F186" s="3" t="s">
        <v>16</v>
      </c>
      <c r="G186" s="5">
        <f>IF(ISNUMBER('Main Project Raw Data'!G186),'Main Project Raw Data'!G186,IF(ISNUMBER(SEARCH("/",'Main Project Raw Data'!G186)),DATE(RIGHT('Main Project Raw Data'!G186,4),LEFT('Main Project Raw Data'!G186,FIND("/",'Main Project Raw Data'!G186)-1),MID('Main Project Raw Data'!G186,FIND("/",'Main Project Raw Data'!G186)+1,2)),DATE(RIGHT('Main Project Raw Data'!G186,4),MID('Main Project Raw Data'!G186,4,2),LEFT('Main Project Raw Data'!G186,2))))</f>
        <v>44901</v>
      </c>
      <c r="H186" s="3">
        <f>IF(Table1[[#This Row],[Salary]]="",AVERAGE(Table1[Salary]),Table1[[#This Row],[Salary]])</f>
        <v>51311.91</v>
      </c>
      <c r="I186" s="3" t="s">
        <v>137</v>
      </c>
      <c r="J186" s="3">
        <f>ABS(Table1[[#This Row],[Phone]])</f>
        <v>864035532</v>
      </c>
      <c r="K186" s="3" t="str">
        <f>PROPER(TRIM(Table1[[#This Row],[Performance_Score]]))</f>
        <v>Excellent</v>
      </c>
      <c r="L186" s="3" t="b">
        <f>Table1[[#This Row],[Remote_Work]]</f>
        <v>0</v>
      </c>
      <c r="M186" s="3" t="str">
        <f>PROPER(CONCATENATE(Table13[[#This Row],[First_Name]], Table13[[#This Row],[Last_Name]]))</f>
        <v>Franksmith</v>
      </c>
      <c r="N186" s="3" t="str">
        <f t="shared" si="2"/>
        <v>Dec</v>
      </c>
      <c r="O186" s="3" t="str">
        <f>TEXT(Table13[[#This Row],[Join_Date]],"yyyy")</f>
        <v>2022</v>
      </c>
      <c r="P186" s="3" t="str">
        <f>LEFT('Main Project Raw Data'!E186,FIND("-",'Main Project Raw Data'!E186)-1)</f>
        <v>Finance</v>
      </c>
      <c r="Q186" s="3" t="str">
        <f>RIGHT('Main Project Raw Data'!E186,LEN('Main Project Raw Data'!E186)-FIND("-",'Main Project Raw Data'!E186))</f>
        <v>Nevada</v>
      </c>
    </row>
    <row r="187" spans="1:17" x14ac:dyDescent="0.3">
      <c r="A187" s="3" t="str">
        <f>TRIM(Table1[[#This Row],[Employee_ID]])</f>
        <v>EMP1185</v>
      </c>
      <c r="B187" s="3" t="str">
        <f>TRIM(Table1[[#This Row],[First_Name]])</f>
        <v>Frank</v>
      </c>
      <c r="C187" s="3" t="str">
        <f>TRIM(Table1[[#This Row],[Last_Name]])</f>
        <v>Jones</v>
      </c>
      <c r="D187" s="3">
        <f>IF(Table1[[#This Row],[Age]]="",AVERAGE(Table1[Age]),Table1[[#This Row],[Age]])</f>
        <v>32.484548825710753</v>
      </c>
      <c r="E187" s="3" t="s">
        <v>265</v>
      </c>
      <c r="F187" s="3" t="s">
        <v>33</v>
      </c>
      <c r="G187" s="5">
        <f>IF(ISNUMBER('Main Project Raw Data'!G187),'Main Project Raw Data'!G187,IF(ISNUMBER(SEARCH("/",'Main Project Raw Data'!G187)),DATE(RIGHT('Main Project Raw Data'!G187,4),LEFT('Main Project Raw Data'!G187,FIND("/",'Main Project Raw Data'!G187)-1),MID('Main Project Raw Data'!G187,FIND("/",'Main Project Raw Data'!G187)+1,2)),DATE(RIGHT('Main Project Raw Data'!G187,4),MID('Main Project Raw Data'!G187,4,2),LEFT('Main Project Raw Data'!G187,2))))</f>
        <v>45284</v>
      </c>
      <c r="H187" s="3">
        <f>IF(Table1[[#This Row],[Salary]]="",AVERAGE(Table1[Salary]),Table1[[#This Row],[Salary]])</f>
        <v>94809.919999999998</v>
      </c>
      <c r="I187" s="3" t="s">
        <v>47</v>
      </c>
      <c r="J187" s="3">
        <f>ABS(Table1[[#This Row],[Phone]])</f>
        <v>8033968526</v>
      </c>
      <c r="K187" s="3" t="str">
        <f>PROPER(TRIM(Table1[[#This Row],[Performance_Score]]))</f>
        <v>Good</v>
      </c>
      <c r="L187" s="3" t="b">
        <f>Table1[[#This Row],[Remote_Work]]</f>
        <v>1</v>
      </c>
      <c r="M187" s="3" t="str">
        <f>PROPER(CONCATENATE(Table13[[#This Row],[First_Name]], Table13[[#This Row],[Last_Name]]))</f>
        <v>Frankjones</v>
      </c>
      <c r="N187" s="3" t="str">
        <f t="shared" si="2"/>
        <v>Dec</v>
      </c>
      <c r="O187" s="3" t="str">
        <f>TEXT(Table13[[#This Row],[Join_Date]],"yyyy")</f>
        <v>2023</v>
      </c>
      <c r="P187" s="3" t="str">
        <f>LEFT('Main Project Raw Data'!E187,FIND("-",'Main Project Raw Data'!E187)-1)</f>
        <v>Finance</v>
      </c>
      <c r="Q187" s="3" t="str">
        <f>RIGHT('Main Project Raw Data'!E187,LEN('Main Project Raw Data'!E187)-FIND("-",'Main Project Raw Data'!E187))</f>
        <v>Illinois</v>
      </c>
    </row>
    <row r="188" spans="1:17" x14ac:dyDescent="0.3">
      <c r="A188" s="3" t="str">
        <f>TRIM(Table1[[#This Row],[Employee_ID]])</f>
        <v>EMP1186</v>
      </c>
      <c r="B188" s="3" t="str">
        <f>TRIM(Table1[[#This Row],[First_Name]])</f>
        <v>Grace</v>
      </c>
      <c r="C188" s="3" t="str">
        <f>TRIM(Table1[[#This Row],[Last_Name]])</f>
        <v>Johnson</v>
      </c>
      <c r="D188" s="3">
        <f>IF(Table1[[#This Row],[Age]]="",AVERAGE(Table1[Age]),Table1[[#This Row],[Age]])</f>
        <v>25</v>
      </c>
      <c r="E188" s="3" t="s">
        <v>66</v>
      </c>
      <c r="F188" s="3" t="s">
        <v>28</v>
      </c>
      <c r="G188" s="5">
        <f>IF(ISNUMBER('Main Project Raw Data'!G188),'Main Project Raw Data'!G188,IF(ISNUMBER(SEARCH("/",'Main Project Raw Data'!G188)),DATE(RIGHT('Main Project Raw Data'!G188,4),LEFT('Main Project Raw Data'!G188,FIND("/",'Main Project Raw Data'!G188)-1),MID('Main Project Raw Data'!G188,FIND("/",'Main Project Raw Data'!G188)+1,2)),DATE(RIGHT('Main Project Raw Data'!G188,4),MID('Main Project Raw Data'!G188,4,2),LEFT('Main Project Raw Data'!G188,2))))</f>
        <v>44773</v>
      </c>
      <c r="H188" s="3">
        <f>IF(Table1[[#This Row],[Salary]]="",AVERAGE(Table1[Salary]),Table1[[#This Row],[Salary]])</f>
        <v>108241.81</v>
      </c>
      <c r="I188" s="3" t="s">
        <v>127</v>
      </c>
      <c r="J188" s="3">
        <f>ABS(Table1[[#This Row],[Phone]])</f>
        <v>171302320</v>
      </c>
      <c r="K188" s="3" t="str">
        <f>PROPER(TRIM(Table1[[#This Row],[Performance_Score]]))</f>
        <v>Excellent</v>
      </c>
      <c r="L188" s="3" t="b">
        <f>Table1[[#This Row],[Remote_Work]]</f>
        <v>1</v>
      </c>
      <c r="M188" s="3" t="str">
        <f>PROPER(CONCATENATE(Table13[[#This Row],[First_Name]], Table13[[#This Row],[Last_Name]]))</f>
        <v>Gracejohnson</v>
      </c>
      <c r="N188" s="3" t="str">
        <f t="shared" si="2"/>
        <v>Jul</v>
      </c>
      <c r="O188" s="3" t="str">
        <f>TEXT(Table13[[#This Row],[Join_Date]],"yyyy")</f>
        <v>2022</v>
      </c>
      <c r="P188" s="3" t="str">
        <f>LEFT('Main Project Raw Data'!E188,FIND("-",'Main Project Raw Data'!E188)-1)</f>
        <v>HR</v>
      </c>
      <c r="Q188" s="3" t="str">
        <f>RIGHT('Main Project Raw Data'!E188,LEN('Main Project Raw Data'!E188)-FIND("-",'Main Project Raw Data'!E188))</f>
        <v>New York</v>
      </c>
    </row>
    <row r="189" spans="1:17" x14ac:dyDescent="0.3">
      <c r="A189" s="3" t="str">
        <f>TRIM(Table1[[#This Row],[Employee_ID]])</f>
        <v>EMP1187</v>
      </c>
      <c r="B189" s="3" t="str">
        <f>TRIM(Table1[[#This Row],[First_Name]])</f>
        <v>Bob</v>
      </c>
      <c r="C189" s="3" t="str">
        <f>TRIM(Table1[[#This Row],[Last_Name]])</f>
        <v>Davis</v>
      </c>
      <c r="D189" s="3">
        <f>IF(Table1[[#This Row],[Age]]="",AVERAGE(Table1[Age]),Table1[[#This Row],[Age]])</f>
        <v>40</v>
      </c>
      <c r="E189" s="3" t="s">
        <v>60</v>
      </c>
      <c r="F189" s="3" t="s">
        <v>33</v>
      </c>
      <c r="G189" s="5">
        <f>IF(ISNUMBER('Main Project Raw Data'!G189),'Main Project Raw Data'!G189,IF(ISNUMBER(SEARCH("/",'Main Project Raw Data'!G189)),DATE(RIGHT('Main Project Raw Data'!G189,4),LEFT('Main Project Raw Data'!G189,FIND("/",'Main Project Raw Data'!G189)-1),MID('Main Project Raw Data'!G189,FIND("/",'Main Project Raw Data'!G189)+1,2)),DATE(RIGHT('Main Project Raw Data'!G189,4),MID('Main Project Raw Data'!G189,4,2),LEFT('Main Project Raw Data'!G189,2))))</f>
        <v>45037</v>
      </c>
      <c r="H189" s="3">
        <f>IF(Table1[[#This Row],[Salary]]="",AVERAGE(Table1[Salary]),Table1[[#This Row],[Salary]])</f>
        <v>78031.490000000005</v>
      </c>
      <c r="I189" s="3" t="s">
        <v>17</v>
      </c>
      <c r="J189" s="3">
        <f>ABS(Table1[[#This Row],[Phone]])</f>
        <v>2983381673</v>
      </c>
      <c r="K189" s="3" t="str">
        <f>PROPER(TRIM(Table1[[#This Row],[Performance_Score]]))</f>
        <v>Good</v>
      </c>
      <c r="L189" s="3" t="b">
        <f>Table1[[#This Row],[Remote_Work]]</f>
        <v>1</v>
      </c>
      <c r="M189" s="3" t="str">
        <f>PROPER(CONCATENATE(Table13[[#This Row],[First_Name]], Table13[[#This Row],[Last_Name]]))</f>
        <v>Bobdavis</v>
      </c>
      <c r="N189" s="3" t="str">
        <f t="shared" si="2"/>
        <v>Apr</v>
      </c>
      <c r="O189" s="3" t="str">
        <f>TEXT(Table13[[#This Row],[Join_Date]],"yyyy")</f>
        <v>2023</v>
      </c>
      <c r="P189" s="3" t="str">
        <f>LEFT('Main Project Raw Data'!E189,FIND("-",'Main Project Raw Data'!E189)-1)</f>
        <v>Cloud Tech</v>
      </c>
      <c r="Q189" s="3" t="str">
        <f>RIGHT('Main Project Raw Data'!E189,LEN('Main Project Raw Data'!E189)-FIND("-",'Main Project Raw Data'!E189))</f>
        <v>New York</v>
      </c>
    </row>
    <row r="190" spans="1:17" x14ac:dyDescent="0.3">
      <c r="A190" s="3" t="str">
        <f>TRIM(Table1[[#This Row],[Employee_ID]])</f>
        <v>EMP1188</v>
      </c>
      <c r="B190" s="3" t="str">
        <f>TRIM(Table1[[#This Row],[First_Name]])</f>
        <v>Eva</v>
      </c>
      <c r="C190" s="3" t="str">
        <f>TRIM(Table1[[#This Row],[Last_Name]])</f>
        <v>Davis</v>
      </c>
      <c r="D190" s="3">
        <f>IF(Table1[[#This Row],[Age]]="",AVERAGE(Table1[Age]),Table1[[#This Row],[Age]])</f>
        <v>35</v>
      </c>
      <c r="E190" s="3" t="s">
        <v>118</v>
      </c>
      <c r="F190" s="3" t="s">
        <v>16</v>
      </c>
      <c r="G190" s="5">
        <f>IF(ISNUMBER('Main Project Raw Data'!G190),'Main Project Raw Data'!G190,IF(ISNUMBER(SEARCH("/",'Main Project Raw Data'!G190)),DATE(RIGHT('Main Project Raw Data'!G190,4),LEFT('Main Project Raw Data'!G190,FIND("/",'Main Project Raw Data'!G190)-1),MID('Main Project Raw Data'!G190,FIND("/",'Main Project Raw Data'!G190)+1,2)),DATE(RIGHT('Main Project Raw Data'!G190,4),MID('Main Project Raw Data'!G190,4,2),LEFT('Main Project Raw Data'!G190,2))))</f>
        <v>43957</v>
      </c>
      <c r="H190" s="3">
        <f>IF(Table1[[#This Row],[Salary]]="",AVERAGE(Table1[Salary]),Table1[[#This Row],[Salary]])</f>
        <v>85733.83</v>
      </c>
      <c r="I190" s="3" t="s">
        <v>35</v>
      </c>
      <c r="J190" s="3">
        <f>ABS(Table1[[#This Row],[Phone]])</f>
        <v>2336293448</v>
      </c>
      <c r="K190" s="3" t="str">
        <f>PROPER(TRIM(Table1[[#This Row],[Performance_Score]]))</f>
        <v>Excellent</v>
      </c>
      <c r="L190" s="3" t="b">
        <f>Table1[[#This Row],[Remote_Work]]</f>
        <v>1</v>
      </c>
      <c r="M190" s="3" t="str">
        <f>PROPER(CONCATENATE(Table13[[#This Row],[First_Name]], Table13[[#This Row],[Last_Name]]))</f>
        <v>Evadavis</v>
      </c>
      <c r="N190" s="3" t="str">
        <f t="shared" si="2"/>
        <v>May</v>
      </c>
      <c r="O190" s="3" t="str">
        <f>TEXT(Table13[[#This Row],[Join_Date]],"yyyy")</f>
        <v>2020</v>
      </c>
      <c r="P190" s="3" t="str">
        <f>LEFT('Main Project Raw Data'!E190,FIND("-",'Main Project Raw Data'!E190)-1)</f>
        <v>Admin</v>
      </c>
      <c r="Q190" s="3" t="str">
        <f>RIGHT('Main Project Raw Data'!E190,LEN('Main Project Raw Data'!E190)-FIND("-",'Main Project Raw Data'!E190))</f>
        <v>California</v>
      </c>
    </row>
    <row r="191" spans="1:17" x14ac:dyDescent="0.3">
      <c r="A191" s="3" t="str">
        <f>TRIM(Table1[[#This Row],[Employee_ID]])</f>
        <v>EMP1189</v>
      </c>
      <c r="B191" s="3" t="str">
        <f>TRIM(Table1[[#This Row],[First_Name]])</f>
        <v>David</v>
      </c>
      <c r="C191" s="3" t="str">
        <f>TRIM(Table1[[#This Row],[Last_Name]])</f>
        <v>Miller</v>
      </c>
      <c r="D191" s="3">
        <f>IF(Table1[[#This Row],[Age]]="",AVERAGE(Table1[Age]),Table1[[#This Row],[Age]])</f>
        <v>35</v>
      </c>
      <c r="E191" s="3" t="s">
        <v>149</v>
      </c>
      <c r="F191" s="3" t="s">
        <v>28</v>
      </c>
      <c r="G191" s="5">
        <f>IF(ISNUMBER('Main Project Raw Data'!G191),'Main Project Raw Data'!G191,IF(ISNUMBER(SEARCH("/",'Main Project Raw Data'!G191)),DATE(RIGHT('Main Project Raw Data'!G191,4),LEFT('Main Project Raw Data'!G191,FIND("/",'Main Project Raw Data'!G191)-1),MID('Main Project Raw Data'!G191,FIND("/",'Main Project Raw Data'!G191)+1,2)),DATE(RIGHT('Main Project Raw Data'!G191,4),MID('Main Project Raw Data'!G191,4,2),LEFT('Main Project Raw Data'!G191,2))))</f>
        <v>45500</v>
      </c>
      <c r="H191" s="3">
        <f>IF(Table1[[#This Row],[Salary]]="",AVERAGE(Table1[Salary]),Table1[[#This Row],[Salary]])</f>
        <v>60338.29</v>
      </c>
      <c r="I191" s="3" t="s">
        <v>107</v>
      </c>
      <c r="J191" s="3">
        <f>ABS(Table1[[#This Row],[Phone]])</f>
        <v>7347156626</v>
      </c>
      <c r="K191" s="3" t="str">
        <f>PROPER(TRIM(Table1[[#This Row],[Performance_Score]]))</f>
        <v>Excellent</v>
      </c>
      <c r="L191" s="3" t="b">
        <f>Table1[[#This Row],[Remote_Work]]</f>
        <v>0</v>
      </c>
      <c r="M191" s="3" t="str">
        <f>PROPER(CONCATENATE(Table13[[#This Row],[First_Name]], Table13[[#This Row],[Last_Name]]))</f>
        <v>Davidmiller</v>
      </c>
      <c r="N191" s="3" t="str">
        <f t="shared" si="2"/>
        <v>Jul</v>
      </c>
      <c r="O191" s="3" t="str">
        <f>TEXT(Table13[[#This Row],[Join_Date]],"yyyy")</f>
        <v>2024</v>
      </c>
      <c r="P191" s="3" t="str">
        <f>LEFT('Main Project Raw Data'!E191,FIND("-",'Main Project Raw Data'!E191)-1)</f>
        <v>HR</v>
      </c>
      <c r="Q191" s="3" t="str">
        <f>RIGHT('Main Project Raw Data'!E191,LEN('Main Project Raw Data'!E191)-FIND("-",'Main Project Raw Data'!E191))</f>
        <v>Nevada</v>
      </c>
    </row>
    <row r="192" spans="1:17" x14ac:dyDescent="0.3">
      <c r="A192" s="3" t="str">
        <f>TRIM(Table1[[#This Row],[Employee_ID]])</f>
        <v>EMP1190</v>
      </c>
      <c r="B192" s="3" t="str">
        <f>TRIM(Table1[[#This Row],[First_Name]])</f>
        <v>Eva</v>
      </c>
      <c r="C192" s="3" t="str">
        <f>TRIM(Table1[[#This Row],[Last_Name]])</f>
        <v>Davis</v>
      </c>
      <c r="D192" s="3">
        <f>IF(Table1[[#This Row],[Age]]="",AVERAGE(Table1[Age]),Table1[[#This Row],[Age]])</f>
        <v>30</v>
      </c>
      <c r="E192" s="3" t="s">
        <v>89</v>
      </c>
      <c r="F192" s="3" t="s">
        <v>16</v>
      </c>
      <c r="G192" s="5">
        <f>IF(ISNUMBER('Main Project Raw Data'!G192),'Main Project Raw Data'!G192,IF(ISNUMBER(SEARCH("/",'Main Project Raw Data'!G192)),DATE(RIGHT('Main Project Raw Data'!G192,4),LEFT('Main Project Raw Data'!G192,FIND("/",'Main Project Raw Data'!G192)-1),MID('Main Project Raw Data'!G192,FIND("/",'Main Project Raw Data'!G192)+1,2)),DATE(RIGHT('Main Project Raw Data'!G192,4),MID('Main Project Raw Data'!G192,4,2),LEFT('Main Project Raw Data'!G192,2))))</f>
        <v>45416</v>
      </c>
      <c r="H192" s="3">
        <f>IF(Table1[[#This Row],[Salary]]="",AVERAGE(Table1[Salary]),Table1[[#This Row],[Salary]])</f>
        <v>103140.67</v>
      </c>
      <c r="I192" s="3" t="s">
        <v>35</v>
      </c>
      <c r="J192" s="3">
        <f>ABS(Table1[[#This Row],[Phone]])</f>
        <v>7689627065</v>
      </c>
      <c r="K192" s="3" t="str">
        <f>PROPER(TRIM(Table1[[#This Row],[Performance_Score]]))</f>
        <v>Excellent</v>
      </c>
      <c r="L192" s="3" t="b">
        <f>Table1[[#This Row],[Remote_Work]]</f>
        <v>0</v>
      </c>
      <c r="M192" s="3" t="str">
        <f>PROPER(CONCATENATE(Table13[[#This Row],[First_Name]], Table13[[#This Row],[Last_Name]]))</f>
        <v>Evadavis</v>
      </c>
      <c r="N192" s="3" t="str">
        <f t="shared" si="2"/>
        <v>May</v>
      </c>
      <c r="O192" s="3" t="str">
        <f>TEXT(Table13[[#This Row],[Join_Date]],"yyyy")</f>
        <v>2024</v>
      </c>
      <c r="P192" s="3" t="str">
        <f>LEFT('Main Project Raw Data'!E192,FIND("-",'Main Project Raw Data'!E192)-1)</f>
        <v>Admin</v>
      </c>
      <c r="Q192" s="3" t="str">
        <f>RIGHT('Main Project Raw Data'!E192,LEN('Main Project Raw Data'!E192)-FIND("-",'Main Project Raw Data'!E192))</f>
        <v>Illinois</v>
      </c>
    </row>
    <row r="193" spans="1:17" x14ac:dyDescent="0.3">
      <c r="A193" s="3" t="str">
        <f>TRIM(Table1[[#This Row],[Employee_ID]])</f>
        <v>EMP1191</v>
      </c>
      <c r="B193" s="3" t="str">
        <f>TRIM(Table1[[#This Row],[First_Name]])</f>
        <v>Heidi</v>
      </c>
      <c r="C193" s="3" t="str">
        <f>TRIM(Table1[[#This Row],[Last_Name]])</f>
        <v>Williams</v>
      </c>
      <c r="D193" s="3">
        <f>IF(Table1[[#This Row],[Age]]="",AVERAGE(Table1[Age]),Table1[[#This Row],[Age]])</f>
        <v>40</v>
      </c>
      <c r="E193" s="3" t="s">
        <v>98</v>
      </c>
      <c r="F193" s="3" t="s">
        <v>33</v>
      </c>
      <c r="G193" s="5">
        <f>IF(ISNUMBER('Main Project Raw Data'!G193),'Main Project Raw Data'!G193,IF(ISNUMBER(SEARCH("/",'Main Project Raw Data'!G193)),DATE(RIGHT('Main Project Raw Data'!G193,4),LEFT('Main Project Raw Data'!G193,FIND("/",'Main Project Raw Data'!G193)-1),MID('Main Project Raw Data'!G193,FIND("/",'Main Project Raw Data'!G193)+1,2)),DATE(RIGHT('Main Project Raw Data'!G193,4),MID('Main Project Raw Data'!G193,4,2),LEFT('Main Project Raw Data'!G193,2))))</f>
        <v>45225</v>
      </c>
      <c r="H193" s="3">
        <f>IF(Table1[[#This Row],[Salary]]="",AVERAGE(Table1[Salary]),Table1[[#This Row],[Salary]])</f>
        <v>114690.8</v>
      </c>
      <c r="I193" s="3" t="s">
        <v>67</v>
      </c>
      <c r="J193" s="3">
        <f>ABS(Table1[[#This Row],[Phone]])</f>
        <v>1498282466</v>
      </c>
      <c r="K193" s="3" t="str">
        <f>PROPER(TRIM(Table1[[#This Row],[Performance_Score]]))</f>
        <v>Poor</v>
      </c>
      <c r="L193" s="3" t="b">
        <f>Table1[[#This Row],[Remote_Work]]</f>
        <v>1</v>
      </c>
      <c r="M193" s="3" t="str">
        <f>PROPER(CONCATENATE(Table13[[#This Row],[First_Name]], Table13[[#This Row],[Last_Name]]))</f>
        <v>Heidiwilliams</v>
      </c>
      <c r="N193" s="3" t="str">
        <f t="shared" si="2"/>
        <v>Oct</v>
      </c>
      <c r="O193" s="3" t="str">
        <f>TEXT(Table13[[#This Row],[Join_Date]],"yyyy")</f>
        <v>2023</v>
      </c>
      <c r="P193" s="3" t="str">
        <f>LEFT('Main Project Raw Data'!E193,FIND("-",'Main Project Raw Data'!E193)-1)</f>
        <v>Sales</v>
      </c>
      <c r="Q193" s="3" t="str">
        <f>RIGHT('Main Project Raw Data'!E193,LEN('Main Project Raw Data'!E193)-FIND("-",'Main Project Raw Data'!E193))</f>
        <v>Illinois</v>
      </c>
    </row>
    <row r="194" spans="1:17" x14ac:dyDescent="0.3">
      <c r="A194" s="3" t="str">
        <f>TRIM(Table1[[#This Row],[Employee_ID]])</f>
        <v>EMP1192</v>
      </c>
      <c r="B194" s="3" t="str">
        <f>TRIM(Table1[[#This Row],[First_Name]])</f>
        <v>Frank</v>
      </c>
      <c r="C194" s="3" t="str">
        <f>TRIM(Table1[[#This Row],[Last_Name]])</f>
        <v>Smith</v>
      </c>
      <c r="D194" s="3">
        <f>IF(Table1[[#This Row],[Age]]="",AVERAGE(Table1[Age]),Table1[[#This Row],[Age]])</f>
        <v>35</v>
      </c>
      <c r="E194" s="3" t="s">
        <v>205</v>
      </c>
      <c r="F194" s="3" t="s">
        <v>16</v>
      </c>
      <c r="G194" s="5">
        <f>IF(ISNUMBER('Main Project Raw Data'!G194),'Main Project Raw Data'!G194,IF(ISNUMBER(SEARCH("/",'Main Project Raw Data'!G194)),DATE(RIGHT('Main Project Raw Data'!G194,4),LEFT('Main Project Raw Data'!G194,FIND("/",'Main Project Raw Data'!G194)-1),MID('Main Project Raw Data'!G194,FIND("/",'Main Project Raw Data'!G194)+1,2)),DATE(RIGHT('Main Project Raw Data'!G194,4),MID('Main Project Raw Data'!G194,4,2),LEFT('Main Project Raw Data'!G194,2))))</f>
        <v>44791</v>
      </c>
      <c r="H194" s="3">
        <f>IF(Table1[[#This Row],[Salary]]="",AVERAGE(Table1[Salary]),Table1[[#This Row],[Salary]])</f>
        <v>80954.559999999998</v>
      </c>
      <c r="I194" s="3" t="s">
        <v>137</v>
      </c>
      <c r="J194" s="3">
        <f>ABS(Table1[[#This Row],[Phone]])</f>
        <v>4746897151</v>
      </c>
      <c r="K194" s="3" t="str">
        <f>PROPER(TRIM(Table1[[#This Row],[Performance_Score]]))</f>
        <v>Good</v>
      </c>
      <c r="L194" s="3" t="b">
        <f>Table1[[#This Row],[Remote_Work]]</f>
        <v>0</v>
      </c>
      <c r="M194" s="3" t="str">
        <f>PROPER(CONCATENATE(Table13[[#This Row],[First_Name]], Table13[[#This Row],[Last_Name]]))</f>
        <v>Franksmith</v>
      </c>
      <c r="N194" s="3" t="str">
        <f t="shared" ref="N194:N257" si="3">TEXT(G194,"mmm")</f>
        <v>Aug</v>
      </c>
      <c r="O194" s="3" t="str">
        <f>TEXT(Table13[[#This Row],[Join_Date]],"yyyy")</f>
        <v>2022</v>
      </c>
      <c r="P194" s="3" t="str">
        <f>LEFT('Main Project Raw Data'!E194,FIND("-",'Main Project Raw Data'!E194)-1)</f>
        <v>Admin</v>
      </c>
      <c r="Q194" s="3" t="str">
        <f>RIGHT('Main Project Raw Data'!E194,LEN('Main Project Raw Data'!E194)-FIND("-",'Main Project Raw Data'!E194))</f>
        <v>Florida</v>
      </c>
    </row>
    <row r="195" spans="1:17" x14ac:dyDescent="0.3">
      <c r="A195" s="3" t="str">
        <f>TRIM(Table1[[#This Row],[Employee_ID]])</f>
        <v>EMP1193</v>
      </c>
      <c r="B195" s="3" t="str">
        <f>TRIM(Table1[[#This Row],[First_Name]])</f>
        <v>Eva</v>
      </c>
      <c r="C195" s="3" t="str">
        <f>TRIM(Table1[[#This Row],[Last_Name]])</f>
        <v>Davis</v>
      </c>
      <c r="D195" s="3">
        <f>IF(Table1[[#This Row],[Age]]="",AVERAGE(Table1[Age]),Table1[[#This Row],[Age]])</f>
        <v>32.484548825710753</v>
      </c>
      <c r="E195" s="3" t="s">
        <v>268</v>
      </c>
      <c r="F195" s="3" t="s">
        <v>28</v>
      </c>
      <c r="G195" s="5">
        <f>IF(ISNUMBER('Main Project Raw Data'!G195),'Main Project Raw Data'!G195,IF(ISNUMBER(SEARCH("/",'Main Project Raw Data'!G195)),DATE(RIGHT('Main Project Raw Data'!G195,4),LEFT('Main Project Raw Data'!G195,FIND("/",'Main Project Raw Data'!G195)-1),MID('Main Project Raw Data'!G195,FIND("/",'Main Project Raw Data'!G195)+1,2)),DATE(RIGHT('Main Project Raw Data'!G195,4),MID('Main Project Raw Data'!G195,4,2),LEFT('Main Project Raw Data'!G195,2))))</f>
        <v>43982</v>
      </c>
      <c r="H195" s="3">
        <f>IF(Table1[[#This Row],[Salary]]="",AVERAGE(Table1[Salary]),Table1[[#This Row],[Salary]])</f>
        <v>71728.55</v>
      </c>
      <c r="I195" s="3" t="s">
        <v>35</v>
      </c>
      <c r="J195" s="3">
        <f>ABS(Table1[[#This Row],[Phone]])</f>
        <v>7323008575</v>
      </c>
      <c r="K195" s="3" t="str">
        <f>PROPER(TRIM(Table1[[#This Row],[Performance_Score]]))</f>
        <v>Good</v>
      </c>
      <c r="L195" s="3" t="b">
        <f>Table1[[#This Row],[Remote_Work]]</f>
        <v>1</v>
      </c>
      <c r="M195" s="3" t="str">
        <f>PROPER(CONCATENATE(Table13[[#This Row],[First_Name]], Table13[[#This Row],[Last_Name]]))</f>
        <v>Evadavis</v>
      </c>
      <c r="N195" s="3" t="str">
        <f t="shared" si="3"/>
        <v>May</v>
      </c>
      <c r="O195" s="3" t="str">
        <f>TEXT(Table13[[#This Row],[Join_Date]],"yyyy")</f>
        <v>2020</v>
      </c>
      <c r="P195" s="3" t="str">
        <f>LEFT('Main Project Raw Data'!E195,FIND("-",'Main Project Raw Data'!E195)-1)</f>
        <v>Cloud Tech</v>
      </c>
      <c r="Q195" s="3" t="str">
        <f>RIGHT('Main Project Raw Data'!E195,LEN('Main Project Raw Data'!E195)-FIND("-",'Main Project Raw Data'!E195))</f>
        <v>California</v>
      </c>
    </row>
    <row r="196" spans="1:17" x14ac:dyDescent="0.3">
      <c r="A196" s="3" t="str">
        <f>TRIM(Table1[[#This Row],[Employee_ID]])</f>
        <v>EMP1194</v>
      </c>
      <c r="B196" s="3" t="str">
        <f>TRIM(Table1[[#This Row],[First_Name]])</f>
        <v>Alice</v>
      </c>
      <c r="C196" s="3" t="str">
        <f>TRIM(Table1[[#This Row],[Last_Name]])</f>
        <v>Davis</v>
      </c>
      <c r="D196" s="3">
        <f>IF(Table1[[#This Row],[Age]]="",AVERAGE(Table1[Age]),Table1[[#This Row],[Age]])</f>
        <v>35</v>
      </c>
      <c r="E196" s="3" t="s">
        <v>139</v>
      </c>
      <c r="F196" s="3" t="s">
        <v>28</v>
      </c>
      <c r="G196" s="5">
        <f>IF(ISNUMBER('Main Project Raw Data'!G196),'Main Project Raw Data'!G196,IF(ISNUMBER(SEARCH("/",'Main Project Raw Data'!G196)),DATE(RIGHT('Main Project Raw Data'!G196,4),LEFT('Main Project Raw Data'!G196,FIND("/",'Main Project Raw Data'!G196)-1),MID('Main Project Raw Data'!G196,FIND("/",'Main Project Raw Data'!G196)+1,2)),DATE(RIGHT('Main Project Raw Data'!G196,4),MID('Main Project Raw Data'!G196,4,2),LEFT('Main Project Raw Data'!G196,2))))</f>
        <v>45393</v>
      </c>
      <c r="H196" s="3">
        <f>IF(Table1[[#This Row],[Salary]]="",AVERAGE(Table1[Salary]),Table1[[#This Row],[Salary]])</f>
        <v>118415.8</v>
      </c>
      <c r="I196" s="3" t="s">
        <v>163</v>
      </c>
      <c r="J196" s="3">
        <f>ABS(Table1[[#This Row],[Phone]])</f>
        <v>6656749159</v>
      </c>
      <c r="K196" s="3" t="str">
        <f>PROPER(TRIM(Table1[[#This Row],[Performance_Score]]))</f>
        <v>Good</v>
      </c>
      <c r="L196" s="3" t="b">
        <f>Table1[[#This Row],[Remote_Work]]</f>
        <v>1</v>
      </c>
      <c r="M196" s="3" t="str">
        <f>PROPER(CONCATENATE(Table13[[#This Row],[First_Name]], Table13[[#This Row],[Last_Name]]))</f>
        <v>Alicedavis</v>
      </c>
      <c r="N196" s="3" t="str">
        <f t="shared" si="3"/>
        <v>Apr</v>
      </c>
      <c r="O196" s="3" t="str">
        <f>TEXT(Table13[[#This Row],[Join_Date]],"yyyy")</f>
        <v>2024</v>
      </c>
      <c r="P196" s="3" t="str">
        <f>LEFT('Main Project Raw Data'!E196,FIND("-",'Main Project Raw Data'!E196)-1)</f>
        <v>HR</v>
      </c>
      <c r="Q196" s="3" t="str">
        <f>RIGHT('Main Project Raw Data'!E196,LEN('Main Project Raw Data'!E196)-FIND("-",'Main Project Raw Data'!E196))</f>
        <v>Texas</v>
      </c>
    </row>
    <row r="197" spans="1:17" x14ac:dyDescent="0.3">
      <c r="A197" s="3" t="str">
        <f>TRIM(Table1[[#This Row],[Employee_ID]])</f>
        <v>EMP1195</v>
      </c>
      <c r="B197" s="3" t="str">
        <f>TRIM(Table1[[#This Row],[First_Name]])</f>
        <v>Grace</v>
      </c>
      <c r="C197" s="3" t="str">
        <f>TRIM(Table1[[#This Row],[Last_Name]])</f>
        <v>Johnson</v>
      </c>
      <c r="D197" s="3">
        <f>IF(Table1[[#This Row],[Age]]="",AVERAGE(Table1[Age]),Table1[[#This Row],[Age]])</f>
        <v>40</v>
      </c>
      <c r="E197" s="3" t="s">
        <v>98</v>
      </c>
      <c r="F197" s="3" t="s">
        <v>28</v>
      </c>
      <c r="G197" s="5">
        <f>IF(ISNUMBER('Main Project Raw Data'!G197),'Main Project Raw Data'!G197,IF(ISNUMBER(SEARCH("/",'Main Project Raw Data'!G197)),DATE(RIGHT('Main Project Raw Data'!G197,4),LEFT('Main Project Raw Data'!G197,FIND("/",'Main Project Raw Data'!G197)-1),MID('Main Project Raw Data'!G197,FIND("/",'Main Project Raw Data'!G197)+1,2)),DATE(RIGHT('Main Project Raw Data'!G197,4),MID('Main Project Raw Data'!G197,4,2),LEFT('Main Project Raw Data'!G197,2))))</f>
        <v>43915</v>
      </c>
      <c r="H197" s="3">
        <f>IF(Table1[[#This Row],[Salary]]="",AVERAGE(Table1[Salary]),Table1[[#This Row],[Salary]])</f>
        <v>81481.36</v>
      </c>
      <c r="I197" s="3" t="s">
        <v>127</v>
      </c>
      <c r="J197" s="3">
        <f>ABS(Table1[[#This Row],[Phone]])</f>
        <v>1692364586</v>
      </c>
      <c r="K197" s="3" t="str">
        <f>PROPER(TRIM(Table1[[#This Row],[Performance_Score]]))</f>
        <v>Excellent</v>
      </c>
      <c r="L197" s="3" t="b">
        <f>Table1[[#This Row],[Remote_Work]]</f>
        <v>0</v>
      </c>
      <c r="M197" s="3" t="str">
        <f>PROPER(CONCATENATE(Table13[[#This Row],[First_Name]], Table13[[#This Row],[Last_Name]]))</f>
        <v>Gracejohnson</v>
      </c>
      <c r="N197" s="3" t="str">
        <f t="shared" si="3"/>
        <v>Mar</v>
      </c>
      <c r="O197" s="3" t="str">
        <f>TEXT(Table13[[#This Row],[Join_Date]],"yyyy")</f>
        <v>2020</v>
      </c>
      <c r="P197" s="3" t="str">
        <f>LEFT('Main Project Raw Data'!E197,FIND("-",'Main Project Raw Data'!E197)-1)</f>
        <v>Sales</v>
      </c>
      <c r="Q197" s="3" t="str">
        <f>RIGHT('Main Project Raw Data'!E197,LEN('Main Project Raw Data'!E197)-FIND("-",'Main Project Raw Data'!E197))</f>
        <v>Illinois</v>
      </c>
    </row>
    <row r="198" spans="1:17" x14ac:dyDescent="0.3">
      <c r="A198" s="3" t="str">
        <f>TRIM(Table1[[#This Row],[Employee_ID]])</f>
        <v>EMP1196</v>
      </c>
      <c r="B198" s="3" t="str">
        <f>TRIM(Table1[[#This Row],[First_Name]])</f>
        <v>David</v>
      </c>
      <c r="C198" s="3" t="str">
        <f>TRIM(Table1[[#This Row],[Last_Name]])</f>
        <v>Johnson</v>
      </c>
      <c r="D198" s="3">
        <f>IF(Table1[[#This Row],[Age]]="",AVERAGE(Table1[Age]),Table1[[#This Row],[Age]])</f>
        <v>35</v>
      </c>
      <c r="E198" s="3" t="s">
        <v>74</v>
      </c>
      <c r="F198" s="3" t="s">
        <v>28</v>
      </c>
      <c r="G198" s="5">
        <f>IF(ISNUMBER('Main Project Raw Data'!G198),'Main Project Raw Data'!G198,IF(ISNUMBER(SEARCH("/",'Main Project Raw Data'!G198)),DATE(RIGHT('Main Project Raw Data'!G198,4),LEFT('Main Project Raw Data'!G198,FIND("/",'Main Project Raw Data'!G198)-1),MID('Main Project Raw Data'!G198,FIND("/",'Main Project Raw Data'!G198)+1,2)),DATE(RIGHT('Main Project Raw Data'!G198,4),MID('Main Project Raw Data'!G198,4,2),LEFT('Main Project Raw Data'!G198,2))))</f>
        <v>43932</v>
      </c>
      <c r="H198" s="3">
        <f>IF(Table1[[#This Row],[Salary]]="",AVERAGE(Table1[Salary]),Table1[[#This Row],[Salary]])</f>
        <v>117040.57</v>
      </c>
      <c r="I198" s="3" t="s">
        <v>217</v>
      </c>
      <c r="J198" s="3">
        <f>ABS(Table1[[#This Row],[Phone]])</f>
        <v>5066337049</v>
      </c>
      <c r="K198" s="3" t="str">
        <f>PROPER(TRIM(Table1[[#This Row],[Performance_Score]]))</f>
        <v>Good</v>
      </c>
      <c r="L198" s="3" t="b">
        <f>Table1[[#This Row],[Remote_Work]]</f>
        <v>1</v>
      </c>
      <c r="M198" s="3" t="str">
        <f>PROPER(CONCATENATE(Table13[[#This Row],[First_Name]], Table13[[#This Row],[Last_Name]]))</f>
        <v>Davidjohnson</v>
      </c>
      <c r="N198" s="3" t="str">
        <f t="shared" si="3"/>
        <v>Apr</v>
      </c>
      <c r="O198" s="3" t="str">
        <f>TEXT(Table13[[#This Row],[Join_Date]],"yyyy")</f>
        <v>2020</v>
      </c>
      <c r="P198" s="3" t="str">
        <f>LEFT('Main Project Raw Data'!E198,FIND("-",'Main Project Raw Data'!E198)-1)</f>
        <v>Sales</v>
      </c>
      <c r="Q198" s="3" t="str">
        <f>RIGHT('Main Project Raw Data'!E198,LEN('Main Project Raw Data'!E198)-FIND("-",'Main Project Raw Data'!E198))</f>
        <v>Florida</v>
      </c>
    </row>
    <row r="199" spans="1:17" x14ac:dyDescent="0.3">
      <c r="A199" s="3" t="str">
        <f>TRIM(Table1[[#This Row],[Employee_ID]])</f>
        <v>EMP1197</v>
      </c>
      <c r="B199" s="3" t="str">
        <f>TRIM(Table1[[#This Row],[First_Name]])</f>
        <v>Frank</v>
      </c>
      <c r="C199" s="3" t="str">
        <f>TRIM(Table1[[#This Row],[Last_Name]])</f>
        <v>Brown</v>
      </c>
      <c r="D199" s="3">
        <f>IF(Table1[[#This Row],[Age]]="",AVERAGE(Table1[Age]),Table1[[#This Row],[Age]])</f>
        <v>25</v>
      </c>
      <c r="E199" s="3" t="s">
        <v>219</v>
      </c>
      <c r="F199" s="3" t="s">
        <v>16</v>
      </c>
      <c r="G199" s="5">
        <f>IF(ISNUMBER('Main Project Raw Data'!G199),'Main Project Raw Data'!G199,IF(ISNUMBER(SEARCH("/",'Main Project Raw Data'!G199)),DATE(RIGHT('Main Project Raw Data'!G199,4),LEFT('Main Project Raw Data'!G199,FIND("/",'Main Project Raw Data'!G199)-1),MID('Main Project Raw Data'!G199,FIND("/",'Main Project Raw Data'!G199)+1,2)),DATE(RIGHT('Main Project Raw Data'!G199,4),MID('Main Project Raw Data'!G199,4,2),LEFT('Main Project Raw Data'!G199,2))))</f>
        <v>43911</v>
      </c>
      <c r="H199" s="3">
        <f>IF(Table1[[#This Row],[Salary]]="",AVERAGE(Table1[Salary]),Table1[[#This Row],[Salary]])</f>
        <v>67342.06</v>
      </c>
      <c r="I199" s="3" t="s">
        <v>239</v>
      </c>
      <c r="J199" s="3">
        <f>ABS(Table1[[#This Row],[Phone]])</f>
        <v>2497243991</v>
      </c>
      <c r="K199" s="3" t="str">
        <f>PROPER(TRIM(Table1[[#This Row],[Performance_Score]]))</f>
        <v>Good</v>
      </c>
      <c r="L199" s="3" t="b">
        <f>Table1[[#This Row],[Remote_Work]]</f>
        <v>1</v>
      </c>
      <c r="M199" s="3" t="str">
        <f>PROPER(CONCATENATE(Table13[[#This Row],[First_Name]], Table13[[#This Row],[Last_Name]]))</f>
        <v>Frankbrown</v>
      </c>
      <c r="N199" s="3" t="str">
        <f t="shared" si="3"/>
        <v>Mar</v>
      </c>
      <c r="O199" s="3" t="str">
        <f>TEXT(Table13[[#This Row],[Join_Date]],"yyyy")</f>
        <v>2020</v>
      </c>
      <c r="P199" s="3" t="str">
        <f>LEFT('Main Project Raw Data'!E199,FIND("-",'Main Project Raw Data'!E199)-1)</f>
        <v>Sales</v>
      </c>
      <c r="Q199" s="3" t="str">
        <f>RIGHT('Main Project Raw Data'!E199,LEN('Main Project Raw Data'!E199)-FIND("-",'Main Project Raw Data'!E199))</f>
        <v>Nevada</v>
      </c>
    </row>
    <row r="200" spans="1:17" x14ac:dyDescent="0.3">
      <c r="A200" s="3" t="str">
        <f>TRIM(Table1[[#This Row],[Employee_ID]])</f>
        <v>EMP1198</v>
      </c>
      <c r="B200" s="3" t="str">
        <f>TRIM(Table1[[#This Row],[First_Name]])</f>
        <v>Heidi</v>
      </c>
      <c r="C200" s="3" t="str">
        <f>TRIM(Table1[[#This Row],[Last_Name]])</f>
        <v>Jones</v>
      </c>
      <c r="D200" s="3">
        <f>IF(Table1[[#This Row],[Age]]="",AVERAGE(Table1[Age]),Table1[[#This Row],[Age]])</f>
        <v>32.484548825710753</v>
      </c>
      <c r="E200" s="3" t="s">
        <v>98</v>
      </c>
      <c r="F200" s="3" t="s">
        <v>16</v>
      </c>
      <c r="G200" s="5">
        <f>IF(ISNUMBER('Main Project Raw Data'!G200),'Main Project Raw Data'!G200,IF(ISNUMBER(SEARCH("/",'Main Project Raw Data'!G200)),DATE(RIGHT('Main Project Raw Data'!G200,4),LEFT('Main Project Raw Data'!G200,FIND("/",'Main Project Raw Data'!G200)-1),MID('Main Project Raw Data'!G200,FIND("/",'Main Project Raw Data'!G200)+1,2)),DATE(RIGHT('Main Project Raw Data'!G200,4),MID('Main Project Raw Data'!G200,4,2),LEFT('Main Project Raw Data'!G200,2))))</f>
        <v>44576</v>
      </c>
      <c r="H200" s="3">
        <f>IF(Table1[[#This Row],[Salary]]="",AVERAGE(Table1[Salary]),Table1[[#This Row],[Salary]])</f>
        <v>76099.64</v>
      </c>
      <c r="I200" s="3" t="s">
        <v>319</v>
      </c>
      <c r="J200" s="3">
        <f>ABS(Table1[[#This Row],[Phone]])</f>
        <v>116691835</v>
      </c>
      <c r="K200" s="3" t="str">
        <f>PROPER(TRIM(Table1[[#This Row],[Performance_Score]]))</f>
        <v>Excellent</v>
      </c>
      <c r="L200" s="3" t="b">
        <f>Table1[[#This Row],[Remote_Work]]</f>
        <v>0</v>
      </c>
      <c r="M200" s="3" t="str">
        <f>PROPER(CONCATENATE(Table13[[#This Row],[First_Name]], Table13[[#This Row],[Last_Name]]))</f>
        <v>Heidijones</v>
      </c>
      <c r="N200" s="3" t="str">
        <f t="shared" si="3"/>
        <v>Jan</v>
      </c>
      <c r="O200" s="3" t="str">
        <f>TEXT(Table13[[#This Row],[Join_Date]],"yyyy")</f>
        <v>2022</v>
      </c>
      <c r="P200" s="3" t="str">
        <f>LEFT('Main Project Raw Data'!E200,FIND("-",'Main Project Raw Data'!E200)-1)</f>
        <v>Sales</v>
      </c>
      <c r="Q200" s="3" t="str">
        <f>RIGHT('Main Project Raw Data'!E200,LEN('Main Project Raw Data'!E200)-FIND("-",'Main Project Raw Data'!E200))</f>
        <v>Illinois</v>
      </c>
    </row>
    <row r="201" spans="1:17" x14ac:dyDescent="0.3">
      <c r="A201" s="3" t="str">
        <f>TRIM(Table1[[#This Row],[Employee_ID]])</f>
        <v>EMP1199</v>
      </c>
      <c r="B201" s="3" t="str">
        <f>TRIM(Table1[[#This Row],[First_Name]])</f>
        <v>Grace</v>
      </c>
      <c r="C201" s="3" t="str">
        <f>TRIM(Table1[[#This Row],[Last_Name]])</f>
        <v>Williams</v>
      </c>
      <c r="D201" s="3">
        <f>IF(Table1[[#This Row],[Age]]="",AVERAGE(Table1[Age]),Table1[[#This Row],[Age]])</f>
        <v>35</v>
      </c>
      <c r="E201" s="3" t="s">
        <v>78</v>
      </c>
      <c r="F201" s="3" t="s">
        <v>16</v>
      </c>
      <c r="G201" s="5">
        <f>IF(ISNUMBER('Main Project Raw Data'!G201),'Main Project Raw Data'!G201,IF(ISNUMBER(SEARCH("/",'Main Project Raw Data'!G201)),DATE(RIGHT('Main Project Raw Data'!G201,4),LEFT('Main Project Raw Data'!G201,FIND("/",'Main Project Raw Data'!G201)-1),MID('Main Project Raw Data'!G201,FIND("/",'Main Project Raw Data'!G201)+1,2)),DATE(RIGHT('Main Project Raw Data'!G201,4),MID('Main Project Raw Data'!G201,4,2),LEFT('Main Project Raw Data'!G201,2))))</f>
        <v>45388</v>
      </c>
      <c r="H201" s="3">
        <f>IF(Table1[[#This Row],[Salary]]="",AVERAGE(Table1[Salary]),Table1[[#This Row],[Salary]])</f>
        <v>94162.06</v>
      </c>
      <c r="I201" s="3" t="s">
        <v>71</v>
      </c>
      <c r="J201" s="3">
        <f>ABS(Table1[[#This Row],[Phone]])</f>
        <v>2644886945</v>
      </c>
      <c r="K201" s="3" t="str">
        <f>PROPER(TRIM(Table1[[#This Row],[Performance_Score]]))</f>
        <v>Average</v>
      </c>
      <c r="L201" s="3" t="b">
        <f>Table1[[#This Row],[Remote_Work]]</f>
        <v>1</v>
      </c>
      <c r="M201" s="3" t="str">
        <f>PROPER(CONCATENATE(Table13[[#This Row],[First_Name]], Table13[[#This Row],[Last_Name]]))</f>
        <v>Gracewilliams</v>
      </c>
      <c r="N201" s="3" t="str">
        <f t="shared" si="3"/>
        <v>Apr</v>
      </c>
      <c r="O201" s="3" t="str">
        <f>TEXT(Table13[[#This Row],[Join_Date]],"yyyy")</f>
        <v>2024</v>
      </c>
      <c r="P201" s="3" t="str">
        <f>LEFT('Main Project Raw Data'!E201,FIND("-",'Main Project Raw Data'!E201)-1)</f>
        <v>DevOps</v>
      </c>
      <c r="Q201" s="3" t="str">
        <f>RIGHT('Main Project Raw Data'!E201,LEN('Main Project Raw Data'!E201)-FIND("-",'Main Project Raw Data'!E201))</f>
        <v>Illinois</v>
      </c>
    </row>
    <row r="202" spans="1:17" x14ac:dyDescent="0.3">
      <c r="A202" s="3" t="str">
        <f>TRIM(Table1[[#This Row],[Employee_ID]])</f>
        <v>EMP1200</v>
      </c>
      <c r="B202" s="3" t="str">
        <f>TRIM(Table1[[#This Row],[First_Name]])</f>
        <v>Frank</v>
      </c>
      <c r="C202" s="3" t="str">
        <f>TRIM(Table1[[#This Row],[Last_Name]])</f>
        <v>Davis</v>
      </c>
      <c r="D202" s="3">
        <f>IF(Table1[[#This Row],[Age]]="",AVERAGE(Table1[Age]),Table1[[#This Row],[Age]])</f>
        <v>25</v>
      </c>
      <c r="E202" s="3" t="s">
        <v>219</v>
      </c>
      <c r="F202" s="3" t="s">
        <v>33</v>
      </c>
      <c r="G202" s="5">
        <f>IF(ISNUMBER('Main Project Raw Data'!G202),'Main Project Raw Data'!G202,IF(ISNUMBER(SEARCH("/",'Main Project Raw Data'!G202)),DATE(RIGHT('Main Project Raw Data'!G202,4),LEFT('Main Project Raw Data'!G202,FIND("/",'Main Project Raw Data'!G202)-1),MID('Main Project Raw Data'!G202,FIND("/",'Main Project Raw Data'!G202)+1,2)),DATE(RIGHT('Main Project Raw Data'!G202,4),MID('Main Project Raw Data'!G202,4,2),LEFT('Main Project Raw Data'!G202,2))))</f>
        <v>44294</v>
      </c>
      <c r="H202" s="3">
        <f>IF(Table1[[#This Row],[Salary]]="",AVERAGE(Table1[Salary]),Table1[[#This Row],[Salary]])</f>
        <v>67639.7</v>
      </c>
      <c r="I202" s="3" t="s">
        <v>52</v>
      </c>
      <c r="J202" s="3">
        <f>ABS(Table1[[#This Row],[Phone]])</f>
        <v>1195243639</v>
      </c>
      <c r="K202" s="3" t="str">
        <f>PROPER(TRIM(Table1[[#This Row],[Performance_Score]]))</f>
        <v>Excellent</v>
      </c>
      <c r="L202" s="3" t="b">
        <f>Table1[[#This Row],[Remote_Work]]</f>
        <v>1</v>
      </c>
      <c r="M202" s="3" t="str">
        <f>PROPER(CONCATENATE(Table13[[#This Row],[First_Name]], Table13[[#This Row],[Last_Name]]))</f>
        <v>Frankdavis</v>
      </c>
      <c r="N202" s="3" t="str">
        <f t="shared" si="3"/>
        <v>Apr</v>
      </c>
      <c r="O202" s="3" t="str">
        <f>TEXT(Table13[[#This Row],[Join_Date]],"yyyy")</f>
        <v>2021</v>
      </c>
      <c r="P202" s="3" t="str">
        <f>LEFT('Main Project Raw Data'!E202,FIND("-",'Main Project Raw Data'!E202)-1)</f>
        <v>Sales</v>
      </c>
      <c r="Q202" s="3" t="str">
        <f>RIGHT('Main Project Raw Data'!E202,LEN('Main Project Raw Data'!E202)-FIND("-",'Main Project Raw Data'!E202))</f>
        <v>Nevada</v>
      </c>
    </row>
    <row r="203" spans="1:17" x14ac:dyDescent="0.3">
      <c r="A203" s="3" t="str">
        <f>TRIM(Table1[[#This Row],[Employee_ID]])</f>
        <v>EMP1201</v>
      </c>
      <c r="B203" s="3" t="str">
        <f>TRIM(Table1[[#This Row],[First_Name]])</f>
        <v>Charlie</v>
      </c>
      <c r="C203" s="3" t="str">
        <f>TRIM(Table1[[#This Row],[Last_Name]])</f>
        <v>Garcia</v>
      </c>
      <c r="D203" s="3">
        <f>IF(Table1[[#This Row],[Age]]="",AVERAGE(Table1[Age]),Table1[[#This Row],[Age]])</f>
        <v>35</v>
      </c>
      <c r="E203" s="3" t="s">
        <v>95</v>
      </c>
      <c r="F203" s="3" t="s">
        <v>28</v>
      </c>
      <c r="G203" s="5">
        <f>IF(ISNUMBER('Main Project Raw Data'!G203),'Main Project Raw Data'!G203,IF(ISNUMBER(SEARCH("/",'Main Project Raw Data'!G203)),DATE(RIGHT('Main Project Raw Data'!G203,4),LEFT('Main Project Raw Data'!G203,FIND("/",'Main Project Raw Data'!G203)-1),MID('Main Project Raw Data'!G203,FIND("/",'Main Project Raw Data'!G203)+1,2)),DATE(RIGHT('Main Project Raw Data'!G203,4),MID('Main Project Raw Data'!G203,4,2),LEFT('Main Project Raw Data'!G203,2))))</f>
        <v>44120</v>
      </c>
      <c r="H203" s="3">
        <f>IF(Table1[[#This Row],[Salary]]="",AVERAGE(Table1[Salary]),Table1[[#This Row],[Salary]])</f>
        <v>114172.25</v>
      </c>
      <c r="I203" s="3" t="s">
        <v>87</v>
      </c>
      <c r="J203" s="3">
        <f>ABS(Table1[[#This Row],[Phone]])</f>
        <v>2701168645</v>
      </c>
      <c r="K203" s="3" t="str">
        <f>PROPER(TRIM(Table1[[#This Row],[Performance_Score]]))</f>
        <v>Good</v>
      </c>
      <c r="L203" s="3" t="b">
        <f>Table1[[#This Row],[Remote_Work]]</f>
        <v>1</v>
      </c>
      <c r="M203" s="3" t="str">
        <f>PROPER(CONCATENATE(Table13[[#This Row],[First_Name]], Table13[[#This Row],[Last_Name]]))</f>
        <v>Charliegarcia</v>
      </c>
      <c r="N203" s="3" t="str">
        <f t="shared" si="3"/>
        <v>Oct</v>
      </c>
      <c r="O203" s="3" t="str">
        <f>TEXT(Table13[[#This Row],[Join_Date]],"yyyy")</f>
        <v>2020</v>
      </c>
      <c r="P203" s="3" t="str">
        <f>LEFT('Main Project Raw Data'!E203,FIND("-",'Main Project Raw Data'!E203)-1)</f>
        <v>Cloud Tech</v>
      </c>
      <c r="Q203" s="3" t="str">
        <f>RIGHT('Main Project Raw Data'!E203,LEN('Main Project Raw Data'!E203)-FIND("-",'Main Project Raw Data'!E203))</f>
        <v>Illinois</v>
      </c>
    </row>
    <row r="204" spans="1:17" x14ac:dyDescent="0.3">
      <c r="A204" s="3" t="str">
        <f>TRIM(Table1[[#This Row],[Employee_ID]])</f>
        <v>EMP1202</v>
      </c>
      <c r="B204" s="3" t="str">
        <f>TRIM(Table1[[#This Row],[First_Name]])</f>
        <v>Grace</v>
      </c>
      <c r="C204" s="3" t="str">
        <f>TRIM(Table1[[#This Row],[Last_Name]])</f>
        <v>Davis</v>
      </c>
      <c r="D204" s="3">
        <f>IF(Table1[[#This Row],[Age]]="",AVERAGE(Table1[Age]),Table1[[#This Row],[Age]])</f>
        <v>30</v>
      </c>
      <c r="E204" s="3" t="s">
        <v>219</v>
      </c>
      <c r="F204" s="3" t="s">
        <v>16</v>
      </c>
      <c r="G204" s="5">
        <f>IF(ISNUMBER('Main Project Raw Data'!G204),'Main Project Raw Data'!G204,IF(ISNUMBER(SEARCH("/",'Main Project Raw Data'!G204)),DATE(RIGHT('Main Project Raw Data'!G204,4),LEFT('Main Project Raw Data'!G204,FIND("/",'Main Project Raw Data'!G204)-1),MID('Main Project Raw Data'!G204,FIND("/",'Main Project Raw Data'!G204)+1,2)),DATE(RIGHT('Main Project Raw Data'!G204,4),MID('Main Project Raw Data'!G204,4,2),LEFT('Main Project Raw Data'!G204,2))))</f>
        <v>44465</v>
      </c>
      <c r="H204" s="3">
        <f>IF(Table1[[#This Row],[Salary]]="",AVERAGE(Table1[Salary]),Table1[[#This Row],[Salary]])</f>
        <v>89124.54</v>
      </c>
      <c r="I204" s="3" t="s">
        <v>235</v>
      </c>
      <c r="J204" s="3">
        <f>ABS(Table1[[#This Row],[Phone]])</f>
        <v>2252237280</v>
      </c>
      <c r="K204" s="3" t="str">
        <f>PROPER(TRIM(Table1[[#This Row],[Performance_Score]]))</f>
        <v>Excellent</v>
      </c>
      <c r="L204" s="3" t="b">
        <f>Table1[[#This Row],[Remote_Work]]</f>
        <v>1</v>
      </c>
      <c r="M204" s="3" t="str">
        <f>PROPER(CONCATENATE(Table13[[#This Row],[First_Name]], Table13[[#This Row],[Last_Name]]))</f>
        <v>Gracedavis</v>
      </c>
      <c r="N204" s="3" t="str">
        <f t="shared" si="3"/>
        <v>Sep</v>
      </c>
      <c r="O204" s="3" t="str">
        <f>TEXT(Table13[[#This Row],[Join_Date]],"yyyy")</f>
        <v>2021</v>
      </c>
      <c r="P204" s="3" t="str">
        <f>LEFT('Main Project Raw Data'!E204,FIND("-",'Main Project Raw Data'!E204)-1)</f>
        <v>Sales</v>
      </c>
      <c r="Q204" s="3" t="str">
        <f>RIGHT('Main Project Raw Data'!E204,LEN('Main Project Raw Data'!E204)-FIND("-",'Main Project Raw Data'!E204))</f>
        <v>Nevada</v>
      </c>
    </row>
    <row r="205" spans="1:17" x14ac:dyDescent="0.3">
      <c r="A205" s="3" t="str">
        <f>TRIM(Table1[[#This Row],[Employee_ID]])</f>
        <v>EMP1203</v>
      </c>
      <c r="B205" s="3" t="str">
        <f>TRIM(Table1[[#This Row],[First_Name]])</f>
        <v>Frank</v>
      </c>
      <c r="C205" s="3" t="str">
        <f>TRIM(Table1[[#This Row],[Last_Name]])</f>
        <v>Smith</v>
      </c>
      <c r="D205" s="3">
        <f>IF(Table1[[#This Row],[Age]]="",AVERAGE(Table1[Age]),Table1[[#This Row],[Age]])</f>
        <v>30</v>
      </c>
      <c r="E205" s="3" t="s">
        <v>328</v>
      </c>
      <c r="F205" s="3" t="s">
        <v>28</v>
      </c>
      <c r="G205" s="5">
        <f>IF(ISNUMBER('Main Project Raw Data'!G205),'Main Project Raw Data'!G205,IF(ISNUMBER(SEARCH("/",'Main Project Raw Data'!G205)),DATE(RIGHT('Main Project Raw Data'!G205,4),LEFT('Main Project Raw Data'!G205,FIND("/",'Main Project Raw Data'!G205)-1),MID('Main Project Raw Data'!G205,FIND("/",'Main Project Raw Data'!G205)+1,2)),DATE(RIGHT('Main Project Raw Data'!G205,4),MID('Main Project Raw Data'!G205,4,2),LEFT('Main Project Raw Data'!G205,2))))</f>
        <v>45027</v>
      </c>
      <c r="H205" s="3">
        <f>IF(Table1[[#This Row],[Salary]]="",AVERAGE(Table1[Salary]),Table1[[#This Row],[Salary]])</f>
        <v>113871.36</v>
      </c>
      <c r="I205" s="3" t="s">
        <v>137</v>
      </c>
      <c r="J205" s="3">
        <f>ABS(Table1[[#This Row],[Phone]])</f>
        <v>7932302345</v>
      </c>
      <c r="K205" s="3" t="str">
        <f>PROPER(TRIM(Table1[[#This Row],[Performance_Score]]))</f>
        <v>Average</v>
      </c>
      <c r="L205" s="3" t="b">
        <f>Table1[[#This Row],[Remote_Work]]</f>
        <v>0</v>
      </c>
      <c r="M205" s="3" t="str">
        <f>PROPER(CONCATENATE(Table13[[#This Row],[First_Name]], Table13[[#This Row],[Last_Name]]))</f>
        <v>Franksmith</v>
      </c>
      <c r="N205" s="3" t="str">
        <f t="shared" si="3"/>
        <v>Apr</v>
      </c>
      <c r="O205" s="3" t="str">
        <f>TEXT(Table13[[#This Row],[Join_Date]],"yyyy")</f>
        <v>2023</v>
      </c>
      <c r="P205" s="3" t="str">
        <f>LEFT('Main Project Raw Data'!E205,FIND("-",'Main Project Raw Data'!E205)-1)</f>
        <v>DevOps</v>
      </c>
      <c r="Q205" s="3" t="str">
        <f>RIGHT('Main Project Raw Data'!E205,LEN('Main Project Raw Data'!E205)-FIND("-",'Main Project Raw Data'!E205))</f>
        <v>Nevada</v>
      </c>
    </row>
    <row r="206" spans="1:17" x14ac:dyDescent="0.3">
      <c r="A206" s="3" t="str">
        <f>TRIM(Table1[[#This Row],[Employee_ID]])</f>
        <v>EMP1204</v>
      </c>
      <c r="B206" s="3" t="str">
        <f>TRIM(Table1[[#This Row],[First_Name]])</f>
        <v>Grace</v>
      </c>
      <c r="C206" s="3" t="str">
        <f>TRIM(Table1[[#This Row],[Last_Name]])</f>
        <v>Brown</v>
      </c>
      <c r="D206" s="3">
        <f>IF(Table1[[#This Row],[Age]]="",AVERAGE(Table1[Age]),Table1[[#This Row],[Age]])</f>
        <v>32.484548825710753</v>
      </c>
      <c r="E206" s="3" t="s">
        <v>139</v>
      </c>
      <c r="F206" s="3" t="s">
        <v>33</v>
      </c>
      <c r="G206" s="5">
        <f>IF(ISNUMBER('Main Project Raw Data'!G206),'Main Project Raw Data'!G206,IF(ISNUMBER(SEARCH("/",'Main Project Raw Data'!G206)),DATE(RIGHT('Main Project Raw Data'!G206,4),LEFT('Main Project Raw Data'!G206,FIND("/",'Main Project Raw Data'!G206)-1),MID('Main Project Raw Data'!G206,FIND("/",'Main Project Raw Data'!G206)+1,2)),DATE(RIGHT('Main Project Raw Data'!G206,4),MID('Main Project Raw Data'!G206,4,2),LEFT('Main Project Raw Data'!G206,2))))</f>
        <v>44463</v>
      </c>
      <c r="H206" s="3">
        <f>IF(Table1[[#This Row],[Salary]]="",AVERAGE(Table1[Salary]),Table1[[#This Row],[Salary]])</f>
        <v>62618.400000000001</v>
      </c>
      <c r="I206" s="3" t="s">
        <v>201</v>
      </c>
      <c r="J206" s="3">
        <f>ABS(Table1[[#This Row],[Phone]])</f>
        <v>7912141613</v>
      </c>
      <c r="K206" s="3" t="str">
        <f>PROPER(TRIM(Table1[[#This Row],[Performance_Score]]))</f>
        <v>Excellent</v>
      </c>
      <c r="L206" s="3" t="b">
        <f>Table1[[#This Row],[Remote_Work]]</f>
        <v>0</v>
      </c>
      <c r="M206" s="3" t="str">
        <f>PROPER(CONCATENATE(Table13[[#This Row],[First_Name]], Table13[[#This Row],[Last_Name]]))</f>
        <v>Gracebrown</v>
      </c>
      <c r="N206" s="3" t="str">
        <f t="shared" si="3"/>
        <v>Sep</v>
      </c>
      <c r="O206" s="3" t="str">
        <f>TEXT(Table13[[#This Row],[Join_Date]],"yyyy")</f>
        <v>2021</v>
      </c>
      <c r="P206" s="3" t="str">
        <f>LEFT('Main Project Raw Data'!E206,FIND("-",'Main Project Raw Data'!E206)-1)</f>
        <v>HR</v>
      </c>
      <c r="Q206" s="3" t="str">
        <f>RIGHT('Main Project Raw Data'!E206,LEN('Main Project Raw Data'!E206)-FIND("-",'Main Project Raw Data'!E206))</f>
        <v>Texas</v>
      </c>
    </row>
    <row r="207" spans="1:17" x14ac:dyDescent="0.3">
      <c r="A207" s="3" t="str">
        <f>TRIM(Table1[[#This Row],[Employee_ID]])</f>
        <v>EMP1205</v>
      </c>
      <c r="B207" s="3" t="str">
        <f>TRIM(Table1[[#This Row],[First_Name]])</f>
        <v>Heidi</v>
      </c>
      <c r="C207" s="3" t="str">
        <f>TRIM(Table1[[#This Row],[Last_Name]])</f>
        <v>Jones</v>
      </c>
      <c r="D207" s="3">
        <f>IF(Table1[[#This Row],[Age]]="",AVERAGE(Table1[Age]),Table1[[#This Row],[Age]])</f>
        <v>30</v>
      </c>
      <c r="E207" s="3" t="s">
        <v>196</v>
      </c>
      <c r="F207" s="3" t="s">
        <v>16</v>
      </c>
      <c r="G207" s="5">
        <f>IF(ISNUMBER('Main Project Raw Data'!G207),'Main Project Raw Data'!G207,IF(ISNUMBER(SEARCH("/",'Main Project Raw Data'!G207)),DATE(RIGHT('Main Project Raw Data'!G207,4),LEFT('Main Project Raw Data'!G207,FIND("/",'Main Project Raw Data'!G207)-1),MID('Main Project Raw Data'!G207,FIND("/",'Main Project Raw Data'!G207)+1,2)),DATE(RIGHT('Main Project Raw Data'!G207,4),MID('Main Project Raw Data'!G207,4,2),LEFT('Main Project Raw Data'!G207,2))))</f>
        <v>44018</v>
      </c>
      <c r="H207" s="3">
        <f>IF(Table1[[#This Row],[Salary]]="",AVERAGE(Table1[Salary]),Table1[[#This Row],[Salary]])</f>
        <v>70705.45</v>
      </c>
      <c r="I207" s="3" t="s">
        <v>319</v>
      </c>
      <c r="J207" s="3">
        <f>ABS(Table1[[#This Row],[Phone]])</f>
        <v>1509377099</v>
      </c>
      <c r="K207" s="3" t="str">
        <f>PROPER(TRIM(Table1[[#This Row],[Performance_Score]]))</f>
        <v>Good</v>
      </c>
      <c r="L207" s="3" t="b">
        <f>Table1[[#This Row],[Remote_Work]]</f>
        <v>0</v>
      </c>
      <c r="M207" s="3" t="str">
        <f>PROPER(CONCATENATE(Table13[[#This Row],[First_Name]], Table13[[#This Row],[Last_Name]]))</f>
        <v>Heidijones</v>
      </c>
      <c r="N207" s="3" t="str">
        <f t="shared" si="3"/>
        <v>Jul</v>
      </c>
      <c r="O207" s="3" t="str">
        <f>TEXT(Table13[[#This Row],[Join_Date]],"yyyy")</f>
        <v>2020</v>
      </c>
      <c r="P207" s="3" t="str">
        <f>LEFT('Main Project Raw Data'!E207,FIND("-",'Main Project Raw Data'!E207)-1)</f>
        <v>Admin</v>
      </c>
      <c r="Q207" s="3" t="str">
        <f>RIGHT('Main Project Raw Data'!E207,LEN('Main Project Raw Data'!E207)-FIND("-",'Main Project Raw Data'!E207))</f>
        <v>New York</v>
      </c>
    </row>
    <row r="208" spans="1:17" x14ac:dyDescent="0.3">
      <c r="A208" s="3" t="str">
        <f>TRIM(Table1[[#This Row],[Employee_ID]])</f>
        <v>EMP1206</v>
      </c>
      <c r="B208" s="3" t="str">
        <f>TRIM(Table1[[#This Row],[First_Name]])</f>
        <v>Alice</v>
      </c>
      <c r="C208" s="3" t="str">
        <f>TRIM(Table1[[#This Row],[Last_Name]])</f>
        <v>Garcia</v>
      </c>
      <c r="D208" s="3">
        <f>IF(Table1[[#This Row],[Age]]="",AVERAGE(Table1[Age]),Table1[[#This Row],[Age]])</f>
        <v>35</v>
      </c>
      <c r="E208" s="3" t="s">
        <v>109</v>
      </c>
      <c r="F208" s="3" t="s">
        <v>28</v>
      </c>
      <c r="G208" s="5">
        <f>IF(ISNUMBER('Main Project Raw Data'!G208),'Main Project Raw Data'!G208,IF(ISNUMBER(SEARCH("/",'Main Project Raw Data'!G208)),DATE(RIGHT('Main Project Raw Data'!G208,4),LEFT('Main Project Raw Data'!G208,FIND("/",'Main Project Raw Data'!G208)-1),MID('Main Project Raw Data'!G208,FIND("/",'Main Project Raw Data'!G208)+1,2)),DATE(RIGHT('Main Project Raw Data'!G208,4),MID('Main Project Raw Data'!G208,4,2),LEFT('Main Project Raw Data'!G208,2))))</f>
        <v>44836</v>
      </c>
      <c r="H208" s="3">
        <f>IF(Table1[[#This Row],[Salary]]="",AVERAGE(Table1[Salary]),Table1[[#This Row],[Salary]])</f>
        <v>60797.69</v>
      </c>
      <c r="I208" s="3" t="s">
        <v>45</v>
      </c>
      <c r="J208" s="3">
        <f>ABS(Table1[[#This Row],[Phone]])</f>
        <v>4090138068</v>
      </c>
      <c r="K208" s="3" t="str">
        <f>PROPER(TRIM(Table1[[#This Row],[Performance_Score]]))</f>
        <v>Average</v>
      </c>
      <c r="L208" s="3" t="b">
        <f>Table1[[#This Row],[Remote_Work]]</f>
        <v>1</v>
      </c>
      <c r="M208" s="3" t="str">
        <f>PROPER(CONCATENATE(Table13[[#This Row],[First_Name]], Table13[[#This Row],[Last_Name]]))</f>
        <v>Alicegarcia</v>
      </c>
      <c r="N208" s="3" t="str">
        <f t="shared" si="3"/>
        <v>Oct</v>
      </c>
      <c r="O208" s="3" t="str">
        <f>TEXT(Table13[[#This Row],[Join_Date]],"yyyy")</f>
        <v>2022</v>
      </c>
      <c r="P208" s="3" t="str">
        <f>LEFT('Main Project Raw Data'!E208,FIND("-",'Main Project Raw Data'!E208)-1)</f>
        <v>Sales</v>
      </c>
      <c r="Q208" s="3" t="str">
        <f>RIGHT('Main Project Raw Data'!E208,LEN('Main Project Raw Data'!E208)-FIND("-",'Main Project Raw Data'!E208))</f>
        <v>New York</v>
      </c>
    </row>
    <row r="209" spans="1:17" x14ac:dyDescent="0.3">
      <c r="A209" s="3" t="str">
        <f>TRIM(Table1[[#This Row],[Employee_ID]])</f>
        <v>EMP1207</v>
      </c>
      <c r="B209" s="3" t="str">
        <f>TRIM(Table1[[#This Row],[First_Name]])</f>
        <v>Charlie</v>
      </c>
      <c r="C209" s="3" t="str">
        <f>TRIM(Table1[[#This Row],[Last_Name]])</f>
        <v>Brown</v>
      </c>
      <c r="D209" s="3">
        <f>IF(Table1[[#This Row],[Age]]="",AVERAGE(Table1[Age]),Table1[[#This Row],[Age]])</f>
        <v>40</v>
      </c>
      <c r="E209" s="3" t="s">
        <v>39</v>
      </c>
      <c r="F209" s="3" t="s">
        <v>33</v>
      </c>
      <c r="G209" s="5">
        <f>IF(ISNUMBER('Main Project Raw Data'!G209),'Main Project Raw Data'!G209,IF(ISNUMBER(SEARCH("/",'Main Project Raw Data'!G209)),DATE(RIGHT('Main Project Raw Data'!G209,4),LEFT('Main Project Raw Data'!G209,FIND("/",'Main Project Raw Data'!G209)-1),MID('Main Project Raw Data'!G209,FIND("/",'Main Project Raw Data'!G209)+1,2)),DATE(RIGHT('Main Project Raw Data'!G209,4),MID('Main Project Raw Data'!G209,4,2),LEFT('Main Project Raw Data'!G209,2))))</f>
        <v>45216</v>
      </c>
      <c r="H209" s="3">
        <f>IF(Table1[[#This Row],[Salary]]="",AVERAGE(Table1[Salary]),Table1[[#This Row],[Salary]])</f>
        <v>100371</v>
      </c>
      <c r="I209" s="3" t="s">
        <v>125</v>
      </c>
      <c r="J209" s="3">
        <f>ABS(Table1[[#This Row],[Phone]])</f>
        <v>8477596554</v>
      </c>
      <c r="K209" s="3" t="str">
        <f>PROPER(TRIM(Table1[[#This Row],[Performance_Score]]))</f>
        <v>Poor</v>
      </c>
      <c r="L209" s="3" t="b">
        <f>Table1[[#This Row],[Remote_Work]]</f>
        <v>1</v>
      </c>
      <c r="M209" s="3" t="str">
        <f>PROPER(CONCATENATE(Table13[[#This Row],[First_Name]], Table13[[#This Row],[Last_Name]]))</f>
        <v>Charliebrown</v>
      </c>
      <c r="N209" s="3" t="str">
        <f t="shared" si="3"/>
        <v>Oct</v>
      </c>
      <c r="O209" s="3" t="str">
        <f>TEXT(Table13[[#This Row],[Join_Date]],"yyyy")</f>
        <v>2023</v>
      </c>
      <c r="P209" s="3" t="str">
        <f>LEFT('Main Project Raw Data'!E209,FIND("-",'Main Project Raw Data'!E209)-1)</f>
        <v>Cloud Tech</v>
      </c>
      <c r="Q209" s="3" t="str">
        <f>RIGHT('Main Project Raw Data'!E209,LEN('Main Project Raw Data'!E209)-FIND("-",'Main Project Raw Data'!E209))</f>
        <v>Florida</v>
      </c>
    </row>
    <row r="210" spans="1:17" x14ac:dyDescent="0.3">
      <c r="A210" s="3" t="str">
        <f>TRIM(Table1[[#This Row],[Employee_ID]])</f>
        <v>EMP1208</v>
      </c>
      <c r="B210" s="3" t="str">
        <f>TRIM(Table1[[#This Row],[First_Name]])</f>
        <v>Eva</v>
      </c>
      <c r="C210" s="3" t="str">
        <f>TRIM(Table1[[#This Row],[Last_Name]])</f>
        <v>Miller</v>
      </c>
      <c r="D210" s="3">
        <f>IF(Table1[[#This Row],[Age]]="",AVERAGE(Table1[Age]),Table1[[#This Row],[Age]])</f>
        <v>40</v>
      </c>
      <c r="E210" s="3" t="s">
        <v>89</v>
      </c>
      <c r="F210" s="3" t="s">
        <v>16</v>
      </c>
      <c r="G210" s="5">
        <f>IF(ISNUMBER('Main Project Raw Data'!G210),'Main Project Raw Data'!G210,IF(ISNUMBER(SEARCH("/",'Main Project Raw Data'!G210)),DATE(RIGHT('Main Project Raw Data'!G210,4),LEFT('Main Project Raw Data'!G210,FIND("/",'Main Project Raw Data'!G210)-1),MID('Main Project Raw Data'!G210,FIND("/",'Main Project Raw Data'!G210)+1,2)),DATE(RIGHT('Main Project Raw Data'!G210,4),MID('Main Project Raw Data'!G210,4,2),LEFT('Main Project Raw Data'!G210,2))))</f>
        <v>44464</v>
      </c>
      <c r="H210" s="3">
        <f>IF(Table1[[#This Row],[Salary]]="",AVERAGE(Table1[Salary]),Table1[[#This Row],[Salary]])</f>
        <v>117591.76</v>
      </c>
      <c r="I210" s="3" t="s">
        <v>263</v>
      </c>
      <c r="J210" s="3">
        <f>ABS(Table1[[#This Row],[Phone]])</f>
        <v>5356690550</v>
      </c>
      <c r="K210" s="3" t="str">
        <f>PROPER(TRIM(Table1[[#This Row],[Performance_Score]]))</f>
        <v>Good</v>
      </c>
      <c r="L210" s="3" t="b">
        <f>Table1[[#This Row],[Remote_Work]]</f>
        <v>0</v>
      </c>
      <c r="M210" s="3" t="str">
        <f>PROPER(CONCATENATE(Table13[[#This Row],[First_Name]], Table13[[#This Row],[Last_Name]]))</f>
        <v>Evamiller</v>
      </c>
      <c r="N210" s="3" t="str">
        <f t="shared" si="3"/>
        <v>Sep</v>
      </c>
      <c r="O210" s="3" t="str">
        <f>TEXT(Table13[[#This Row],[Join_Date]],"yyyy")</f>
        <v>2021</v>
      </c>
      <c r="P210" s="3" t="str">
        <f>LEFT('Main Project Raw Data'!E210,FIND("-",'Main Project Raw Data'!E210)-1)</f>
        <v>Admin</v>
      </c>
      <c r="Q210" s="3" t="str">
        <f>RIGHT('Main Project Raw Data'!E210,LEN('Main Project Raw Data'!E210)-FIND("-",'Main Project Raw Data'!E210))</f>
        <v>Illinois</v>
      </c>
    </row>
    <row r="211" spans="1:17" x14ac:dyDescent="0.3">
      <c r="A211" s="3" t="str">
        <f>TRIM(Table1[[#This Row],[Employee_ID]])</f>
        <v>EMP1209</v>
      </c>
      <c r="B211" s="3" t="str">
        <f>TRIM(Table1[[#This Row],[First_Name]])</f>
        <v>David</v>
      </c>
      <c r="C211" s="3" t="str">
        <f>TRIM(Table1[[#This Row],[Last_Name]])</f>
        <v>Jones</v>
      </c>
      <c r="D211" s="3">
        <f>IF(Table1[[#This Row],[Age]]="",AVERAGE(Table1[Age]),Table1[[#This Row],[Age]])</f>
        <v>35</v>
      </c>
      <c r="E211" s="3" t="s">
        <v>78</v>
      </c>
      <c r="F211" s="3" t="s">
        <v>33</v>
      </c>
      <c r="G211" s="5">
        <f>IF(ISNUMBER('Main Project Raw Data'!G211),'Main Project Raw Data'!G211,IF(ISNUMBER(SEARCH("/",'Main Project Raw Data'!G211)),DATE(RIGHT('Main Project Raw Data'!G211,4),LEFT('Main Project Raw Data'!G211,FIND("/",'Main Project Raw Data'!G211)-1),MID('Main Project Raw Data'!G211,FIND("/",'Main Project Raw Data'!G211)+1,2)),DATE(RIGHT('Main Project Raw Data'!G211,4),MID('Main Project Raw Data'!G211,4,2),LEFT('Main Project Raw Data'!G211,2))))</f>
        <v>44628</v>
      </c>
      <c r="H211" s="3">
        <f>IF(Table1[[#This Row],[Salary]]="",AVERAGE(Table1[Salary]),Table1[[#This Row],[Salary]])</f>
        <v>103860.7</v>
      </c>
      <c r="I211" s="3" t="s">
        <v>242</v>
      </c>
      <c r="J211" s="3">
        <f>ABS(Table1[[#This Row],[Phone]])</f>
        <v>762091842</v>
      </c>
      <c r="K211" s="3" t="str">
        <f>PROPER(TRIM(Table1[[#This Row],[Performance_Score]]))</f>
        <v>Average</v>
      </c>
      <c r="L211" s="3" t="b">
        <f>Table1[[#This Row],[Remote_Work]]</f>
        <v>1</v>
      </c>
      <c r="M211" s="3" t="str">
        <f>PROPER(CONCATENATE(Table13[[#This Row],[First_Name]], Table13[[#This Row],[Last_Name]]))</f>
        <v>Davidjones</v>
      </c>
      <c r="N211" s="3" t="str">
        <f t="shared" si="3"/>
        <v>Mar</v>
      </c>
      <c r="O211" s="3" t="str">
        <f>TEXT(Table13[[#This Row],[Join_Date]],"yyyy")</f>
        <v>2022</v>
      </c>
      <c r="P211" s="3" t="str">
        <f>LEFT('Main Project Raw Data'!E211,FIND("-",'Main Project Raw Data'!E211)-1)</f>
        <v>DevOps</v>
      </c>
      <c r="Q211" s="3" t="str">
        <f>RIGHT('Main Project Raw Data'!E211,LEN('Main Project Raw Data'!E211)-FIND("-",'Main Project Raw Data'!E211))</f>
        <v>Illinois</v>
      </c>
    </row>
    <row r="212" spans="1:17" x14ac:dyDescent="0.3">
      <c r="A212" s="3" t="str">
        <f>TRIM(Table1[[#This Row],[Employee_ID]])</f>
        <v>EMP1210</v>
      </c>
      <c r="B212" s="3" t="str">
        <f>TRIM(Table1[[#This Row],[First_Name]])</f>
        <v>Grace</v>
      </c>
      <c r="C212" s="3" t="str">
        <f>TRIM(Table1[[#This Row],[Last_Name]])</f>
        <v>Davis</v>
      </c>
      <c r="D212" s="3">
        <f>IF(Table1[[#This Row],[Age]]="",AVERAGE(Table1[Age]),Table1[[#This Row],[Age]])</f>
        <v>30</v>
      </c>
      <c r="E212" s="3" t="s">
        <v>89</v>
      </c>
      <c r="F212" s="3" t="s">
        <v>16</v>
      </c>
      <c r="G212" s="5">
        <f>IF(ISNUMBER('Main Project Raw Data'!G212),'Main Project Raw Data'!G212,IF(ISNUMBER(SEARCH("/",'Main Project Raw Data'!G212)),DATE(RIGHT('Main Project Raw Data'!G212,4),LEFT('Main Project Raw Data'!G212,FIND("/",'Main Project Raw Data'!G212)-1),MID('Main Project Raw Data'!G212,FIND("/",'Main Project Raw Data'!G212)+1,2)),DATE(RIGHT('Main Project Raw Data'!G212,4),MID('Main Project Raw Data'!G212,4,2),LEFT('Main Project Raw Data'!G212,2))))</f>
        <v>45618</v>
      </c>
      <c r="H212" s="3">
        <f>IF(Table1[[#This Row],[Salary]]="",AVERAGE(Table1[Salary]),Table1[[#This Row],[Salary]])</f>
        <v>67500.22</v>
      </c>
      <c r="I212" s="3" t="s">
        <v>235</v>
      </c>
      <c r="J212" s="3">
        <f>ABS(Table1[[#This Row],[Phone]])</f>
        <v>5797863049</v>
      </c>
      <c r="K212" s="3" t="str">
        <f>PROPER(TRIM(Table1[[#This Row],[Performance_Score]]))</f>
        <v>Average</v>
      </c>
      <c r="L212" s="3" t="b">
        <f>Table1[[#This Row],[Remote_Work]]</f>
        <v>1</v>
      </c>
      <c r="M212" s="3" t="str">
        <f>PROPER(CONCATENATE(Table13[[#This Row],[First_Name]], Table13[[#This Row],[Last_Name]]))</f>
        <v>Gracedavis</v>
      </c>
      <c r="N212" s="3" t="str">
        <f t="shared" si="3"/>
        <v>Nov</v>
      </c>
      <c r="O212" s="3" t="str">
        <f>TEXT(Table13[[#This Row],[Join_Date]],"yyyy")</f>
        <v>2024</v>
      </c>
      <c r="P212" s="3" t="str">
        <f>LEFT('Main Project Raw Data'!E212,FIND("-",'Main Project Raw Data'!E212)-1)</f>
        <v>Admin</v>
      </c>
      <c r="Q212" s="3" t="str">
        <f>RIGHT('Main Project Raw Data'!E212,LEN('Main Project Raw Data'!E212)-FIND("-",'Main Project Raw Data'!E212))</f>
        <v>Illinois</v>
      </c>
    </row>
    <row r="213" spans="1:17" x14ac:dyDescent="0.3">
      <c r="A213" s="3" t="str">
        <f>TRIM(Table1[[#This Row],[Employee_ID]])</f>
        <v>EMP1211</v>
      </c>
      <c r="B213" s="3" t="str">
        <f>TRIM(Table1[[#This Row],[First_Name]])</f>
        <v>Frank</v>
      </c>
      <c r="C213" s="3" t="str">
        <f>TRIM(Table1[[#This Row],[Last_Name]])</f>
        <v>Davis</v>
      </c>
      <c r="D213" s="3">
        <f>IF(Table1[[#This Row],[Age]]="",AVERAGE(Table1[Age]),Table1[[#This Row],[Age]])</f>
        <v>32.484548825710753</v>
      </c>
      <c r="E213" s="3" t="s">
        <v>85</v>
      </c>
      <c r="F213" s="3" t="s">
        <v>28</v>
      </c>
      <c r="G213" s="5">
        <f>IF(ISNUMBER('Main Project Raw Data'!G213),'Main Project Raw Data'!G213,IF(ISNUMBER(SEARCH("/",'Main Project Raw Data'!G213)),DATE(RIGHT('Main Project Raw Data'!G213,4),LEFT('Main Project Raw Data'!G213,FIND("/",'Main Project Raw Data'!G213)-1),MID('Main Project Raw Data'!G213,FIND("/",'Main Project Raw Data'!G213)+1,2)),DATE(RIGHT('Main Project Raw Data'!G213,4),MID('Main Project Raw Data'!G213,4,2),LEFT('Main Project Raw Data'!G213,2))))</f>
        <v>45545</v>
      </c>
      <c r="H213" s="3">
        <f>IF(Table1[[#This Row],[Salary]]="",AVERAGE(Table1[Salary]),Table1[[#This Row],[Salary]])</f>
        <v>58727.44</v>
      </c>
      <c r="I213" s="3" t="s">
        <v>52</v>
      </c>
      <c r="J213" s="3">
        <f>ABS(Table1[[#This Row],[Phone]])</f>
        <v>5057397690</v>
      </c>
      <c r="K213" s="3" t="str">
        <f>PROPER(TRIM(Table1[[#This Row],[Performance_Score]]))</f>
        <v>Poor</v>
      </c>
      <c r="L213" s="3" t="b">
        <f>Table1[[#This Row],[Remote_Work]]</f>
        <v>1</v>
      </c>
      <c r="M213" s="3" t="str">
        <f>PROPER(CONCATENATE(Table13[[#This Row],[First_Name]], Table13[[#This Row],[Last_Name]]))</f>
        <v>Frankdavis</v>
      </c>
      <c r="N213" s="3" t="str">
        <f t="shared" si="3"/>
        <v>Sep</v>
      </c>
      <c r="O213" s="3" t="str">
        <f>TEXT(Table13[[#This Row],[Join_Date]],"yyyy")</f>
        <v>2024</v>
      </c>
      <c r="P213" s="3" t="str">
        <f>LEFT('Main Project Raw Data'!E213,FIND("-",'Main Project Raw Data'!E213)-1)</f>
        <v>Cloud Tech</v>
      </c>
      <c r="Q213" s="3" t="str">
        <f>RIGHT('Main Project Raw Data'!E213,LEN('Main Project Raw Data'!E213)-FIND("-",'Main Project Raw Data'!E213))</f>
        <v>Nevada</v>
      </c>
    </row>
    <row r="214" spans="1:17" x14ac:dyDescent="0.3">
      <c r="A214" s="3" t="str">
        <f>TRIM(Table1[[#This Row],[Employee_ID]])</f>
        <v>EMP1212</v>
      </c>
      <c r="B214" s="3" t="str">
        <f>TRIM(Table1[[#This Row],[First_Name]])</f>
        <v>Charlie</v>
      </c>
      <c r="C214" s="3" t="str">
        <f>TRIM(Table1[[#This Row],[Last_Name]])</f>
        <v>Jones</v>
      </c>
      <c r="D214" s="3">
        <f>IF(Table1[[#This Row],[Age]]="",AVERAGE(Table1[Age]),Table1[[#This Row],[Age]])</f>
        <v>35</v>
      </c>
      <c r="E214" s="3" t="s">
        <v>265</v>
      </c>
      <c r="F214" s="3" t="s">
        <v>16</v>
      </c>
      <c r="G214" s="5">
        <f>IF(ISNUMBER('Main Project Raw Data'!G214),'Main Project Raw Data'!G214,IF(ISNUMBER(SEARCH("/",'Main Project Raw Data'!G214)),DATE(RIGHT('Main Project Raw Data'!G214,4),LEFT('Main Project Raw Data'!G214,FIND("/",'Main Project Raw Data'!G214)-1),MID('Main Project Raw Data'!G214,FIND("/",'Main Project Raw Data'!G214)+1,2)),DATE(RIGHT('Main Project Raw Data'!G214,4),MID('Main Project Raw Data'!G214,4,2),LEFT('Main Project Raw Data'!G214,2))))</f>
        <v>45532</v>
      </c>
      <c r="H214" s="3">
        <f>IF(Table1[[#This Row],[Salary]]="",AVERAGE(Table1[Salary]),Table1[[#This Row],[Salary]])</f>
        <v>80623.08</v>
      </c>
      <c r="I214" s="3" t="s">
        <v>120</v>
      </c>
      <c r="J214" s="3">
        <f>ABS(Table1[[#This Row],[Phone]])</f>
        <v>5671649327</v>
      </c>
      <c r="K214" s="3" t="str">
        <f>PROPER(TRIM(Table1[[#This Row],[Performance_Score]]))</f>
        <v>Excellent</v>
      </c>
      <c r="L214" s="3" t="b">
        <f>Table1[[#This Row],[Remote_Work]]</f>
        <v>1</v>
      </c>
      <c r="M214" s="3" t="str">
        <f>PROPER(CONCATENATE(Table13[[#This Row],[First_Name]], Table13[[#This Row],[Last_Name]]))</f>
        <v>Charliejones</v>
      </c>
      <c r="N214" s="3" t="str">
        <f t="shared" si="3"/>
        <v>Aug</v>
      </c>
      <c r="O214" s="3" t="str">
        <f>TEXT(Table13[[#This Row],[Join_Date]],"yyyy")</f>
        <v>2024</v>
      </c>
      <c r="P214" s="3" t="str">
        <f>LEFT('Main Project Raw Data'!E214,FIND("-",'Main Project Raw Data'!E214)-1)</f>
        <v>Finance</v>
      </c>
      <c r="Q214" s="3" t="str">
        <f>RIGHT('Main Project Raw Data'!E214,LEN('Main Project Raw Data'!E214)-FIND("-",'Main Project Raw Data'!E214))</f>
        <v>Illinois</v>
      </c>
    </row>
    <row r="215" spans="1:17" x14ac:dyDescent="0.3">
      <c r="A215" s="3" t="str">
        <f>TRIM(Table1[[#This Row],[Employee_ID]])</f>
        <v>EMP1213</v>
      </c>
      <c r="B215" s="3" t="str">
        <f>TRIM(Table1[[#This Row],[First_Name]])</f>
        <v>David</v>
      </c>
      <c r="C215" s="3" t="str">
        <f>TRIM(Table1[[#This Row],[Last_Name]])</f>
        <v>Davis</v>
      </c>
      <c r="D215" s="3">
        <f>IF(Table1[[#This Row],[Age]]="",AVERAGE(Table1[Age]),Table1[[#This Row],[Age]])</f>
        <v>40</v>
      </c>
      <c r="E215" s="3" t="s">
        <v>139</v>
      </c>
      <c r="F215" s="3" t="s">
        <v>33</v>
      </c>
      <c r="G215" s="5">
        <f>IF(ISNUMBER('Main Project Raw Data'!G215),'Main Project Raw Data'!G215,IF(ISNUMBER(SEARCH("/",'Main Project Raw Data'!G215)),DATE(RIGHT('Main Project Raw Data'!G215,4),LEFT('Main Project Raw Data'!G215,FIND("/",'Main Project Raw Data'!G215)-1),MID('Main Project Raw Data'!G215,FIND("/",'Main Project Raw Data'!G215)+1,2)),DATE(RIGHT('Main Project Raw Data'!G215,4),MID('Main Project Raw Data'!G215,4,2),LEFT('Main Project Raw Data'!G215,2))))</f>
        <v>43940</v>
      </c>
      <c r="H215" s="3">
        <f>IF(Table1[[#This Row],[Salary]]="",AVERAGE(Table1[Salary]),Table1[[#This Row],[Salary]])</f>
        <v>77751.78</v>
      </c>
      <c r="I215" s="3" t="s">
        <v>63</v>
      </c>
      <c r="J215" s="3">
        <f>ABS(Table1[[#This Row],[Phone]])</f>
        <v>9802714871</v>
      </c>
      <c r="K215" s="3" t="str">
        <f>PROPER(TRIM(Table1[[#This Row],[Performance_Score]]))</f>
        <v>Excellent</v>
      </c>
      <c r="L215" s="3" t="b">
        <f>Table1[[#This Row],[Remote_Work]]</f>
        <v>0</v>
      </c>
      <c r="M215" s="3" t="str">
        <f>PROPER(CONCATENATE(Table13[[#This Row],[First_Name]], Table13[[#This Row],[Last_Name]]))</f>
        <v>Daviddavis</v>
      </c>
      <c r="N215" s="3" t="str">
        <f t="shared" si="3"/>
        <v>Apr</v>
      </c>
      <c r="O215" s="3" t="str">
        <f>TEXT(Table13[[#This Row],[Join_Date]],"yyyy")</f>
        <v>2020</v>
      </c>
      <c r="P215" s="3" t="str">
        <f>LEFT('Main Project Raw Data'!E215,FIND("-",'Main Project Raw Data'!E215)-1)</f>
        <v>HR</v>
      </c>
      <c r="Q215" s="3" t="str">
        <f>RIGHT('Main Project Raw Data'!E215,LEN('Main Project Raw Data'!E215)-FIND("-",'Main Project Raw Data'!E215))</f>
        <v>Texas</v>
      </c>
    </row>
    <row r="216" spans="1:17" x14ac:dyDescent="0.3">
      <c r="A216" s="3" t="str">
        <f>TRIM(Table1[[#This Row],[Employee_ID]])</f>
        <v>EMP1214</v>
      </c>
      <c r="B216" s="3" t="str">
        <f>TRIM(Table1[[#This Row],[First_Name]])</f>
        <v>Grace</v>
      </c>
      <c r="C216" s="3" t="str">
        <f>TRIM(Table1[[#This Row],[Last_Name]])</f>
        <v>Williams</v>
      </c>
      <c r="D216" s="3">
        <f>IF(Table1[[#This Row],[Age]]="",AVERAGE(Table1[Age]),Table1[[#This Row],[Age]])</f>
        <v>25</v>
      </c>
      <c r="E216" s="3" t="s">
        <v>66</v>
      </c>
      <c r="F216" s="3" t="s">
        <v>16</v>
      </c>
      <c r="G216" s="5">
        <f>IF(ISNUMBER('Main Project Raw Data'!G216),'Main Project Raw Data'!G216,IF(ISNUMBER(SEARCH("/",'Main Project Raw Data'!G216)),DATE(RIGHT('Main Project Raw Data'!G216,4),LEFT('Main Project Raw Data'!G216,FIND("/",'Main Project Raw Data'!G216)-1),MID('Main Project Raw Data'!G216,FIND("/",'Main Project Raw Data'!G216)+1,2)),DATE(RIGHT('Main Project Raw Data'!G216,4),MID('Main Project Raw Data'!G216,4,2),LEFT('Main Project Raw Data'!G216,2))))</f>
        <v>44483</v>
      </c>
      <c r="H216" s="3">
        <f>IF(Table1[[#This Row],[Salary]]="",AVERAGE(Table1[Salary]),Table1[[#This Row],[Salary]])</f>
        <v>115157.81</v>
      </c>
      <c r="I216" s="3" t="s">
        <v>71</v>
      </c>
      <c r="J216" s="3">
        <f>ABS(Table1[[#This Row],[Phone]])</f>
        <v>7178333210</v>
      </c>
      <c r="K216" s="3" t="str">
        <f>PROPER(TRIM(Table1[[#This Row],[Performance_Score]]))</f>
        <v>Good</v>
      </c>
      <c r="L216" s="3" t="b">
        <f>Table1[[#This Row],[Remote_Work]]</f>
        <v>0</v>
      </c>
      <c r="M216" s="3" t="str">
        <f>PROPER(CONCATENATE(Table13[[#This Row],[First_Name]], Table13[[#This Row],[Last_Name]]))</f>
        <v>Gracewilliams</v>
      </c>
      <c r="N216" s="3" t="str">
        <f t="shared" si="3"/>
        <v>Oct</v>
      </c>
      <c r="O216" s="3" t="str">
        <f>TEXT(Table13[[#This Row],[Join_Date]],"yyyy")</f>
        <v>2021</v>
      </c>
      <c r="P216" s="3" t="str">
        <f>LEFT('Main Project Raw Data'!E216,FIND("-",'Main Project Raw Data'!E216)-1)</f>
        <v>HR</v>
      </c>
      <c r="Q216" s="3" t="str">
        <f>RIGHT('Main Project Raw Data'!E216,LEN('Main Project Raw Data'!E216)-FIND("-",'Main Project Raw Data'!E216))</f>
        <v>New York</v>
      </c>
    </row>
    <row r="217" spans="1:17" x14ac:dyDescent="0.3">
      <c r="A217" s="3" t="str">
        <f>TRIM(Table1[[#This Row],[Employee_ID]])</f>
        <v>EMP1215</v>
      </c>
      <c r="B217" s="3" t="str">
        <f>TRIM(Table1[[#This Row],[First_Name]])</f>
        <v>Frank</v>
      </c>
      <c r="C217" s="3" t="str">
        <f>TRIM(Table1[[#This Row],[Last_Name]])</f>
        <v>Jones</v>
      </c>
      <c r="D217" s="3">
        <f>IF(Table1[[#This Row],[Age]]="",AVERAGE(Table1[Age]),Table1[[#This Row],[Age]])</f>
        <v>30</v>
      </c>
      <c r="E217" s="3" t="s">
        <v>103</v>
      </c>
      <c r="F217" s="3" t="s">
        <v>33</v>
      </c>
      <c r="G217" s="5">
        <f>IF(ISNUMBER('Main Project Raw Data'!G217),'Main Project Raw Data'!G217,IF(ISNUMBER(SEARCH("/",'Main Project Raw Data'!G217)),DATE(RIGHT('Main Project Raw Data'!G217,4),LEFT('Main Project Raw Data'!G217,FIND("/",'Main Project Raw Data'!G217)-1),MID('Main Project Raw Data'!G217,FIND("/",'Main Project Raw Data'!G217)+1,2)),DATE(RIGHT('Main Project Raw Data'!G217,4),MID('Main Project Raw Data'!G217,4,2),LEFT('Main Project Raw Data'!G217,2))))</f>
        <v>45530</v>
      </c>
      <c r="H217" s="3">
        <f>IF(Table1[[#This Row],[Salary]]="",AVERAGE(Table1[Salary]),Table1[[#This Row],[Salary]])</f>
        <v>83071.850000000006</v>
      </c>
      <c r="I217" s="3" t="s">
        <v>47</v>
      </c>
      <c r="J217" s="3">
        <f>ABS(Table1[[#This Row],[Phone]])</f>
        <v>6025643470</v>
      </c>
      <c r="K217" s="3" t="str">
        <f>PROPER(TRIM(Table1[[#This Row],[Performance_Score]]))</f>
        <v>Poor</v>
      </c>
      <c r="L217" s="3" t="b">
        <f>Table1[[#This Row],[Remote_Work]]</f>
        <v>0</v>
      </c>
      <c r="M217" s="3" t="str">
        <f>PROPER(CONCATENATE(Table13[[#This Row],[First_Name]], Table13[[#This Row],[Last_Name]]))</f>
        <v>Frankjones</v>
      </c>
      <c r="N217" s="3" t="str">
        <f t="shared" si="3"/>
        <v>Aug</v>
      </c>
      <c r="O217" s="3" t="str">
        <f>TEXT(Table13[[#This Row],[Join_Date]],"yyyy")</f>
        <v>2024</v>
      </c>
      <c r="P217" s="3" t="str">
        <f>LEFT('Main Project Raw Data'!E217,FIND("-",'Main Project Raw Data'!E217)-1)</f>
        <v>Admin</v>
      </c>
      <c r="Q217" s="3" t="str">
        <f>RIGHT('Main Project Raw Data'!E217,LEN('Main Project Raw Data'!E217)-FIND("-",'Main Project Raw Data'!E217))</f>
        <v>Texas</v>
      </c>
    </row>
    <row r="218" spans="1:17" x14ac:dyDescent="0.3">
      <c r="A218" s="3" t="str">
        <f>TRIM(Table1[[#This Row],[Employee_ID]])</f>
        <v>EMP1216</v>
      </c>
      <c r="B218" s="3" t="str">
        <f>TRIM(Table1[[#This Row],[First_Name]])</f>
        <v>Heidi</v>
      </c>
      <c r="C218" s="3" t="str">
        <f>TRIM(Table1[[#This Row],[Last_Name]])</f>
        <v>Brown</v>
      </c>
      <c r="D218" s="3">
        <f>IF(Table1[[#This Row],[Age]]="",AVERAGE(Table1[Age]),Table1[[#This Row],[Age]])</f>
        <v>40</v>
      </c>
      <c r="E218" s="3" t="s">
        <v>44</v>
      </c>
      <c r="F218" s="3" t="s">
        <v>16</v>
      </c>
      <c r="G218" s="5">
        <f>IF(ISNUMBER('Main Project Raw Data'!G218),'Main Project Raw Data'!G218,IF(ISNUMBER(SEARCH("/",'Main Project Raw Data'!G218)),DATE(RIGHT('Main Project Raw Data'!G218,4),LEFT('Main Project Raw Data'!G218,FIND("/",'Main Project Raw Data'!G218)-1),MID('Main Project Raw Data'!G218,FIND("/",'Main Project Raw Data'!G218)+1,2)),DATE(RIGHT('Main Project Raw Data'!G218,4),MID('Main Project Raw Data'!G218,4,2),LEFT('Main Project Raw Data'!G218,2))))</f>
        <v>44045</v>
      </c>
      <c r="H218" s="3">
        <f>IF(Table1[[#This Row],[Salary]]="",AVERAGE(Table1[Salary]),Table1[[#This Row],[Salary]])</f>
        <v>67914.67</v>
      </c>
      <c r="I218" s="3" t="s">
        <v>403</v>
      </c>
      <c r="J218" s="3">
        <f>ABS(Table1[[#This Row],[Phone]])</f>
        <v>2871539914</v>
      </c>
      <c r="K218" s="3" t="str">
        <f>PROPER(TRIM(Table1[[#This Row],[Performance_Score]]))</f>
        <v>Excellent</v>
      </c>
      <c r="L218" s="3" t="b">
        <f>Table1[[#This Row],[Remote_Work]]</f>
        <v>1</v>
      </c>
      <c r="M218" s="3" t="str">
        <f>PROPER(CONCATENATE(Table13[[#This Row],[First_Name]], Table13[[#This Row],[Last_Name]]))</f>
        <v>Heidibrown</v>
      </c>
      <c r="N218" s="3" t="str">
        <f t="shared" si="3"/>
        <v>Aug</v>
      </c>
      <c r="O218" s="3" t="str">
        <f>TEXT(Table13[[#This Row],[Join_Date]],"yyyy")</f>
        <v>2020</v>
      </c>
      <c r="P218" s="3" t="str">
        <f>LEFT('Main Project Raw Data'!E218,FIND("-",'Main Project Raw Data'!E218)-1)</f>
        <v>Sales</v>
      </c>
      <c r="Q218" s="3" t="str">
        <f>RIGHT('Main Project Raw Data'!E218,LEN('Main Project Raw Data'!E218)-FIND("-",'Main Project Raw Data'!E218))</f>
        <v>Texas</v>
      </c>
    </row>
    <row r="219" spans="1:17" x14ac:dyDescent="0.3">
      <c r="A219" s="3" t="str">
        <f>TRIM(Table1[[#This Row],[Employee_ID]])</f>
        <v>EMP1217</v>
      </c>
      <c r="B219" s="3" t="str">
        <f>TRIM(Table1[[#This Row],[First_Name]])</f>
        <v>Grace</v>
      </c>
      <c r="C219" s="3" t="str">
        <f>TRIM(Table1[[#This Row],[Last_Name]])</f>
        <v>Jones</v>
      </c>
      <c r="D219" s="3">
        <f>IF(Table1[[#This Row],[Age]]="",AVERAGE(Table1[Age]),Table1[[#This Row],[Age]])</f>
        <v>25</v>
      </c>
      <c r="E219" s="3" t="s">
        <v>66</v>
      </c>
      <c r="F219" s="3" t="s">
        <v>33</v>
      </c>
      <c r="G219" s="5">
        <f>IF(ISNUMBER('Main Project Raw Data'!G219),'Main Project Raw Data'!G219,IF(ISNUMBER(SEARCH("/",'Main Project Raw Data'!G219)),DATE(RIGHT('Main Project Raw Data'!G219,4),LEFT('Main Project Raw Data'!G219,FIND("/",'Main Project Raw Data'!G219)-1),MID('Main Project Raw Data'!G219,FIND("/",'Main Project Raw Data'!G219)+1,2)),DATE(RIGHT('Main Project Raw Data'!G219,4),MID('Main Project Raw Data'!G219,4,2),LEFT('Main Project Raw Data'!G219,2))))</f>
        <v>43991</v>
      </c>
      <c r="H219" s="3">
        <f>IF(Table1[[#This Row],[Salary]]="",AVERAGE(Table1[Salary]),Table1[[#This Row],[Salary]])</f>
        <v>53342.46</v>
      </c>
      <c r="I219" s="3" t="s">
        <v>76</v>
      </c>
      <c r="J219" s="3">
        <f>ABS(Table1[[#This Row],[Phone]])</f>
        <v>6686334140</v>
      </c>
      <c r="K219" s="3" t="str">
        <f>PROPER(TRIM(Table1[[#This Row],[Performance_Score]]))</f>
        <v>Poor</v>
      </c>
      <c r="L219" s="3" t="b">
        <f>Table1[[#This Row],[Remote_Work]]</f>
        <v>0</v>
      </c>
      <c r="M219" s="3" t="str">
        <f>PROPER(CONCATENATE(Table13[[#This Row],[First_Name]], Table13[[#This Row],[Last_Name]]))</f>
        <v>Gracejones</v>
      </c>
      <c r="N219" s="3" t="str">
        <f t="shared" si="3"/>
        <v>Jun</v>
      </c>
      <c r="O219" s="3" t="str">
        <f>TEXT(Table13[[#This Row],[Join_Date]],"yyyy")</f>
        <v>2020</v>
      </c>
      <c r="P219" s="3" t="str">
        <f>LEFT('Main Project Raw Data'!E219,FIND("-",'Main Project Raw Data'!E219)-1)</f>
        <v>HR</v>
      </c>
      <c r="Q219" s="3" t="str">
        <f>RIGHT('Main Project Raw Data'!E219,LEN('Main Project Raw Data'!E219)-FIND("-",'Main Project Raw Data'!E219))</f>
        <v>New York</v>
      </c>
    </row>
    <row r="220" spans="1:17" x14ac:dyDescent="0.3">
      <c r="A220" s="3" t="str">
        <f>TRIM(Table1[[#This Row],[Employee_ID]])</f>
        <v>EMP1218</v>
      </c>
      <c r="B220" s="3" t="str">
        <f>TRIM(Table1[[#This Row],[First_Name]])</f>
        <v>Heidi</v>
      </c>
      <c r="C220" s="3" t="str">
        <f>TRIM(Table1[[#This Row],[Last_Name]])</f>
        <v>Garcia</v>
      </c>
      <c r="D220" s="3">
        <f>IF(Table1[[#This Row],[Age]]="",AVERAGE(Table1[Age]),Table1[[#This Row],[Age]])</f>
        <v>25</v>
      </c>
      <c r="E220" s="3" t="s">
        <v>39</v>
      </c>
      <c r="F220" s="3" t="s">
        <v>28</v>
      </c>
      <c r="G220" s="5">
        <f>IF(ISNUMBER('Main Project Raw Data'!G220),'Main Project Raw Data'!G220,IF(ISNUMBER(SEARCH("/",'Main Project Raw Data'!G220)),DATE(RIGHT('Main Project Raw Data'!G220,4),LEFT('Main Project Raw Data'!G220,FIND("/",'Main Project Raw Data'!G220)-1),MID('Main Project Raw Data'!G220,FIND("/",'Main Project Raw Data'!G220)+1,2)),DATE(RIGHT('Main Project Raw Data'!G220,4),MID('Main Project Raw Data'!G220,4,2),LEFT('Main Project Raw Data'!G220,2))))</f>
        <v>44958</v>
      </c>
      <c r="H220" s="3">
        <f>IF(Table1[[#This Row],[Salary]]="",AVERAGE(Table1[Salary]),Table1[[#This Row],[Salary]])</f>
        <v>51150.47</v>
      </c>
      <c r="I220" s="3" t="s">
        <v>257</v>
      </c>
      <c r="J220" s="3">
        <f>ABS(Table1[[#This Row],[Phone]])</f>
        <v>1159319524</v>
      </c>
      <c r="K220" s="3" t="str">
        <f>PROPER(TRIM(Table1[[#This Row],[Performance_Score]]))</f>
        <v>Excellent</v>
      </c>
      <c r="L220" s="3" t="b">
        <f>Table1[[#This Row],[Remote_Work]]</f>
        <v>0</v>
      </c>
      <c r="M220" s="3" t="str">
        <f>PROPER(CONCATENATE(Table13[[#This Row],[First_Name]], Table13[[#This Row],[Last_Name]]))</f>
        <v>Heidigarcia</v>
      </c>
      <c r="N220" s="3" t="str">
        <f t="shared" si="3"/>
        <v>Feb</v>
      </c>
      <c r="O220" s="3" t="str">
        <f>TEXT(Table13[[#This Row],[Join_Date]],"yyyy")</f>
        <v>2023</v>
      </c>
      <c r="P220" s="3" t="str">
        <f>LEFT('Main Project Raw Data'!E220,FIND("-",'Main Project Raw Data'!E220)-1)</f>
        <v>Cloud Tech</v>
      </c>
      <c r="Q220" s="3" t="str">
        <f>RIGHT('Main Project Raw Data'!E220,LEN('Main Project Raw Data'!E220)-FIND("-",'Main Project Raw Data'!E220))</f>
        <v>Florida</v>
      </c>
    </row>
    <row r="221" spans="1:17" x14ac:dyDescent="0.3">
      <c r="A221" s="3" t="str">
        <f>TRIM(Table1[[#This Row],[Employee_ID]])</f>
        <v>EMP1219</v>
      </c>
      <c r="B221" s="3" t="str">
        <f>TRIM(Table1[[#This Row],[First_Name]])</f>
        <v>David</v>
      </c>
      <c r="C221" s="3" t="str">
        <f>TRIM(Table1[[#This Row],[Last_Name]])</f>
        <v>Davis</v>
      </c>
      <c r="D221" s="3">
        <f>IF(Table1[[#This Row],[Age]]="",AVERAGE(Table1[Age]),Table1[[#This Row],[Age]])</f>
        <v>30</v>
      </c>
      <c r="E221" s="3" t="s">
        <v>212</v>
      </c>
      <c r="F221" s="3" t="s">
        <v>16</v>
      </c>
      <c r="G221" s="5">
        <f>IF(ISNUMBER('Main Project Raw Data'!G221),'Main Project Raw Data'!G221,IF(ISNUMBER(SEARCH("/",'Main Project Raw Data'!G221)),DATE(RIGHT('Main Project Raw Data'!G221,4),LEFT('Main Project Raw Data'!G221,FIND("/",'Main Project Raw Data'!G221)-1),MID('Main Project Raw Data'!G221,FIND("/",'Main Project Raw Data'!G221)+1,2)),DATE(RIGHT('Main Project Raw Data'!G221,4),MID('Main Project Raw Data'!G221,4,2),LEFT('Main Project Raw Data'!G221,2))))</f>
        <v>45090</v>
      </c>
      <c r="H221" s="3">
        <f>IF(Table1[[#This Row],[Salary]]="",AVERAGE(Table1[Salary]),Table1[[#This Row],[Salary]])</f>
        <v>74697.119999999995</v>
      </c>
      <c r="I221" s="3" t="s">
        <v>63</v>
      </c>
      <c r="J221" s="3">
        <f>ABS(Table1[[#This Row],[Phone]])</f>
        <v>6904098365</v>
      </c>
      <c r="K221" s="3" t="str">
        <f>PROPER(TRIM(Table1[[#This Row],[Performance_Score]]))</f>
        <v>Average</v>
      </c>
      <c r="L221" s="3" t="b">
        <f>Table1[[#This Row],[Remote_Work]]</f>
        <v>1</v>
      </c>
      <c r="M221" s="3" t="str">
        <f>PROPER(CONCATENATE(Table13[[#This Row],[First_Name]], Table13[[#This Row],[Last_Name]]))</f>
        <v>Daviddavis</v>
      </c>
      <c r="N221" s="3" t="str">
        <f t="shared" si="3"/>
        <v>Jun</v>
      </c>
      <c r="O221" s="3" t="str">
        <f>TEXT(Table13[[#This Row],[Join_Date]],"yyyy")</f>
        <v>2023</v>
      </c>
      <c r="P221" s="3" t="str">
        <f>LEFT('Main Project Raw Data'!E221,FIND("-",'Main Project Raw Data'!E221)-1)</f>
        <v>HR</v>
      </c>
      <c r="Q221" s="3" t="str">
        <f>RIGHT('Main Project Raw Data'!E221,LEN('Main Project Raw Data'!E221)-FIND("-",'Main Project Raw Data'!E221))</f>
        <v>Florida</v>
      </c>
    </row>
    <row r="222" spans="1:17" x14ac:dyDescent="0.3">
      <c r="A222" s="3" t="str">
        <f>TRIM(Table1[[#This Row],[Employee_ID]])</f>
        <v>EMP1220</v>
      </c>
      <c r="B222" s="3" t="str">
        <f>TRIM(Table1[[#This Row],[First_Name]])</f>
        <v>Charlie</v>
      </c>
      <c r="C222" s="3" t="str">
        <f>TRIM(Table1[[#This Row],[Last_Name]])</f>
        <v>Williams</v>
      </c>
      <c r="D222" s="3">
        <f>IF(Table1[[#This Row],[Age]]="",AVERAGE(Table1[Age]),Table1[[#This Row],[Age]])</f>
        <v>25</v>
      </c>
      <c r="E222" s="3" t="s">
        <v>177</v>
      </c>
      <c r="F222" s="3" t="s">
        <v>16</v>
      </c>
      <c r="G222" s="5">
        <f>IF(ISNUMBER('Main Project Raw Data'!G222),'Main Project Raw Data'!G222,IF(ISNUMBER(SEARCH("/",'Main Project Raw Data'!G222)),DATE(RIGHT('Main Project Raw Data'!G222,4),LEFT('Main Project Raw Data'!G222,FIND("/",'Main Project Raw Data'!G222)-1),MID('Main Project Raw Data'!G222,FIND("/",'Main Project Raw Data'!G222)+1,2)),DATE(RIGHT('Main Project Raw Data'!G222,4),MID('Main Project Raw Data'!G222,4,2),LEFT('Main Project Raw Data'!G222,2))))</f>
        <v>44908</v>
      </c>
      <c r="H222" s="3">
        <f>IF(Table1[[#This Row],[Salary]]="",AVERAGE(Table1[Salary]),Table1[[#This Row],[Salary]])</f>
        <v>88085.74</v>
      </c>
      <c r="I222" s="3" t="s">
        <v>90</v>
      </c>
      <c r="J222" s="3">
        <f>ABS(Table1[[#This Row],[Phone]])</f>
        <v>5528993159</v>
      </c>
      <c r="K222" s="3" t="str">
        <f>PROPER(TRIM(Table1[[#This Row],[Performance_Score]]))</f>
        <v>Excellent</v>
      </c>
      <c r="L222" s="3" t="b">
        <f>Table1[[#This Row],[Remote_Work]]</f>
        <v>1</v>
      </c>
      <c r="M222" s="3" t="str">
        <f>PROPER(CONCATENATE(Table13[[#This Row],[First_Name]], Table13[[#This Row],[Last_Name]]))</f>
        <v>Charliewilliams</v>
      </c>
      <c r="N222" s="3" t="str">
        <f t="shared" si="3"/>
        <v>Dec</v>
      </c>
      <c r="O222" s="3" t="str">
        <f>TEXT(Table13[[#This Row],[Join_Date]],"yyyy")</f>
        <v>2022</v>
      </c>
      <c r="P222" s="3" t="str">
        <f>LEFT('Main Project Raw Data'!E222,FIND("-",'Main Project Raw Data'!E222)-1)</f>
        <v>Sales</v>
      </c>
      <c r="Q222" s="3" t="str">
        <f>RIGHT('Main Project Raw Data'!E222,LEN('Main Project Raw Data'!E222)-FIND("-",'Main Project Raw Data'!E222))</f>
        <v>California</v>
      </c>
    </row>
    <row r="223" spans="1:17" x14ac:dyDescent="0.3">
      <c r="A223" s="3" t="str">
        <f>TRIM(Table1[[#This Row],[Employee_ID]])</f>
        <v>EMP1221</v>
      </c>
      <c r="B223" s="3" t="str">
        <f>TRIM(Table1[[#This Row],[First_Name]])</f>
        <v>Alice</v>
      </c>
      <c r="C223" s="3" t="str">
        <f>TRIM(Table1[[#This Row],[Last_Name]])</f>
        <v>Williams</v>
      </c>
      <c r="D223" s="3">
        <f>IF(Table1[[#This Row],[Age]]="",AVERAGE(Table1[Age]),Table1[[#This Row],[Age]])</f>
        <v>40</v>
      </c>
      <c r="E223" s="3" t="s">
        <v>21</v>
      </c>
      <c r="F223" s="3" t="s">
        <v>28</v>
      </c>
      <c r="G223" s="5">
        <f>IF(ISNUMBER('Main Project Raw Data'!G223),'Main Project Raw Data'!G223,IF(ISNUMBER(SEARCH("/",'Main Project Raw Data'!G223)),DATE(RIGHT('Main Project Raw Data'!G223,4),LEFT('Main Project Raw Data'!G223,FIND("/",'Main Project Raw Data'!G223)-1),MID('Main Project Raw Data'!G223,FIND("/",'Main Project Raw Data'!G223)+1,2)),DATE(RIGHT('Main Project Raw Data'!G223,4),MID('Main Project Raw Data'!G223,4,2),LEFT('Main Project Raw Data'!G223,2))))</f>
        <v>44623</v>
      </c>
      <c r="H223" s="3">
        <f>IF(Table1[[#This Row],[Salary]]="",AVERAGE(Table1[Salary]),Table1[[#This Row],[Salary]])</f>
        <v>118672.76</v>
      </c>
      <c r="I223" s="3" t="s">
        <v>362</v>
      </c>
      <c r="J223" s="3">
        <f>ABS(Table1[[#This Row],[Phone]])</f>
        <v>8752437728</v>
      </c>
      <c r="K223" s="3" t="str">
        <f>PROPER(TRIM(Table1[[#This Row],[Performance_Score]]))</f>
        <v>Poor</v>
      </c>
      <c r="L223" s="3" t="b">
        <f>Table1[[#This Row],[Remote_Work]]</f>
        <v>0</v>
      </c>
      <c r="M223" s="3" t="str">
        <f>PROPER(CONCATENATE(Table13[[#This Row],[First_Name]], Table13[[#This Row],[Last_Name]]))</f>
        <v>Alicewilliams</v>
      </c>
      <c r="N223" s="3" t="str">
        <f t="shared" si="3"/>
        <v>Mar</v>
      </c>
      <c r="O223" s="3" t="str">
        <f>TEXT(Table13[[#This Row],[Join_Date]],"yyyy")</f>
        <v>2022</v>
      </c>
      <c r="P223" s="3" t="str">
        <f>LEFT('Main Project Raw Data'!E223,FIND("-",'Main Project Raw Data'!E223)-1)</f>
        <v>Finance</v>
      </c>
      <c r="Q223" s="3" t="str">
        <f>RIGHT('Main Project Raw Data'!E223,LEN('Main Project Raw Data'!E223)-FIND("-",'Main Project Raw Data'!E223))</f>
        <v>Texas</v>
      </c>
    </row>
    <row r="224" spans="1:17" x14ac:dyDescent="0.3">
      <c r="A224" s="3" t="str">
        <f>TRIM(Table1[[#This Row],[Employee_ID]])</f>
        <v>EMP1222</v>
      </c>
      <c r="B224" s="3" t="str">
        <f>TRIM(Table1[[#This Row],[First_Name]])</f>
        <v>Alice</v>
      </c>
      <c r="C224" s="3" t="str">
        <f>TRIM(Table1[[#This Row],[Last_Name]])</f>
        <v>Miller</v>
      </c>
      <c r="D224" s="3">
        <f>IF(Table1[[#This Row],[Age]]="",AVERAGE(Table1[Age]),Table1[[#This Row],[Age]])</f>
        <v>35</v>
      </c>
      <c r="E224" s="3" t="s">
        <v>268</v>
      </c>
      <c r="F224" s="3" t="s">
        <v>16</v>
      </c>
      <c r="G224" s="5">
        <f>IF(ISNUMBER('Main Project Raw Data'!G224),'Main Project Raw Data'!G224,IF(ISNUMBER(SEARCH("/",'Main Project Raw Data'!G224)),DATE(RIGHT('Main Project Raw Data'!G224,4),LEFT('Main Project Raw Data'!G224,FIND("/",'Main Project Raw Data'!G224)-1),MID('Main Project Raw Data'!G224,FIND("/",'Main Project Raw Data'!G224)+1,2)),DATE(RIGHT('Main Project Raw Data'!G224,4),MID('Main Project Raw Data'!G224,4,2),LEFT('Main Project Raw Data'!G224,2))))</f>
        <v>45567</v>
      </c>
      <c r="H224" s="3">
        <f>IF(Table1[[#This Row],[Salary]]="",AVERAGE(Table1[Salary]),Table1[[#This Row],[Salary]])</f>
        <v>95997.31</v>
      </c>
      <c r="I224" s="3" t="s">
        <v>166</v>
      </c>
      <c r="J224" s="3">
        <f>ABS(Table1[[#This Row],[Phone]])</f>
        <v>4209548148</v>
      </c>
      <c r="K224" s="3" t="str">
        <f>PROPER(TRIM(Table1[[#This Row],[Performance_Score]]))</f>
        <v>Average</v>
      </c>
      <c r="L224" s="3" t="b">
        <f>Table1[[#This Row],[Remote_Work]]</f>
        <v>0</v>
      </c>
      <c r="M224" s="3" t="str">
        <f>PROPER(CONCATENATE(Table13[[#This Row],[First_Name]], Table13[[#This Row],[Last_Name]]))</f>
        <v>Alicemiller</v>
      </c>
      <c r="N224" s="3" t="str">
        <f t="shared" si="3"/>
        <v>Oct</v>
      </c>
      <c r="O224" s="3" t="str">
        <f>TEXT(Table13[[#This Row],[Join_Date]],"yyyy")</f>
        <v>2024</v>
      </c>
      <c r="P224" s="3" t="str">
        <f>LEFT('Main Project Raw Data'!E224,FIND("-",'Main Project Raw Data'!E224)-1)</f>
        <v>Cloud Tech</v>
      </c>
      <c r="Q224" s="3" t="str">
        <f>RIGHT('Main Project Raw Data'!E224,LEN('Main Project Raw Data'!E224)-FIND("-",'Main Project Raw Data'!E224))</f>
        <v>California</v>
      </c>
    </row>
    <row r="225" spans="1:17" x14ac:dyDescent="0.3">
      <c r="A225" s="3" t="str">
        <f>TRIM(Table1[[#This Row],[Employee_ID]])</f>
        <v>EMP1223</v>
      </c>
      <c r="B225" s="3" t="str">
        <f>TRIM(Table1[[#This Row],[First_Name]])</f>
        <v>Frank</v>
      </c>
      <c r="C225" s="3" t="str">
        <f>TRIM(Table1[[#This Row],[Last_Name]])</f>
        <v>Brown</v>
      </c>
      <c r="D225" s="3">
        <f>IF(Table1[[#This Row],[Age]]="",AVERAGE(Table1[Age]),Table1[[#This Row],[Age]])</f>
        <v>30</v>
      </c>
      <c r="E225" s="3" t="s">
        <v>268</v>
      </c>
      <c r="F225" s="3" t="s">
        <v>28</v>
      </c>
      <c r="G225" s="5">
        <f>IF(ISNUMBER('Main Project Raw Data'!G225),'Main Project Raw Data'!G225,IF(ISNUMBER(SEARCH("/",'Main Project Raw Data'!G225)),DATE(RIGHT('Main Project Raw Data'!G225,4),LEFT('Main Project Raw Data'!G225,FIND("/",'Main Project Raw Data'!G225)-1),MID('Main Project Raw Data'!G225,FIND("/",'Main Project Raw Data'!G225)+1,2)),DATE(RIGHT('Main Project Raw Data'!G225,4),MID('Main Project Raw Data'!G225,4,2),LEFT('Main Project Raw Data'!G225,2))))</f>
        <v>44524</v>
      </c>
      <c r="H225" s="3">
        <f>IF(Table1[[#This Row],[Salary]]="",AVERAGE(Table1[Salary]),Table1[[#This Row],[Salary]])</f>
        <v>106945.62</v>
      </c>
      <c r="I225" s="3" t="s">
        <v>239</v>
      </c>
      <c r="J225" s="3">
        <f>ABS(Table1[[#This Row],[Phone]])</f>
        <v>7374605232</v>
      </c>
      <c r="K225" s="3" t="str">
        <f>PROPER(TRIM(Table1[[#This Row],[Performance_Score]]))</f>
        <v>Average</v>
      </c>
      <c r="L225" s="3" t="b">
        <f>Table1[[#This Row],[Remote_Work]]</f>
        <v>0</v>
      </c>
      <c r="M225" s="3" t="str">
        <f>PROPER(CONCATENATE(Table13[[#This Row],[First_Name]], Table13[[#This Row],[Last_Name]]))</f>
        <v>Frankbrown</v>
      </c>
      <c r="N225" s="3" t="str">
        <f t="shared" si="3"/>
        <v>Nov</v>
      </c>
      <c r="O225" s="3" t="str">
        <f>TEXT(Table13[[#This Row],[Join_Date]],"yyyy")</f>
        <v>2021</v>
      </c>
      <c r="P225" s="3" t="str">
        <f>LEFT('Main Project Raw Data'!E225,FIND("-",'Main Project Raw Data'!E225)-1)</f>
        <v>Cloud Tech</v>
      </c>
      <c r="Q225" s="3" t="str">
        <f>RIGHT('Main Project Raw Data'!E225,LEN('Main Project Raw Data'!E225)-FIND("-",'Main Project Raw Data'!E225))</f>
        <v>California</v>
      </c>
    </row>
    <row r="226" spans="1:17" x14ac:dyDescent="0.3">
      <c r="A226" s="3" t="str">
        <f>TRIM(Table1[[#This Row],[Employee_ID]])</f>
        <v>EMP1224</v>
      </c>
      <c r="B226" s="3" t="str">
        <f>TRIM(Table1[[#This Row],[First_Name]])</f>
        <v>Heidi</v>
      </c>
      <c r="C226" s="3" t="str">
        <f>TRIM(Table1[[#This Row],[Last_Name]])</f>
        <v>Johnson</v>
      </c>
      <c r="D226" s="3">
        <f>IF(Table1[[#This Row],[Age]]="",AVERAGE(Table1[Age]),Table1[[#This Row],[Age]])</f>
        <v>40</v>
      </c>
      <c r="E226" s="3" t="s">
        <v>56</v>
      </c>
      <c r="F226" s="3" t="s">
        <v>16</v>
      </c>
      <c r="G226" s="5">
        <f>IF(ISNUMBER('Main Project Raw Data'!G226),'Main Project Raw Data'!G226,IF(ISNUMBER(SEARCH("/",'Main Project Raw Data'!G226)),DATE(RIGHT('Main Project Raw Data'!G226,4),LEFT('Main Project Raw Data'!G226,FIND("/",'Main Project Raw Data'!G226)-1),MID('Main Project Raw Data'!G226,FIND("/",'Main Project Raw Data'!G226)+1,2)),DATE(RIGHT('Main Project Raw Data'!G226,4),MID('Main Project Raw Data'!G226,4,2),LEFT('Main Project Raw Data'!G226,2))))</f>
        <v>44079</v>
      </c>
      <c r="H226" s="3">
        <f>IF(Table1[[#This Row],[Salary]]="",AVERAGE(Table1[Salary]),Table1[[#This Row],[Salary]])</f>
        <v>100123.15</v>
      </c>
      <c r="I226" s="3" t="s">
        <v>113</v>
      </c>
      <c r="J226" s="3">
        <f>ABS(Table1[[#This Row],[Phone]])</f>
        <v>276420864</v>
      </c>
      <c r="K226" s="3" t="str">
        <f>PROPER(TRIM(Table1[[#This Row],[Performance_Score]]))</f>
        <v>Average</v>
      </c>
      <c r="L226" s="3" t="b">
        <f>Table1[[#This Row],[Remote_Work]]</f>
        <v>0</v>
      </c>
      <c r="M226" s="3" t="str">
        <f>PROPER(CONCATENATE(Table13[[#This Row],[First_Name]], Table13[[#This Row],[Last_Name]]))</f>
        <v>Heidijohnson</v>
      </c>
      <c r="N226" s="3" t="str">
        <f t="shared" si="3"/>
        <v>Sep</v>
      </c>
      <c r="O226" s="3" t="str">
        <f>TEXT(Table13[[#This Row],[Join_Date]],"yyyy")</f>
        <v>2020</v>
      </c>
      <c r="P226" s="3" t="str">
        <f>LEFT('Main Project Raw Data'!E226,FIND("-",'Main Project Raw Data'!E226)-1)</f>
        <v>DevOps</v>
      </c>
      <c r="Q226" s="3" t="str">
        <f>RIGHT('Main Project Raw Data'!E226,LEN('Main Project Raw Data'!E226)-FIND("-",'Main Project Raw Data'!E226))</f>
        <v>New York</v>
      </c>
    </row>
    <row r="227" spans="1:17" x14ac:dyDescent="0.3">
      <c r="A227" s="3" t="str">
        <f>TRIM(Table1[[#This Row],[Employee_ID]])</f>
        <v>EMP1225</v>
      </c>
      <c r="B227" s="3" t="str">
        <f>TRIM(Table1[[#This Row],[First_Name]])</f>
        <v>Alice</v>
      </c>
      <c r="C227" s="3" t="str">
        <f>TRIM(Table1[[#This Row],[Last_Name]])</f>
        <v>Johnson</v>
      </c>
      <c r="D227" s="3">
        <f>IF(Table1[[#This Row],[Age]]="",AVERAGE(Table1[Age]),Table1[[#This Row],[Age]])</f>
        <v>35</v>
      </c>
      <c r="E227" s="3" t="s">
        <v>103</v>
      </c>
      <c r="F227" s="3" t="s">
        <v>16</v>
      </c>
      <c r="G227" s="5">
        <f>IF(ISNUMBER('Main Project Raw Data'!G227),'Main Project Raw Data'!G227,IF(ISNUMBER(SEARCH("/",'Main Project Raw Data'!G227)),DATE(RIGHT('Main Project Raw Data'!G227,4),LEFT('Main Project Raw Data'!G227,FIND("/",'Main Project Raw Data'!G227)-1),MID('Main Project Raw Data'!G227,FIND("/",'Main Project Raw Data'!G227)+1,2)),DATE(RIGHT('Main Project Raw Data'!G227,4),MID('Main Project Raw Data'!G227,4,2),LEFT('Main Project Raw Data'!G227,2))))</f>
        <v>45645</v>
      </c>
      <c r="H227" s="3">
        <f>IF(Table1[[#This Row],[Salary]]="",AVERAGE(Table1[Salary]),Table1[[#This Row],[Salary]])</f>
        <v>52933.42</v>
      </c>
      <c r="I227" s="3" t="s">
        <v>150</v>
      </c>
      <c r="J227" s="3">
        <f>ABS(Table1[[#This Row],[Phone]])</f>
        <v>6756618442</v>
      </c>
      <c r="K227" s="3" t="str">
        <f>PROPER(TRIM(Table1[[#This Row],[Performance_Score]]))</f>
        <v>Poor</v>
      </c>
      <c r="L227" s="3" t="b">
        <f>Table1[[#This Row],[Remote_Work]]</f>
        <v>1</v>
      </c>
      <c r="M227" s="3" t="str">
        <f>PROPER(CONCATENATE(Table13[[#This Row],[First_Name]], Table13[[#This Row],[Last_Name]]))</f>
        <v>Alicejohnson</v>
      </c>
      <c r="N227" s="3" t="str">
        <f t="shared" si="3"/>
        <v>Dec</v>
      </c>
      <c r="O227" s="3" t="str">
        <f>TEXT(Table13[[#This Row],[Join_Date]],"yyyy")</f>
        <v>2024</v>
      </c>
      <c r="P227" s="3" t="str">
        <f>LEFT('Main Project Raw Data'!E227,FIND("-",'Main Project Raw Data'!E227)-1)</f>
        <v>Admin</v>
      </c>
      <c r="Q227" s="3" t="str">
        <f>RIGHT('Main Project Raw Data'!E227,LEN('Main Project Raw Data'!E227)-FIND("-",'Main Project Raw Data'!E227))</f>
        <v>Texas</v>
      </c>
    </row>
    <row r="228" spans="1:17" x14ac:dyDescent="0.3">
      <c r="A228" s="3" t="str">
        <f>TRIM(Table1[[#This Row],[Employee_ID]])</f>
        <v>EMP1226</v>
      </c>
      <c r="B228" s="3" t="str">
        <f>TRIM(Table1[[#This Row],[First_Name]])</f>
        <v>Grace</v>
      </c>
      <c r="C228" s="3" t="str">
        <f>TRIM(Table1[[#This Row],[Last_Name]])</f>
        <v>Jones</v>
      </c>
      <c r="D228" s="3">
        <f>IF(Table1[[#This Row],[Age]]="",AVERAGE(Table1[Age]),Table1[[#This Row],[Age]])</f>
        <v>32.484548825710753</v>
      </c>
      <c r="E228" s="3" t="s">
        <v>70</v>
      </c>
      <c r="F228" s="3" t="s">
        <v>16</v>
      </c>
      <c r="G228" s="5">
        <f>IF(ISNUMBER('Main Project Raw Data'!G228),'Main Project Raw Data'!G228,IF(ISNUMBER(SEARCH("/",'Main Project Raw Data'!G228)),DATE(RIGHT('Main Project Raw Data'!G228,4),LEFT('Main Project Raw Data'!G228,FIND("/",'Main Project Raw Data'!G228)-1),MID('Main Project Raw Data'!G228,FIND("/",'Main Project Raw Data'!G228)+1,2)),DATE(RIGHT('Main Project Raw Data'!G228,4),MID('Main Project Raw Data'!G228,4,2),LEFT('Main Project Raw Data'!G228,2))))</f>
        <v>45373</v>
      </c>
      <c r="H228" s="3">
        <f>IF(Table1[[#This Row],[Salary]]="",AVERAGE(Table1[Salary]),Table1[[#This Row],[Salary]])</f>
        <v>95283.03</v>
      </c>
      <c r="I228" s="3" t="s">
        <v>76</v>
      </c>
      <c r="J228" s="3">
        <f>ABS(Table1[[#This Row],[Phone]])</f>
        <v>8612590471</v>
      </c>
      <c r="K228" s="3" t="str">
        <f>PROPER(TRIM(Table1[[#This Row],[Performance_Score]]))</f>
        <v>Good</v>
      </c>
      <c r="L228" s="3" t="b">
        <f>Table1[[#This Row],[Remote_Work]]</f>
        <v>0</v>
      </c>
      <c r="M228" s="3" t="str">
        <f>PROPER(CONCATENATE(Table13[[#This Row],[First_Name]], Table13[[#This Row],[Last_Name]]))</f>
        <v>Gracejones</v>
      </c>
      <c r="N228" s="3" t="str">
        <f t="shared" si="3"/>
        <v>Mar</v>
      </c>
      <c r="O228" s="3" t="str">
        <f>TEXT(Table13[[#This Row],[Join_Date]],"yyyy")</f>
        <v>2024</v>
      </c>
      <c r="P228" s="3" t="str">
        <f>LEFT('Main Project Raw Data'!E228,FIND("-",'Main Project Raw Data'!E228)-1)</f>
        <v>Finance</v>
      </c>
      <c r="Q228" s="3" t="str">
        <f>RIGHT('Main Project Raw Data'!E228,LEN('Main Project Raw Data'!E228)-FIND("-",'Main Project Raw Data'!E228))</f>
        <v>California</v>
      </c>
    </row>
    <row r="229" spans="1:17" x14ac:dyDescent="0.3">
      <c r="A229" s="3" t="str">
        <f>TRIM(Table1[[#This Row],[Employee_ID]])</f>
        <v>EMP1227</v>
      </c>
      <c r="B229" s="3" t="str">
        <f>TRIM(Table1[[#This Row],[First_Name]])</f>
        <v>Alice</v>
      </c>
      <c r="C229" s="3" t="str">
        <f>TRIM(Table1[[#This Row],[Last_Name]])</f>
        <v>Miller</v>
      </c>
      <c r="D229" s="3">
        <f>IF(Table1[[#This Row],[Age]]="",AVERAGE(Table1[Age]),Table1[[#This Row],[Age]])</f>
        <v>35</v>
      </c>
      <c r="E229" s="3" t="s">
        <v>139</v>
      </c>
      <c r="F229" s="3" t="s">
        <v>33</v>
      </c>
      <c r="G229" s="5">
        <f>IF(ISNUMBER('Main Project Raw Data'!G229),'Main Project Raw Data'!G229,IF(ISNUMBER(SEARCH("/",'Main Project Raw Data'!G229)),DATE(RIGHT('Main Project Raw Data'!G229,4),LEFT('Main Project Raw Data'!G229,FIND("/",'Main Project Raw Data'!G229)-1),MID('Main Project Raw Data'!G229,FIND("/",'Main Project Raw Data'!G229)+1,2)),DATE(RIGHT('Main Project Raw Data'!G229,4),MID('Main Project Raw Data'!G229,4,2),LEFT('Main Project Raw Data'!G229,2))))</f>
        <v>44725</v>
      </c>
      <c r="H229" s="3">
        <f>IF(Table1[[#This Row],[Salary]]="",AVERAGE(Table1[Salary]),Table1[[#This Row],[Salary]])</f>
        <v>112264.06</v>
      </c>
      <c r="I229" s="3" t="s">
        <v>166</v>
      </c>
      <c r="J229" s="3">
        <f>ABS(Table1[[#This Row],[Phone]])</f>
        <v>9277423329</v>
      </c>
      <c r="K229" s="3" t="str">
        <f>PROPER(TRIM(Table1[[#This Row],[Performance_Score]]))</f>
        <v>Good</v>
      </c>
      <c r="L229" s="3" t="b">
        <f>Table1[[#This Row],[Remote_Work]]</f>
        <v>0</v>
      </c>
      <c r="M229" s="3" t="str">
        <f>PROPER(CONCATENATE(Table13[[#This Row],[First_Name]], Table13[[#This Row],[Last_Name]]))</f>
        <v>Alicemiller</v>
      </c>
      <c r="N229" s="3" t="str">
        <f t="shared" si="3"/>
        <v>Jun</v>
      </c>
      <c r="O229" s="3" t="str">
        <f>TEXT(Table13[[#This Row],[Join_Date]],"yyyy")</f>
        <v>2022</v>
      </c>
      <c r="P229" s="3" t="str">
        <f>LEFT('Main Project Raw Data'!E229,FIND("-",'Main Project Raw Data'!E229)-1)</f>
        <v>HR</v>
      </c>
      <c r="Q229" s="3" t="str">
        <f>RIGHT('Main Project Raw Data'!E229,LEN('Main Project Raw Data'!E229)-FIND("-",'Main Project Raw Data'!E229))</f>
        <v>Texas</v>
      </c>
    </row>
    <row r="230" spans="1:17" x14ac:dyDescent="0.3">
      <c r="A230" s="3" t="str">
        <f>TRIM(Table1[[#This Row],[Employee_ID]])</f>
        <v>EMP1228</v>
      </c>
      <c r="B230" s="3" t="str">
        <f>TRIM(Table1[[#This Row],[First_Name]])</f>
        <v>Grace</v>
      </c>
      <c r="C230" s="3" t="str">
        <f>TRIM(Table1[[#This Row],[Last_Name]])</f>
        <v>Smith</v>
      </c>
      <c r="D230" s="3">
        <f>IF(Table1[[#This Row],[Age]]="",AVERAGE(Table1[Age]),Table1[[#This Row],[Age]])</f>
        <v>35</v>
      </c>
      <c r="E230" s="3" t="s">
        <v>205</v>
      </c>
      <c r="F230" s="3" t="s">
        <v>28</v>
      </c>
      <c r="G230" s="5">
        <f>IF(ISNUMBER('Main Project Raw Data'!G230),'Main Project Raw Data'!G230,IF(ISNUMBER(SEARCH("/",'Main Project Raw Data'!G230)),DATE(RIGHT('Main Project Raw Data'!G230,4),LEFT('Main Project Raw Data'!G230,FIND("/",'Main Project Raw Data'!G230)-1),MID('Main Project Raw Data'!G230,FIND("/",'Main Project Raw Data'!G230)+1,2)),DATE(RIGHT('Main Project Raw Data'!G230,4),MID('Main Project Raw Data'!G230,4,2),LEFT('Main Project Raw Data'!G230,2))))</f>
        <v>44849</v>
      </c>
      <c r="H230" s="3">
        <f>IF(Table1[[#This Row],[Salary]]="",AVERAGE(Table1[Salary]),Table1[[#This Row],[Salary]])</f>
        <v>75714.28</v>
      </c>
      <c r="I230" s="3" t="s">
        <v>135</v>
      </c>
      <c r="J230" s="3">
        <f>ABS(Table1[[#This Row],[Phone]])</f>
        <v>5912662014</v>
      </c>
      <c r="K230" s="3" t="str">
        <f>PROPER(TRIM(Table1[[#This Row],[Performance_Score]]))</f>
        <v>Good</v>
      </c>
      <c r="L230" s="3" t="b">
        <f>Table1[[#This Row],[Remote_Work]]</f>
        <v>1</v>
      </c>
      <c r="M230" s="3" t="str">
        <f>PROPER(CONCATENATE(Table13[[#This Row],[First_Name]], Table13[[#This Row],[Last_Name]]))</f>
        <v>Gracesmith</v>
      </c>
      <c r="N230" s="3" t="str">
        <f t="shared" si="3"/>
        <v>Oct</v>
      </c>
      <c r="O230" s="3" t="str">
        <f>TEXT(Table13[[#This Row],[Join_Date]],"yyyy")</f>
        <v>2022</v>
      </c>
      <c r="P230" s="3" t="str">
        <f>LEFT('Main Project Raw Data'!E230,FIND("-",'Main Project Raw Data'!E230)-1)</f>
        <v>Admin</v>
      </c>
      <c r="Q230" s="3" t="str">
        <f>RIGHT('Main Project Raw Data'!E230,LEN('Main Project Raw Data'!E230)-FIND("-",'Main Project Raw Data'!E230))</f>
        <v>Florida</v>
      </c>
    </row>
    <row r="231" spans="1:17" x14ac:dyDescent="0.3">
      <c r="A231" s="3" t="str">
        <f>TRIM(Table1[[#This Row],[Employee_ID]])</f>
        <v>EMP1229</v>
      </c>
      <c r="B231" s="3" t="str">
        <f>TRIM(Table1[[#This Row],[First_Name]])</f>
        <v>Eva</v>
      </c>
      <c r="C231" s="3" t="str">
        <f>TRIM(Table1[[#This Row],[Last_Name]])</f>
        <v>Jones</v>
      </c>
      <c r="D231" s="3">
        <f>IF(Table1[[#This Row],[Age]]="",AVERAGE(Table1[Age]),Table1[[#This Row],[Age]])</f>
        <v>25</v>
      </c>
      <c r="E231" s="3" t="s">
        <v>230</v>
      </c>
      <c r="F231" s="3" t="s">
        <v>16</v>
      </c>
      <c r="G231" s="5">
        <f>IF(ISNUMBER('Main Project Raw Data'!G231),'Main Project Raw Data'!G231,IF(ISNUMBER(SEARCH("/",'Main Project Raw Data'!G231)),DATE(RIGHT('Main Project Raw Data'!G231,4),LEFT('Main Project Raw Data'!G231,FIND("/",'Main Project Raw Data'!G231)-1),MID('Main Project Raw Data'!G231,FIND("/",'Main Project Raw Data'!G231)+1,2)),DATE(RIGHT('Main Project Raw Data'!G231,4),MID('Main Project Raw Data'!G231,4,2),LEFT('Main Project Raw Data'!G231,2))))</f>
        <v>44712</v>
      </c>
      <c r="H231" s="3">
        <f>IF(Table1[[#This Row],[Salary]]="",AVERAGE(Table1[Salary]),Table1[[#This Row],[Salary]])</f>
        <v>92171.73</v>
      </c>
      <c r="I231" s="3" t="s">
        <v>277</v>
      </c>
      <c r="J231" s="3">
        <f>ABS(Table1[[#This Row],[Phone]])</f>
        <v>7201859625</v>
      </c>
      <c r="K231" s="3" t="str">
        <f>PROPER(TRIM(Table1[[#This Row],[Performance_Score]]))</f>
        <v>Poor</v>
      </c>
      <c r="L231" s="3" t="b">
        <f>Table1[[#This Row],[Remote_Work]]</f>
        <v>0</v>
      </c>
      <c r="M231" s="3" t="str">
        <f>PROPER(CONCATENATE(Table13[[#This Row],[First_Name]], Table13[[#This Row],[Last_Name]]))</f>
        <v>Evajones</v>
      </c>
      <c r="N231" s="3" t="str">
        <f t="shared" si="3"/>
        <v>May</v>
      </c>
      <c r="O231" s="3" t="str">
        <f>TEXT(Table13[[#This Row],[Join_Date]],"yyyy")</f>
        <v>2022</v>
      </c>
      <c r="P231" s="3" t="str">
        <f>LEFT('Main Project Raw Data'!E231,FIND("-",'Main Project Raw Data'!E231)-1)</f>
        <v>DevOps</v>
      </c>
      <c r="Q231" s="3" t="str">
        <f>RIGHT('Main Project Raw Data'!E231,LEN('Main Project Raw Data'!E231)-FIND("-",'Main Project Raw Data'!E231))</f>
        <v>Florida</v>
      </c>
    </row>
    <row r="232" spans="1:17" x14ac:dyDescent="0.3">
      <c r="A232" s="3" t="str">
        <f>TRIM(Table1[[#This Row],[Employee_ID]])</f>
        <v>EMP1230</v>
      </c>
      <c r="B232" s="3" t="str">
        <f>TRIM(Table1[[#This Row],[First_Name]])</f>
        <v>Eva</v>
      </c>
      <c r="C232" s="3" t="str">
        <f>TRIM(Table1[[#This Row],[Last_Name]])</f>
        <v>Miller</v>
      </c>
      <c r="D232" s="3">
        <f>IF(Table1[[#This Row],[Age]]="",AVERAGE(Table1[Age]),Table1[[#This Row],[Age]])</f>
        <v>35</v>
      </c>
      <c r="E232" s="3" t="s">
        <v>159</v>
      </c>
      <c r="F232" s="3" t="s">
        <v>33</v>
      </c>
      <c r="G232" s="5">
        <f>IF(ISNUMBER('Main Project Raw Data'!G232),'Main Project Raw Data'!G232,IF(ISNUMBER(SEARCH("/",'Main Project Raw Data'!G232)),DATE(RIGHT('Main Project Raw Data'!G232,4),LEFT('Main Project Raw Data'!G232,FIND("/",'Main Project Raw Data'!G232)-1),MID('Main Project Raw Data'!G232,FIND("/",'Main Project Raw Data'!G232)+1,2)),DATE(RIGHT('Main Project Raw Data'!G232,4),MID('Main Project Raw Data'!G232,4,2),LEFT('Main Project Raw Data'!G232,2))))</f>
        <v>45184</v>
      </c>
      <c r="H232" s="3">
        <f>IF(Table1[[#This Row],[Salary]]="",AVERAGE(Table1[Salary]),Table1[[#This Row],[Salary]])</f>
        <v>70694.8</v>
      </c>
      <c r="I232" s="3" t="s">
        <v>263</v>
      </c>
      <c r="J232" s="3">
        <f>ABS(Table1[[#This Row],[Phone]])</f>
        <v>3013674925</v>
      </c>
      <c r="K232" s="3" t="str">
        <f>PROPER(TRIM(Table1[[#This Row],[Performance_Score]]))</f>
        <v>Average</v>
      </c>
      <c r="L232" s="3" t="b">
        <f>Table1[[#This Row],[Remote_Work]]</f>
        <v>1</v>
      </c>
      <c r="M232" s="3" t="str">
        <f>PROPER(CONCATENATE(Table13[[#This Row],[First_Name]], Table13[[#This Row],[Last_Name]]))</f>
        <v>Evamiller</v>
      </c>
      <c r="N232" s="3" t="str">
        <f t="shared" si="3"/>
        <v>Sep</v>
      </c>
      <c r="O232" s="3" t="str">
        <f>TEXT(Table13[[#This Row],[Join_Date]],"yyyy")</f>
        <v>2023</v>
      </c>
      <c r="P232" s="3" t="str">
        <f>LEFT('Main Project Raw Data'!E232,FIND("-",'Main Project Raw Data'!E232)-1)</f>
        <v>Cloud Tech</v>
      </c>
      <c r="Q232" s="3" t="str">
        <f>RIGHT('Main Project Raw Data'!E232,LEN('Main Project Raw Data'!E232)-FIND("-",'Main Project Raw Data'!E232))</f>
        <v>Texas</v>
      </c>
    </row>
    <row r="233" spans="1:17" x14ac:dyDescent="0.3">
      <c r="A233" s="3" t="str">
        <f>TRIM(Table1[[#This Row],[Employee_ID]])</f>
        <v>EMP1231</v>
      </c>
      <c r="B233" s="3" t="str">
        <f>TRIM(Table1[[#This Row],[First_Name]])</f>
        <v>Grace</v>
      </c>
      <c r="C233" s="3" t="str">
        <f>TRIM(Table1[[#This Row],[Last_Name]])</f>
        <v>Brown</v>
      </c>
      <c r="D233" s="3">
        <f>IF(Table1[[#This Row],[Age]]="",AVERAGE(Table1[Age]),Table1[[#This Row],[Age]])</f>
        <v>30</v>
      </c>
      <c r="E233" s="3" t="s">
        <v>230</v>
      </c>
      <c r="F233" s="3" t="s">
        <v>33</v>
      </c>
      <c r="G233" s="5">
        <f>IF(ISNUMBER('Main Project Raw Data'!G233),'Main Project Raw Data'!G233,IF(ISNUMBER(SEARCH("/",'Main Project Raw Data'!G233)),DATE(RIGHT('Main Project Raw Data'!G233,4),LEFT('Main Project Raw Data'!G233,FIND("/",'Main Project Raw Data'!G233)-1),MID('Main Project Raw Data'!G233,FIND("/",'Main Project Raw Data'!G233)+1,2)),DATE(RIGHT('Main Project Raw Data'!G233,4),MID('Main Project Raw Data'!G233,4,2),LEFT('Main Project Raw Data'!G233,2))))</f>
        <v>44658</v>
      </c>
      <c r="H233" s="3">
        <f>IF(Table1[[#This Row],[Salary]]="",AVERAGE(Table1[Salary]),Table1[[#This Row],[Salary]])</f>
        <v>52964.86</v>
      </c>
      <c r="I233" s="3" t="s">
        <v>201</v>
      </c>
      <c r="J233" s="3">
        <f>ABS(Table1[[#This Row],[Phone]])</f>
        <v>1764750110</v>
      </c>
      <c r="K233" s="3" t="str">
        <f>PROPER(TRIM(Table1[[#This Row],[Performance_Score]]))</f>
        <v>Good</v>
      </c>
      <c r="L233" s="3" t="b">
        <f>Table1[[#This Row],[Remote_Work]]</f>
        <v>1</v>
      </c>
      <c r="M233" s="3" t="str">
        <f>PROPER(CONCATENATE(Table13[[#This Row],[First_Name]], Table13[[#This Row],[Last_Name]]))</f>
        <v>Gracebrown</v>
      </c>
      <c r="N233" s="3" t="str">
        <f t="shared" si="3"/>
        <v>Apr</v>
      </c>
      <c r="O233" s="3" t="str">
        <f>TEXT(Table13[[#This Row],[Join_Date]],"yyyy")</f>
        <v>2022</v>
      </c>
      <c r="P233" s="3" t="str">
        <f>LEFT('Main Project Raw Data'!E233,FIND("-",'Main Project Raw Data'!E233)-1)</f>
        <v>DevOps</v>
      </c>
      <c r="Q233" s="3" t="str">
        <f>RIGHT('Main Project Raw Data'!E233,LEN('Main Project Raw Data'!E233)-FIND("-",'Main Project Raw Data'!E233))</f>
        <v>Florida</v>
      </c>
    </row>
    <row r="234" spans="1:17" x14ac:dyDescent="0.3">
      <c r="A234" s="3" t="str">
        <f>TRIM(Table1[[#This Row],[Employee_ID]])</f>
        <v>EMP1232</v>
      </c>
      <c r="B234" s="3" t="str">
        <f>TRIM(Table1[[#This Row],[First_Name]])</f>
        <v>Frank</v>
      </c>
      <c r="C234" s="3" t="str">
        <f>TRIM(Table1[[#This Row],[Last_Name]])</f>
        <v>Brown</v>
      </c>
      <c r="D234" s="3">
        <f>IF(Table1[[#This Row],[Age]]="",AVERAGE(Table1[Age]),Table1[[#This Row],[Age]])</f>
        <v>32.484548825710753</v>
      </c>
      <c r="E234" s="3" t="s">
        <v>70</v>
      </c>
      <c r="F234" s="3" t="s">
        <v>28</v>
      </c>
      <c r="G234" s="5">
        <f>IF(ISNUMBER('Main Project Raw Data'!G234),'Main Project Raw Data'!G234,IF(ISNUMBER(SEARCH("/",'Main Project Raw Data'!G234)),DATE(RIGHT('Main Project Raw Data'!G234,4),LEFT('Main Project Raw Data'!G234,FIND("/",'Main Project Raw Data'!G234)-1),MID('Main Project Raw Data'!G234,FIND("/",'Main Project Raw Data'!G234)+1,2)),DATE(RIGHT('Main Project Raw Data'!G234,4),MID('Main Project Raw Data'!G234,4,2),LEFT('Main Project Raw Data'!G234,2))))</f>
        <v>45510</v>
      </c>
      <c r="H234" s="3">
        <f>IF(Table1[[#This Row],[Salary]]="",AVERAGE(Table1[Salary]),Table1[[#This Row],[Salary]])</f>
        <v>116353.31</v>
      </c>
      <c r="I234" s="3" t="s">
        <v>239</v>
      </c>
      <c r="J234" s="3">
        <f>ABS(Table1[[#This Row],[Phone]])</f>
        <v>1783099973</v>
      </c>
      <c r="K234" s="3" t="str">
        <f>PROPER(TRIM(Table1[[#This Row],[Performance_Score]]))</f>
        <v>Poor</v>
      </c>
      <c r="L234" s="3" t="b">
        <f>Table1[[#This Row],[Remote_Work]]</f>
        <v>1</v>
      </c>
      <c r="M234" s="3" t="str">
        <f>PROPER(CONCATENATE(Table13[[#This Row],[First_Name]], Table13[[#This Row],[Last_Name]]))</f>
        <v>Frankbrown</v>
      </c>
      <c r="N234" s="3" t="str">
        <f t="shared" si="3"/>
        <v>Aug</v>
      </c>
      <c r="O234" s="3" t="str">
        <f>TEXT(Table13[[#This Row],[Join_Date]],"yyyy")</f>
        <v>2024</v>
      </c>
      <c r="P234" s="3" t="str">
        <f>LEFT('Main Project Raw Data'!E234,FIND("-",'Main Project Raw Data'!E234)-1)</f>
        <v>Finance</v>
      </c>
      <c r="Q234" s="3" t="str">
        <f>RIGHT('Main Project Raw Data'!E234,LEN('Main Project Raw Data'!E234)-FIND("-",'Main Project Raw Data'!E234))</f>
        <v>California</v>
      </c>
    </row>
    <row r="235" spans="1:17" x14ac:dyDescent="0.3">
      <c r="A235" s="3" t="str">
        <f>TRIM(Table1[[#This Row],[Employee_ID]])</f>
        <v>EMP1233</v>
      </c>
      <c r="B235" s="3" t="str">
        <f>TRIM(Table1[[#This Row],[First_Name]])</f>
        <v>Grace</v>
      </c>
      <c r="C235" s="3" t="str">
        <f>TRIM(Table1[[#This Row],[Last_Name]])</f>
        <v>Brown</v>
      </c>
      <c r="D235" s="3">
        <f>IF(Table1[[#This Row],[Age]]="",AVERAGE(Table1[Age]),Table1[[#This Row],[Age]])</f>
        <v>35</v>
      </c>
      <c r="E235" s="3" t="s">
        <v>219</v>
      </c>
      <c r="F235" s="3" t="s">
        <v>28</v>
      </c>
      <c r="G235" s="5">
        <f>IF(ISNUMBER('Main Project Raw Data'!G235),'Main Project Raw Data'!G235,IF(ISNUMBER(SEARCH("/",'Main Project Raw Data'!G235)),DATE(RIGHT('Main Project Raw Data'!G235,4),LEFT('Main Project Raw Data'!G235,FIND("/",'Main Project Raw Data'!G235)-1),MID('Main Project Raw Data'!G235,FIND("/",'Main Project Raw Data'!G235)+1,2)),DATE(RIGHT('Main Project Raw Data'!G235,4),MID('Main Project Raw Data'!G235,4,2),LEFT('Main Project Raw Data'!G235,2))))</f>
        <v>44158</v>
      </c>
      <c r="H235" s="3">
        <f>IF(Table1[[#This Row],[Salary]]="",AVERAGE(Table1[Salary]),Table1[[#This Row],[Salary]])</f>
        <v>116695.26</v>
      </c>
      <c r="I235" s="3" t="s">
        <v>201</v>
      </c>
      <c r="J235" s="3">
        <f>ABS(Table1[[#This Row],[Phone]])</f>
        <v>1926764920</v>
      </c>
      <c r="K235" s="3" t="str">
        <f>PROPER(TRIM(Table1[[#This Row],[Performance_Score]]))</f>
        <v>Good</v>
      </c>
      <c r="L235" s="3" t="b">
        <f>Table1[[#This Row],[Remote_Work]]</f>
        <v>0</v>
      </c>
      <c r="M235" s="3" t="str">
        <f>PROPER(CONCATENATE(Table13[[#This Row],[First_Name]], Table13[[#This Row],[Last_Name]]))</f>
        <v>Gracebrown</v>
      </c>
      <c r="N235" s="3" t="str">
        <f t="shared" si="3"/>
        <v>Nov</v>
      </c>
      <c r="O235" s="3" t="str">
        <f>TEXT(Table13[[#This Row],[Join_Date]],"yyyy")</f>
        <v>2020</v>
      </c>
      <c r="P235" s="3" t="str">
        <f>LEFT('Main Project Raw Data'!E235,FIND("-",'Main Project Raw Data'!E235)-1)</f>
        <v>Sales</v>
      </c>
      <c r="Q235" s="3" t="str">
        <f>RIGHT('Main Project Raw Data'!E235,LEN('Main Project Raw Data'!E235)-FIND("-",'Main Project Raw Data'!E235))</f>
        <v>Nevada</v>
      </c>
    </row>
    <row r="236" spans="1:17" x14ac:dyDescent="0.3">
      <c r="A236" s="3" t="str">
        <f>TRIM(Table1[[#This Row],[Employee_ID]])</f>
        <v>EMP1234</v>
      </c>
      <c r="B236" s="3" t="str">
        <f>TRIM(Table1[[#This Row],[First_Name]])</f>
        <v>Heidi</v>
      </c>
      <c r="C236" s="3" t="str">
        <f>TRIM(Table1[[#This Row],[Last_Name]])</f>
        <v>Brown</v>
      </c>
      <c r="D236" s="3">
        <f>IF(Table1[[#This Row],[Age]]="",AVERAGE(Table1[Age]),Table1[[#This Row],[Age]])</f>
        <v>25</v>
      </c>
      <c r="E236" s="3" t="s">
        <v>103</v>
      </c>
      <c r="F236" s="3" t="s">
        <v>16</v>
      </c>
      <c r="G236" s="5">
        <f>IF(ISNUMBER('Main Project Raw Data'!G236),'Main Project Raw Data'!G236,IF(ISNUMBER(SEARCH("/",'Main Project Raw Data'!G236)),DATE(RIGHT('Main Project Raw Data'!G236,4),LEFT('Main Project Raw Data'!G236,FIND("/",'Main Project Raw Data'!G236)-1),MID('Main Project Raw Data'!G236,FIND("/",'Main Project Raw Data'!G236)+1,2)),DATE(RIGHT('Main Project Raw Data'!G236,4),MID('Main Project Raw Data'!G236,4,2),LEFT('Main Project Raw Data'!G236,2))))</f>
        <v>45425</v>
      </c>
      <c r="H236" s="3">
        <f>IF(Table1[[#This Row],[Salary]]="",AVERAGE(Table1[Salary]),Table1[[#This Row],[Salary]])</f>
        <v>95161.4</v>
      </c>
      <c r="I236" s="3" t="s">
        <v>403</v>
      </c>
      <c r="J236" s="3">
        <f>ABS(Table1[[#This Row],[Phone]])</f>
        <v>5182606887</v>
      </c>
      <c r="K236" s="3" t="str">
        <f>PROPER(TRIM(Table1[[#This Row],[Performance_Score]]))</f>
        <v>Excellent</v>
      </c>
      <c r="L236" s="3" t="b">
        <f>Table1[[#This Row],[Remote_Work]]</f>
        <v>0</v>
      </c>
      <c r="M236" s="3" t="str">
        <f>PROPER(CONCATENATE(Table13[[#This Row],[First_Name]], Table13[[#This Row],[Last_Name]]))</f>
        <v>Heidibrown</v>
      </c>
      <c r="N236" s="3" t="str">
        <f t="shared" si="3"/>
        <v>May</v>
      </c>
      <c r="O236" s="3" t="str">
        <f>TEXT(Table13[[#This Row],[Join_Date]],"yyyy")</f>
        <v>2024</v>
      </c>
      <c r="P236" s="3" t="str">
        <f>LEFT('Main Project Raw Data'!E236,FIND("-",'Main Project Raw Data'!E236)-1)</f>
        <v>Admin</v>
      </c>
      <c r="Q236" s="3" t="str">
        <f>RIGHT('Main Project Raw Data'!E236,LEN('Main Project Raw Data'!E236)-FIND("-",'Main Project Raw Data'!E236))</f>
        <v>Texas</v>
      </c>
    </row>
    <row r="237" spans="1:17" x14ac:dyDescent="0.3">
      <c r="A237" s="3" t="str">
        <f>TRIM(Table1[[#This Row],[Employee_ID]])</f>
        <v>EMP1235</v>
      </c>
      <c r="B237" s="3" t="str">
        <f>TRIM(Table1[[#This Row],[First_Name]])</f>
        <v>Alice</v>
      </c>
      <c r="C237" s="3" t="str">
        <f>TRIM(Table1[[#This Row],[Last_Name]])</f>
        <v>Brown</v>
      </c>
      <c r="D237" s="3">
        <f>IF(Table1[[#This Row],[Age]]="",AVERAGE(Table1[Age]),Table1[[#This Row],[Age]])</f>
        <v>32.484548825710753</v>
      </c>
      <c r="E237" s="3" t="s">
        <v>27</v>
      </c>
      <c r="F237" s="3" t="s">
        <v>33</v>
      </c>
      <c r="G237" s="5">
        <f>IF(ISNUMBER('Main Project Raw Data'!G237),'Main Project Raw Data'!G237,IF(ISNUMBER(SEARCH("/",'Main Project Raw Data'!G237)),DATE(RIGHT('Main Project Raw Data'!G237,4),LEFT('Main Project Raw Data'!G237,FIND("/",'Main Project Raw Data'!G237)-1),MID('Main Project Raw Data'!G237,FIND("/",'Main Project Raw Data'!G237)+1,2)),DATE(RIGHT('Main Project Raw Data'!G237,4),MID('Main Project Raw Data'!G237,4,2),LEFT('Main Project Raw Data'!G237,2))))</f>
        <v>44590</v>
      </c>
      <c r="H237" s="3">
        <f>IF(Table1[[#This Row],[Salary]]="",AVERAGE(Table1[Salary]),Table1[[#This Row],[Salary]])</f>
        <v>76040.94</v>
      </c>
      <c r="I237" s="3" t="s">
        <v>80</v>
      </c>
      <c r="J237" s="3">
        <f>ABS(Table1[[#This Row],[Phone]])</f>
        <v>7189813128</v>
      </c>
      <c r="K237" s="3" t="str">
        <f>PROPER(TRIM(Table1[[#This Row],[Performance_Score]]))</f>
        <v>Good</v>
      </c>
      <c r="L237" s="3" t="b">
        <f>Table1[[#This Row],[Remote_Work]]</f>
        <v>1</v>
      </c>
      <c r="M237" s="3" t="str">
        <f>PROPER(CONCATENATE(Table13[[#This Row],[First_Name]], Table13[[#This Row],[Last_Name]]))</f>
        <v>Alicebrown</v>
      </c>
      <c r="N237" s="3" t="str">
        <f t="shared" si="3"/>
        <v>Jan</v>
      </c>
      <c r="O237" s="3" t="str">
        <f>TEXT(Table13[[#This Row],[Join_Date]],"yyyy")</f>
        <v>2022</v>
      </c>
      <c r="P237" s="3" t="str">
        <f>LEFT('Main Project Raw Data'!E237,FIND("-",'Main Project Raw Data'!E237)-1)</f>
        <v>Admin</v>
      </c>
      <c r="Q237" s="3" t="str">
        <f>RIGHT('Main Project Raw Data'!E237,LEN('Main Project Raw Data'!E237)-FIND("-",'Main Project Raw Data'!E237))</f>
        <v>Nevada</v>
      </c>
    </row>
    <row r="238" spans="1:17" x14ac:dyDescent="0.3">
      <c r="A238" s="3" t="str">
        <f>TRIM(Table1[[#This Row],[Employee_ID]])</f>
        <v>EMP1236</v>
      </c>
      <c r="B238" s="3" t="str">
        <f>TRIM(Table1[[#This Row],[First_Name]])</f>
        <v>Charlie</v>
      </c>
      <c r="C238" s="3" t="str">
        <f>TRIM(Table1[[#This Row],[Last_Name]])</f>
        <v>Miller</v>
      </c>
      <c r="D238" s="3">
        <f>IF(Table1[[#This Row],[Age]]="",AVERAGE(Table1[Age]),Table1[[#This Row],[Age]])</f>
        <v>32.484548825710753</v>
      </c>
      <c r="E238" s="3" t="s">
        <v>212</v>
      </c>
      <c r="F238" s="3" t="s">
        <v>33</v>
      </c>
      <c r="G238" s="5">
        <f>IF(ISNUMBER('Main Project Raw Data'!G238),'Main Project Raw Data'!G238,IF(ISNUMBER(SEARCH("/",'Main Project Raw Data'!G238)),DATE(RIGHT('Main Project Raw Data'!G238,4),LEFT('Main Project Raw Data'!G238,FIND("/",'Main Project Raw Data'!G238)-1),MID('Main Project Raw Data'!G238,FIND("/",'Main Project Raw Data'!G238)+1,2)),DATE(RIGHT('Main Project Raw Data'!G238,4),MID('Main Project Raw Data'!G238,4,2),LEFT('Main Project Raw Data'!G238,2))))</f>
        <v>45161</v>
      </c>
      <c r="H238" s="3">
        <f>IF(Table1[[#This Row],[Salary]]="",AVERAGE(Table1[Salary]),Table1[[#This Row],[Salary]])</f>
        <v>69508.28</v>
      </c>
      <c r="I238" s="3" t="s">
        <v>501</v>
      </c>
      <c r="J238" s="3">
        <f>ABS(Table1[[#This Row],[Phone]])</f>
        <v>2087510292</v>
      </c>
      <c r="K238" s="3" t="str">
        <f>PROPER(TRIM(Table1[[#This Row],[Performance_Score]]))</f>
        <v>Good</v>
      </c>
      <c r="L238" s="3" t="b">
        <f>Table1[[#This Row],[Remote_Work]]</f>
        <v>0</v>
      </c>
      <c r="M238" s="3" t="str">
        <f>PROPER(CONCATENATE(Table13[[#This Row],[First_Name]], Table13[[#This Row],[Last_Name]]))</f>
        <v>Charliemiller</v>
      </c>
      <c r="N238" s="3" t="str">
        <f t="shared" si="3"/>
        <v>Aug</v>
      </c>
      <c r="O238" s="3" t="str">
        <f>TEXT(Table13[[#This Row],[Join_Date]],"yyyy")</f>
        <v>2023</v>
      </c>
      <c r="P238" s="3" t="str">
        <f>LEFT('Main Project Raw Data'!E238,FIND("-",'Main Project Raw Data'!E238)-1)</f>
        <v>HR</v>
      </c>
      <c r="Q238" s="3" t="str">
        <f>RIGHT('Main Project Raw Data'!E238,LEN('Main Project Raw Data'!E238)-FIND("-",'Main Project Raw Data'!E238))</f>
        <v>Florida</v>
      </c>
    </row>
    <row r="239" spans="1:17" x14ac:dyDescent="0.3">
      <c r="A239" s="3" t="str">
        <f>TRIM(Table1[[#This Row],[Employee_ID]])</f>
        <v>EMP1237</v>
      </c>
      <c r="B239" s="3" t="str">
        <f>TRIM(Table1[[#This Row],[First_Name]])</f>
        <v>Alice</v>
      </c>
      <c r="C239" s="3" t="str">
        <f>TRIM(Table1[[#This Row],[Last_Name]])</f>
        <v>Miller</v>
      </c>
      <c r="D239" s="3">
        <f>IF(Table1[[#This Row],[Age]]="",AVERAGE(Table1[Age]),Table1[[#This Row],[Age]])</f>
        <v>30</v>
      </c>
      <c r="E239" s="3" t="s">
        <v>265</v>
      </c>
      <c r="F239" s="3" t="s">
        <v>33</v>
      </c>
      <c r="G239" s="5">
        <f>IF(ISNUMBER('Main Project Raw Data'!G239),'Main Project Raw Data'!G239,IF(ISNUMBER(SEARCH("/",'Main Project Raw Data'!G239)),DATE(RIGHT('Main Project Raw Data'!G239,4),LEFT('Main Project Raw Data'!G239,FIND("/",'Main Project Raw Data'!G239)-1),MID('Main Project Raw Data'!G239,FIND("/",'Main Project Raw Data'!G239)+1,2)),DATE(RIGHT('Main Project Raw Data'!G239,4),MID('Main Project Raw Data'!G239,4,2),LEFT('Main Project Raw Data'!G239,2))))</f>
        <v>44981</v>
      </c>
      <c r="H239" s="3">
        <f>IF(Table1[[#This Row],[Salary]]="",AVERAGE(Table1[Salary]),Table1[[#This Row],[Salary]])</f>
        <v>58243.27</v>
      </c>
      <c r="I239" s="3" t="s">
        <v>166</v>
      </c>
      <c r="J239" s="3">
        <f>ABS(Table1[[#This Row],[Phone]])</f>
        <v>2184011844</v>
      </c>
      <c r="K239" s="3" t="str">
        <f>PROPER(TRIM(Table1[[#This Row],[Performance_Score]]))</f>
        <v>Average</v>
      </c>
      <c r="L239" s="3" t="b">
        <f>Table1[[#This Row],[Remote_Work]]</f>
        <v>0</v>
      </c>
      <c r="M239" s="3" t="str">
        <f>PROPER(CONCATENATE(Table13[[#This Row],[First_Name]], Table13[[#This Row],[Last_Name]]))</f>
        <v>Alicemiller</v>
      </c>
      <c r="N239" s="3" t="str">
        <f t="shared" si="3"/>
        <v>Feb</v>
      </c>
      <c r="O239" s="3" t="str">
        <f>TEXT(Table13[[#This Row],[Join_Date]],"yyyy")</f>
        <v>2023</v>
      </c>
      <c r="P239" s="3" t="str">
        <f>LEFT('Main Project Raw Data'!E239,FIND("-",'Main Project Raw Data'!E239)-1)</f>
        <v>Finance</v>
      </c>
      <c r="Q239" s="3" t="str">
        <f>RIGHT('Main Project Raw Data'!E239,LEN('Main Project Raw Data'!E239)-FIND("-",'Main Project Raw Data'!E239))</f>
        <v>Illinois</v>
      </c>
    </row>
    <row r="240" spans="1:17" x14ac:dyDescent="0.3">
      <c r="A240" s="3" t="str">
        <f>TRIM(Table1[[#This Row],[Employee_ID]])</f>
        <v>EMP1238</v>
      </c>
      <c r="B240" s="3" t="str">
        <f>TRIM(Table1[[#This Row],[First_Name]])</f>
        <v>Heidi</v>
      </c>
      <c r="C240" s="3" t="str">
        <f>TRIM(Table1[[#This Row],[Last_Name]])</f>
        <v>Williams</v>
      </c>
      <c r="D240" s="3">
        <f>IF(Table1[[#This Row],[Age]]="",AVERAGE(Table1[Age]),Table1[[#This Row],[Age]])</f>
        <v>30</v>
      </c>
      <c r="E240" s="3" t="s">
        <v>177</v>
      </c>
      <c r="F240" s="3" t="s">
        <v>28</v>
      </c>
      <c r="G240" s="5">
        <f>IF(ISNUMBER('Main Project Raw Data'!G240),'Main Project Raw Data'!G240,IF(ISNUMBER(SEARCH("/",'Main Project Raw Data'!G240)),DATE(RIGHT('Main Project Raw Data'!G240,4),LEFT('Main Project Raw Data'!G240,FIND("/",'Main Project Raw Data'!G240)-1),MID('Main Project Raw Data'!G240,FIND("/",'Main Project Raw Data'!G240)+1,2)),DATE(RIGHT('Main Project Raw Data'!G240,4),MID('Main Project Raw Data'!G240,4,2),LEFT('Main Project Raw Data'!G240,2))))</f>
        <v>44602</v>
      </c>
      <c r="H240" s="3">
        <f>IF(Table1[[#This Row],[Salary]]="",AVERAGE(Table1[Salary]),Table1[[#This Row],[Salary]])</f>
        <v>64012.480000000003</v>
      </c>
      <c r="I240" s="3" t="s">
        <v>67</v>
      </c>
      <c r="J240" s="3">
        <f>ABS(Table1[[#This Row],[Phone]])</f>
        <v>8260340847</v>
      </c>
      <c r="K240" s="3" t="str">
        <f>PROPER(TRIM(Table1[[#This Row],[Performance_Score]]))</f>
        <v>Poor</v>
      </c>
      <c r="L240" s="3" t="b">
        <f>Table1[[#This Row],[Remote_Work]]</f>
        <v>1</v>
      </c>
      <c r="M240" s="3" t="str">
        <f>PROPER(CONCATENATE(Table13[[#This Row],[First_Name]], Table13[[#This Row],[Last_Name]]))</f>
        <v>Heidiwilliams</v>
      </c>
      <c r="N240" s="3" t="str">
        <f t="shared" si="3"/>
        <v>Feb</v>
      </c>
      <c r="O240" s="3" t="str">
        <f>TEXT(Table13[[#This Row],[Join_Date]],"yyyy")</f>
        <v>2022</v>
      </c>
      <c r="P240" s="3" t="str">
        <f>LEFT('Main Project Raw Data'!E240,FIND("-",'Main Project Raw Data'!E240)-1)</f>
        <v>Sales</v>
      </c>
      <c r="Q240" s="3" t="str">
        <f>RIGHT('Main Project Raw Data'!E240,LEN('Main Project Raw Data'!E240)-FIND("-",'Main Project Raw Data'!E240))</f>
        <v>California</v>
      </c>
    </row>
    <row r="241" spans="1:17" x14ac:dyDescent="0.3">
      <c r="A241" s="3" t="str">
        <f>TRIM(Table1[[#This Row],[Employee_ID]])</f>
        <v>EMP1239</v>
      </c>
      <c r="B241" s="3" t="str">
        <f>TRIM(Table1[[#This Row],[First_Name]])</f>
        <v>Bob</v>
      </c>
      <c r="C241" s="3" t="str">
        <f>TRIM(Table1[[#This Row],[Last_Name]])</f>
        <v>Garcia</v>
      </c>
      <c r="D241" s="3">
        <f>IF(Table1[[#This Row],[Age]]="",AVERAGE(Table1[Age]),Table1[[#This Row],[Age]])</f>
        <v>40</v>
      </c>
      <c r="E241" s="3" t="s">
        <v>27</v>
      </c>
      <c r="F241" s="3" t="s">
        <v>33</v>
      </c>
      <c r="G241" s="5">
        <f>IF(ISNUMBER('Main Project Raw Data'!G241),'Main Project Raw Data'!G241,IF(ISNUMBER(SEARCH("/",'Main Project Raw Data'!G241)),DATE(RIGHT('Main Project Raw Data'!G241,4),LEFT('Main Project Raw Data'!G241,FIND("/",'Main Project Raw Data'!G241)-1),MID('Main Project Raw Data'!G241,FIND("/",'Main Project Raw Data'!G241)+1,2)),DATE(RIGHT('Main Project Raw Data'!G241,4),MID('Main Project Raw Data'!G241,4,2),LEFT('Main Project Raw Data'!G241,2))))</f>
        <v>44010</v>
      </c>
      <c r="H241" s="3">
        <f>IF(Table1[[#This Row],[Salary]]="",AVERAGE(Table1[Salary]),Table1[[#This Row],[Salary]])</f>
        <v>106735.93</v>
      </c>
      <c r="I241" s="3" t="s">
        <v>153</v>
      </c>
      <c r="J241" s="3">
        <f>ABS(Table1[[#This Row],[Phone]])</f>
        <v>7297585987</v>
      </c>
      <c r="K241" s="3" t="str">
        <f>PROPER(TRIM(Table1[[#This Row],[Performance_Score]]))</f>
        <v>Average</v>
      </c>
      <c r="L241" s="3" t="b">
        <f>Table1[[#This Row],[Remote_Work]]</f>
        <v>1</v>
      </c>
      <c r="M241" s="3" t="str">
        <f>PROPER(CONCATENATE(Table13[[#This Row],[First_Name]], Table13[[#This Row],[Last_Name]]))</f>
        <v>Bobgarcia</v>
      </c>
      <c r="N241" s="3" t="str">
        <f t="shared" si="3"/>
        <v>Jun</v>
      </c>
      <c r="O241" s="3" t="str">
        <f>TEXT(Table13[[#This Row],[Join_Date]],"yyyy")</f>
        <v>2020</v>
      </c>
      <c r="P241" s="3" t="str">
        <f>LEFT('Main Project Raw Data'!E241,FIND("-",'Main Project Raw Data'!E241)-1)</f>
        <v>Admin</v>
      </c>
      <c r="Q241" s="3" t="str">
        <f>RIGHT('Main Project Raw Data'!E241,LEN('Main Project Raw Data'!E241)-FIND("-",'Main Project Raw Data'!E241))</f>
        <v>Nevada</v>
      </c>
    </row>
    <row r="242" spans="1:17" x14ac:dyDescent="0.3">
      <c r="A242" s="3" t="str">
        <f>TRIM(Table1[[#This Row],[Employee_ID]])</f>
        <v>EMP1240</v>
      </c>
      <c r="B242" s="3" t="str">
        <f>TRIM(Table1[[#This Row],[First_Name]])</f>
        <v>Frank</v>
      </c>
      <c r="C242" s="3" t="str">
        <f>TRIM(Table1[[#This Row],[Last_Name]])</f>
        <v>Johnson</v>
      </c>
      <c r="D242" s="3">
        <f>IF(Table1[[#This Row],[Age]]="",AVERAGE(Table1[Age]),Table1[[#This Row],[Age]])</f>
        <v>35</v>
      </c>
      <c r="E242" s="3" t="s">
        <v>237</v>
      </c>
      <c r="F242" s="3" t="s">
        <v>28</v>
      </c>
      <c r="G242" s="5">
        <f>IF(ISNUMBER('Main Project Raw Data'!G242),'Main Project Raw Data'!G242,IF(ISNUMBER(SEARCH("/",'Main Project Raw Data'!G242)),DATE(RIGHT('Main Project Raw Data'!G242,4),LEFT('Main Project Raw Data'!G242,FIND("/",'Main Project Raw Data'!G242)-1),MID('Main Project Raw Data'!G242,FIND("/",'Main Project Raw Data'!G242)+1,2)),DATE(RIGHT('Main Project Raw Data'!G242,4),MID('Main Project Raw Data'!G242,4,2),LEFT('Main Project Raw Data'!G242,2))))</f>
        <v>44941</v>
      </c>
      <c r="H242" s="3">
        <f>IF(Table1[[#This Row],[Salary]]="",AVERAGE(Table1[Salary]),Table1[[#This Row],[Salary]])</f>
        <v>70325.36</v>
      </c>
      <c r="I242" s="3" t="s">
        <v>271</v>
      </c>
      <c r="J242" s="3">
        <f>ABS(Table1[[#This Row],[Phone]])</f>
        <v>3103032431</v>
      </c>
      <c r="K242" s="3" t="str">
        <f>PROPER(TRIM(Table1[[#This Row],[Performance_Score]]))</f>
        <v>Average</v>
      </c>
      <c r="L242" s="3" t="b">
        <f>Table1[[#This Row],[Remote_Work]]</f>
        <v>0</v>
      </c>
      <c r="M242" s="3" t="str">
        <f>PROPER(CONCATENATE(Table13[[#This Row],[First_Name]], Table13[[#This Row],[Last_Name]]))</f>
        <v>Frankjohnson</v>
      </c>
      <c r="N242" s="3" t="str">
        <f t="shared" si="3"/>
        <v>Jan</v>
      </c>
      <c r="O242" s="3" t="str">
        <f>TEXT(Table13[[#This Row],[Join_Date]],"yyyy")</f>
        <v>2023</v>
      </c>
      <c r="P242" s="3" t="str">
        <f>LEFT('Main Project Raw Data'!E242,FIND("-",'Main Project Raw Data'!E242)-1)</f>
        <v>DevOps</v>
      </c>
      <c r="Q242" s="3" t="str">
        <f>RIGHT('Main Project Raw Data'!E242,LEN('Main Project Raw Data'!E242)-FIND("-",'Main Project Raw Data'!E242))</f>
        <v>Texas</v>
      </c>
    </row>
    <row r="243" spans="1:17" x14ac:dyDescent="0.3">
      <c r="A243" s="3" t="str">
        <f>TRIM(Table1[[#This Row],[Employee_ID]])</f>
        <v>EMP1241</v>
      </c>
      <c r="B243" s="3" t="str">
        <f>TRIM(Table1[[#This Row],[First_Name]])</f>
        <v>Charlie</v>
      </c>
      <c r="C243" s="3" t="str">
        <f>TRIM(Table1[[#This Row],[Last_Name]])</f>
        <v>Davis</v>
      </c>
      <c r="D243" s="3">
        <f>IF(Table1[[#This Row],[Age]]="",AVERAGE(Table1[Age]),Table1[[#This Row],[Age]])</f>
        <v>30</v>
      </c>
      <c r="E243" s="3" t="s">
        <v>192</v>
      </c>
      <c r="F243" s="3" t="s">
        <v>16</v>
      </c>
      <c r="G243" s="5">
        <f>IF(ISNUMBER('Main Project Raw Data'!G243),'Main Project Raw Data'!G243,IF(ISNUMBER(SEARCH("/",'Main Project Raw Data'!G243)),DATE(RIGHT('Main Project Raw Data'!G243,4),LEFT('Main Project Raw Data'!G243,FIND("/",'Main Project Raw Data'!G243)-1),MID('Main Project Raw Data'!G243,FIND("/",'Main Project Raw Data'!G243)+1,2)),DATE(RIGHT('Main Project Raw Data'!G243,4),MID('Main Project Raw Data'!G243,4,2),LEFT('Main Project Raw Data'!G243,2))))</f>
        <v>43960</v>
      </c>
      <c r="H243" s="3">
        <f>IF(Table1[[#This Row],[Salary]]="",AVERAGE(Table1[Salary]),Table1[[#This Row],[Salary]])</f>
        <v>118959.28</v>
      </c>
      <c r="I243" s="3" t="s">
        <v>170</v>
      </c>
      <c r="J243" s="3">
        <f>ABS(Table1[[#This Row],[Phone]])</f>
        <v>9839542960</v>
      </c>
      <c r="K243" s="3" t="str">
        <f>PROPER(TRIM(Table1[[#This Row],[Performance_Score]]))</f>
        <v>Average</v>
      </c>
      <c r="L243" s="3" t="b">
        <f>Table1[[#This Row],[Remote_Work]]</f>
        <v>1</v>
      </c>
      <c r="M243" s="3" t="str">
        <f>PROPER(CONCATENATE(Table13[[#This Row],[First_Name]], Table13[[#This Row],[Last_Name]]))</f>
        <v>Charliedavis</v>
      </c>
      <c r="N243" s="3" t="str">
        <f t="shared" si="3"/>
        <v>May</v>
      </c>
      <c r="O243" s="3" t="str">
        <f>TEXT(Table13[[#This Row],[Join_Date]],"yyyy")</f>
        <v>2020</v>
      </c>
      <c r="P243" s="3" t="str">
        <f>LEFT('Main Project Raw Data'!E243,FIND("-",'Main Project Raw Data'!E243)-1)</f>
        <v>HR</v>
      </c>
      <c r="Q243" s="3" t="str">
        <f>RIGHT('Main Project Raw Data'!E243,LEN('Main Project Raw Data'!E243)-FIND("-",'Main Project Raw Data'!E243))</f>
        <v>Illinois</v>
      </c>
    </row>
    <row r="244" spans="1:17" x14ac:dyDescent="0.3">
      <c r="A244" s="3" t="str">
        <f>TRIM(Table1[[#This Row],[Employee_ID]])</f>
        <v>EMP1242</v>
      </c>
      <c r="B244" s="3" t="str">
        <f>TRIM(Table1[[#This Row],[First_Name]])</f>
        <v>David</v>
      </c>
      <c r="C244" s="3" t="str">
        <f>TRIM(Table1[[#This Row],[Last_Name]])</f>
        <v>Brown</v>
      </c>
      <c r="D244" s="3">
        <f>IF(Table1[[#This Row],[Age]]="",AVERAGE(Table1[Age]),Table1[[#This Row],[Age]])</f>
        <v>40</v>
      </c>
      <c r="E244" s="3" t="s">
        <v>268</v>
      </c>
      <c r="F244" s="3" t="s">
        <v>28</v>
      </c>
      <c r="G244" s="5">
        <f>IF(ISNUMBER('Main Project Raw Data'!G244),'Main Project Raw Data'!G244,IF(ISNUMBER(SEARCH("/",'Main Project Raw Data'!G244)),DATE(RIGHT('Main Project Raw Data'!G244,4),LEFT('Main Project Raw Data'!G244,FIND("/",'Main Project Raw Data'!G244)-1),MID('Main Project Raw Data'!G244,FIND("/",'Main Project Raw Data'!G244)+1,2)),DATE(RIGHT('Main Project Raw Data'!G244,4),MID('Main Project Raw Data'!G244,4,2),LEFT('Main Project Raw Data'!G244,2))))</f>
        <v>45003</v>
      </c>
      <c r="H244" s="3">
        <f>IF(Table1[[#This Row],[Salary]]="",AVERAGE(Table1[Salary]),Table1[[#This Row],[Salary]])</f>
        <v>75823.78</v>
      </c>
      <c r="I244" s="3" t="s">
        <v>225</v>
      </c>
      <c r="J244" s="3">
        <f>ABS(Table1[[#This Row],[Phone]])</f>
        <v>8446267145</v>
      </c>
      <c r="K244" s="3" t="str">
        <f>PROPER(TRIM(Table1[[#This Row],[Performance_Score]]))</f>
        <v>Average</v>
      </c>
      <c r="L244" s="3" t="b">
        <f>Table1[[#This Row],[Remote_Work]]</f>
        <v>0</v>
      </c>
      <c r="M244" s="3" t="str">
        <f>PROPER(CONCATENATE(Table13[[#This Row],[First_Name]], Table13[[#This Row],[Last_Name]]))</f>
        <v>Davidbrown</v>
      </c>
      <c r="N244" s="3" t="str">
        <f t="shared" si="3"/>
        <v>Mar</v>
      </c>
      <c r="O244" s="3" t="str">
        <f>TEXT(Table13[[#This Row],[Join_Date]],"yyyy")</f>
        <v>2023</v>
      </c>
      <c r="P244" s="3" t="str">
        <f>LEFT('Main Project Raw Data'!E244,FIND("-",'Main Project Raw Data'!E244)-1)</f>
        <v>Cloud Tech</v>
      </c>
      <c r="Q244" s="3" t="str">
        <f>RIGHT('Main Project Raw Data'!E244,LEN('Main Project Raw Data'!E244)-FIND("-",'Main Project Raw Data'!E244))</f>
        <v>California</v>
      </c>
    </row>
    <row r="245" spans="1:17" x14ac:dyDescent="0.3">
      <c r="A245" s="3" t="str">
        <f>TRIM(Table1[[#This Row],[Employee_ID]])</f>
        <v>EMP1243</v>
      </c>
      <c r="B245" s="3" t="str">
        <f>TRIM(Table1[[#This Row],[First_Name]])</f>
        <v>Charlie</v>
      </c>
      <c r="C245" s="3" t="str">
        <f>TRIM(Table1[[#This Row],[Last_Name]])</f>
        <v>Smith</v>
      </c>
      <c r="D245" s="3">
        <f>IF(Table1[[#This Row],[Age]]="",AVERAGE(Table1[Age]),Table1[[#This Row],[Age]])</f>
        <v>32.484548825710753</v>
      </c>
      <c r="E245" s="3" t="s">
        <v>159</v>
      </c>
      <c r="F245" s="3" t="s">
        <v>33</v>
      </c>
      <c r="G245" s="5">
        <f>IF(ISNUMBER('Main Project Raw Data'!G245),'Main Project Raw Data'!G245,IF(ISNUMBER(SEARCH("/",'Main Project Raw Data'!G245)),DATE(RIGHT('Main Project Raw Data'!G245,4),LEFT('Main Project Raw Data'!G245,FIND("/",'Main Project Raw Data'!G245)-1),MID('Main Project Raw Data'!G245,FIND("/",'Main Project Raw Data'!G245)+1,2)),DATE(RIGHT('Main Project Raw Data'!G245,4),MID('Main Project Raw Data'!G245,4,2),LEFT('Main Project Raw Data'!G245,2))))</f>
        <v>44646</v>
      </c>
      <c r="H245" s="3">
        <f>IF(Table1[[#This Row],[Salary]]="",AVERAGE(Table1[Salary]),Table1[[#This Row],[Salary]])</f>
        <v>119971.65</v>
      </c>
      <c r="I245" s="3" t="s">
        <v>194</v>
      </c>
      <c r="J245" s="3">
        <f>ABS(Table1[[#This Row],[Phone]])</f>
        <v>2831435988</v>
      </c>
      <c r="K245" s="3" t="str">
        <f>PROPER(TRIM(Table1[[#This Row],[Performance_Score]]))</f>
        <v>Average</v>
      </c>
      <c r="L245" s="3" t="b">
        <f>Table1[[#This Row],[Remote_Work]]</f>
        <v>0</v>
      </c>
      <c r="M245" s="3" t="str">
        <f>PROPER(CONCATENATE(Table13[[#This Row],[First_Name]], Table13[[#This Row],[Last_Name]]))</f>
        <v>Charliesmith</v>
      </c>
      <c r="N245" s="3" t="str">
        <f t="shared" si="3"/>
        <v>Mar</v>
      </c>
      <c r="O245" s="3" t="str">
        <f>TEXT(Table13[[#This Row],[Join_Date]],"yyyy")</f>
        <v>2022</v>
      </c>
      <c r="P245" s="3" t="str">
        <f>LEFT('Main Project Raw Data'!E245,FIND("-",'Main Project Raw Data'!E245)-1)</f>
        <v>Cloud Tech</v>
      </c>
      <c r="Q245" s="3" t="str">
        <f>RIGHT('Main Project Raw Data'!E245,LEN('Main Project Raw Data'!E245)-FIND("-",'Main Project Raw Data'!E245))</f>
        <v>Texas</v>
      </c>
    </row>
    <row r="246" spans="1:17" x14ac:dyDescent="0.3">
      <c r="A246" s="3" t="str">
        <f>TRIM(Table1[[#This Row],[Employee_ID]])</f>
        <v>EMP1244</v>
      </c>
      <c r="B246" s="3" t="str">
        <f>TRIM(Table1[[#This Row],[First_Name]])</f>
        <v>Grace</v>
      </c>
      <c r="C246" s="3" t="str">
        <f>TRIM(Table1[[#This Row],[Last_Name]])</f>
        <v>Davis</v>
      </c>
      <c r="D246" s="3">
        <f>IF(Table1[[#This Row],[Age]]="",AVERAGE(Table1[Age]),Table1[[#This Row],[Age]])</f>
        <v>40</v>
      </c>
      <c r="E246" s="3" t="s">
        <v>44</v>
      </c>
      <c r="F246" s="3" t="s">
        <v>16</v>
      </c>
      <c r="G246" s="5">
        <f>IF(ISNUMBER('Main Project Raw Data'!G246),'Main Project Raw Data'!G246,IF(ISNUMBER(SEARCH("/",'Main Project Raw Data'!G246)),DATE(RIGHT('Main Project Raw Data'!G246,4),LEFT('Main Project Raw Data'!G246,FIND("/",'Main Project Raw Data'!G246)-1),MID('Main Project Raw Data'!G246,FIND("/",'Main Project Raw Data'!G246)+1,2)),DATE(RIGHT('Main Project Raw Data'!G246,4),MID('Main Project Raw Data'!G246,4,2),LEFT('Main Project Raw Data'!G246,2))))</f>
        <v>44510</v>
      </c>
      <c r="H246" s="3">
        <f>IF(Table1[[#This Row],[Salary]]="",AVERAGE(Table1[Salary]),Table1[[#This Row],[Salary]])</f>
        <v>94963.7</v>
      </c>
      <c r="I246" s="3" t="s">
        <v>235</v>
      </c>
      <c r="J246" s="3">
        <f>ABS(Table1[[#This Row],[Phone]])</f>
        <v>2625660930</v>
      </c>
      <c r="K246" s="3" t="str">
        <f>PROPER(TRIM(Table1[[#This Row],[Performance_Score]]))</f>
        <v>Good</v>
      </c>
      <c r="L246" s="3" t="b">
        <f>Table1[[#This Row],[Remote_Work]]</f>
        <v>0</v>
      </c>
      <c r="M246" s="3" t="str">
        <f>PROPER(CONCATENATE(Table13[[#This Row],[First_Name]], Table13[[#This Row],[Last_Name]]))</f>
        <v>Gracedavis</v>
      </c>
      <c r="N246" s="3" t="str">
        <f t="shared" si="3"/>
        <v>Nov</v>
      </c>
      <c r="O246" s="3" t="str">
        <f>TEXT(Table13[[#This Row],[Join_Date]],"yyyy")</f>
        <v>2021</v>
      </c>
      <c r="P246" s="3" t="str">
        <f>LEFT('Main Project Raw Data'!E246,FIND("-",'Main Project Raw Data'!E246)-1)</f>
        <v>Sales</v>
      </c>
      <c r="Q246" s="3" t="str">
        <f>RIGHT('Main Project Raw Data'!E246,LEN('Main Project Raw Data'!E246)-FIND("-",'Main Project Raw Data'!E246))</f>
        <v>Texas</v>
      </c>
    </row>
    <row r="247" spans="1:17" x14ac:dyDescent="0.3">
      <c r="A247" s="3" t="str">
        <f>TRIM(Table1[[#This Row],[Employee_ID]])</f>
        <v>EMP1245</v>
      </c>
      <c r="B247" s="3" t="str">
        <f>TRIM(Table1[[#This Row],[First_Name]])</f>
        <v>Frank</v>
      </c>
      <c r="C247" s="3" t="str">
        <f>TRIM(Table1[[#This Row],[Last_Name]])</f>
        <v>Miller</v>
      </c>
      <c r="D247" s="3">
        <f>IF(Table1[[#This Row],[Age]]="",AVERAGE(Table1[Age]),Table1[[#This Row],[Age]])</f>
        <v>30</v>
      </c>
      <c r="E247" s="3" t="s">
        <v>219</v>
      </c>
      <c r="F247" s="3" t="s">
        <v>28</v>
      </c>
      <c r="G247" s="5">
        <f>IF(ISNUMBER('Main Project Raw Data'!G247),'Main Project Raw Data'!G247,IF(ISNUMBER(SEARCH("/",'Main Project Raw Data'!G247)),DATE(RIGHT('Main Project Raw Data'!G247,4),LEFT('Main Project Raw Data'!G247,FIND("/",'Main Project Raw Data'!G247)-1),MID('Main Project Raw Data'!G247,FIND("/",'Main Project Raw Data'!G247)+1,2)),DATE(RIGHT('Main Project Raw Data'!G247,4),MID('Main Project Raw Data'!G247,4,2),LEFT('Main Project Raw Data'!G247,2))))</f>
        <v>44378</v>
      </c>
      <c r="H247" s="3">
        <f>IF(Table1[[#This Row],[Salary]]="",AVERAGE(Table1[Salary]),Table1[[#This Row],[Salary]])</f>
        <v>103744.71</v>
      </c>
      <c r="I247" s="3" t="s">
        <v>110</v>
      </c>
      <c r="J247" s="3">
        <f>ABS(Table1[[#This Row],[Phone]])</f>
        <v>4181861514</v>
      </c>
      <c r="K247" s="3" t="str">
        <f>PROPER(TRIM(Table1[[#This Row],[Performance_Score]]))</f>
        <v>Average</v>
      </c>
      <c r="L247" s="3" t="b">
        <f>Table1[[#This Row],[Remote_Work]]</f>
        <v>0</v>
      </c>
      <c r="M247" s="3" t="str">
        <f>PROPER(CONCATENATE(Table13[[#This Row],[First_Name]], Table13[[#This Row],[Last_Name]]))</f>
        <v>Frankmiller</v>
      </c>
      <c r="N247" s="3" t="str">
        <f t="shared" si="3"/>
        <v>Jul</v>
      </c>
      <c r="O247" s="3" t="str">
        <f>TEXT(Table13[[#This Row],[Join_Date]],"yyyy")</f>
        <v>2021</v>
      </c>
      <c r="P247" s="3" t="str">
        <f>LEFT('Main Project Raw Data'!E247,FIND("-",'Main Project Raw Data'!E247)-1)</f>
        <v>Sales</v>
      </c>
      <c r="Q247" s="3" t="str">
        <f>RIGHT('Main Project Raw Data'!E247,LEN('Main Project Raw Data'!E247)-FIND("-",'Main Project Raw Data'!E247))</f>
        <v>Nevada</v>
      </c>
    </row>
    <row r="248" spans="1:17" x14ac:dyDescent="0.3">
      <c r="A248" s="3" t="str">
        <f>TRIM(Table1[[#This Row],[Employee_ID]])</f>
        <v>EMP1246</v>
      </c>
      <c r="B248" s="3" t="str">
        <f>TRIM(Table1[[#This Row],[First_Name]])</f>
        <v>Alice</v>
      </c>
      <c r="C248" s="3" t="str">
        <f>TRIM(Table1[[#This Row],[Last_Name]])</f>
        <v>Smith</v>
      </c>
      <c r="D248" s="3">
        <f>IF(Table1[[#This Row],[Age]]="",AVERAGE(Table1[Age]),Table1[[#This Row],[Age]])</f>
        <v>25</v>
      </c>
      <c r="E248" s="3" t="s">
        <v>109</v>
      </c>
      <c r="F248" s="3" t="s">
        <v>33</v>
      </c>
      <c r="G248" s="5">
        <f>IF(ISNUMBER('Main Project Raw Data'!G248),'Main Project Raw Data'!G248,IF(ISNUMBER(SEARCH("/",'Main Project Raw Data'!G248)),DATE(RIGHT('Main Project Raw Data'!G248,4),LEFT('Main Project Raw Data'!G248,FIND("/",'Main Project Raw Data'!G248)-1),MID('Main Project Raw Data'!G248,FIND("/",'Main Project Raw Data'!G248)+1,2)),DATE(RIGHT('Main Project Raw Data'!G248,4),MID('Main Project Raw Data'!G248,4,2),LEFT('Main Project Raw Data'!G248,2))))</f>
        <v>43902</v>
      </c>
      <c r="H248" s="3">
        <f>IF(Table1[[#This Row],[Salary]]="",AVERAGE(Table1[Salary]),Table1[[#This Row],[Salary]])</f>
        <v>61337.69</v>
      </c>
      <c r="I248" s="3" t="s">
        <v>182</v>
      </c>
      <c r="J248" s="3">
        <f>ABS(Table1[[#This Row],[Phone]])</f>
        <v>5423401635</v>
      </c>
      <c r="K248" s="3" t="str">
        <f>PROPER(TRIM(Table1[[#This Row],[Performance_Score]]))</f>
        <v>Average</v>
      </c>
      <c r="L248" s="3" t="b">
        <f>Table1[[#This Row],[Remote_Work]]</f>
        <v>1</v>
      </c>
      <c r="M248" s="3" t="str">
        <f>PROPER(CONCATENATE(Table13[[#This Row],[First_Name]], Table13[[#This Row],[Last_Name]]))</f>
        <v>Alicesmith</v>
      </c>
      <c r="N248" s="3" t="str">
        <f t="shared" si="3"/>
        <v>Mar</v>
      </c>
      <c r="O248" s="3" t="str">
        <f>TEXT(Table13[[#This Row],[Join_Date]],"yyyy")</f>
        <v>2020</v>
      </c>
      <c r="P248" s="3" t="str">
        <f>LEFT('Main Project Raw Data'!E248,FIND("-",'Main Project Raw Data'!E248)-1)</f>
        <v>Sales</v>
      </c>
      <c r="Q248" s="3" t="str">
        <f>RIGHT('Main Project Raw Data'!E248,LEN('Main Project Raw Data'!E248)-FIND("-",'Main Project Raw Data'!E248))</f>
        <v>New York</v>
      </c>
    </row>
    <row r="249" spans="1:17" x14ac:dyDescent="0.3">
      <c r="A249" s="3" t="str">
        <f>TRIM(Table1[[#This Row],[Employee_ID]])</f>
        <v>EMP1247</v>
      </c>
      <c r="B249" s="3" t="str">
        <f>TRIM(Table1[[#This Row],[First_Name]])</f>
        <v>David</v>
      </c>
      <c r="C249" s="3" t="str">
        <f>TRIM(Table1[[#This Row],[Last_Name]])</f>
        <v>Smith</v>
      </c>
      <c r="D249" s="3">
        <f>IF(Table1[[#This Row],[Age]]="",AVERAGE(Table1[Age]),Table1[[#This Row],[Age]])</f>
        <v>35</v>
      </c>
      <c r="E249" s="3" t="s">
        <v>177</v>
      </c>
      <c r="F249" s="3" t="s">
        <v>16</v>
      </c>
      <c r="G249" s="5">
        <f>IF(ISNUMBER('Main Project Raw Data'!G249),'Main Project Raw Data'!G249,IF(ISNUMBER(SEARCH("/",'Main Project Raw Data'!G249)),DATE(RIGHT('Main Project Raw Data'!G249,4),LEFT('Main Project Raw Data'!G249,FIND("/",'Main Project Raw Data'!G249)-1),MID('Main Project Raw Data'!G249,FIND("/",'Main Project Raw Data'!G249)+1,2)),DATE(RIGHT('Main Project Raw Data'!G249,4),MID('Main Project Raw Data'!G249,4,2),LEFT('Main Project Raw Data'!G249,2))))</f>
        <v>44344</v>
      </c>
      <c r="H249" s="3">
        <f>IF(Table1[[#This Row],[Salary]]="",AVERAGE(Table1[Salary]),Table1[[#This Row],[Salary]])</f>
        <v>63741.13</v>
      </c>
      <c r="I249" s="3" t="s">
        <v>340</v>
      </c>
      <c r="J249" s="3">
        <f>ABS(Table1[[#This Row],[Phone]])</f>
        <v>1128497184</v>
      </c>
      <c r="K249" s="3" t="str">
        <f>PROPER(TRIM(Table1[[#This Row],[Performance_Score]]))</f>
        <v>Poor</v>
      </c>
      <c r="L249" s="3" t="b">
        <f>Table1[[#This Row],[Remote_Work]]</f>
        <v>1</v>
      </c>
      <c r="M249" s="3" t="str">
        <f>PROPER(CONCATENATE(Table13[[#This Row],[First_Name]], Table13[[#This Row],[Last_Name]]))</f>
        <v>Davidsmith</v>
      </c>
      <c r="N249" s="3" t="str">
        <f t="shared" si="3"/>
        <v>May</v>
      </c>
      <c r="O249" s="3" t="str">
        <f>TEXT(Table13[[#This Row],[Join_Date]],"yyyy")</f>
        <v>2021</v>
      </c>
      <c r="P249" s="3" t="str">
        <f>LEFT('Main Project Raw Data'!E249,FIND("-",'Main Project Raw Data'!E249)-1)</f>
        <v>Sales</v>
      </c>
      <c r="Q249" s="3" t="str">
        <f>RIGHT('Main Project Raw Data'!E249,LEN('Main Project Raw Data'!E249)-FIND("-",'Main Project Raw Data'!E249))</f>
        <v>California</v>
      </c>
    </row>
    <row r="250" spans="1:17" x14ac:dyDescent="0.3">
      <c r="A250" s="3" t="str">
        <f>TRIM(Table1[[#This Row],[Employee_ID]])</f>
        <v>EMP1248</v>
      </c>
      <c r="B250" s="3" t="str">
        <f>TRIM(Table1[[#This Row],[First_Name]])</f>
        <v>Eva</v>
      </c>
      <c r="C250" s="3" t="str">
        <f>TRIM(Table1[[#This Row],[Last_Name]])</f>
        <v>Smith</v>
      </c>
      <c r="D250" s="3">
        <f>IF(Table1[[#This Row],[Age]]="",AVERAGE(Table1[Age]),Table1[[#This Row],[Age]])</f>
        <v>30</v>
      </c>
      <c r="E250" s="3" t="s">
        <v>15</v>
      </c>
      <c r="F250" s="3" t="s">
        <v>28</v>
      </c>
      <c r="G250" s="5">
        <f>IF(ISNUMBER('Main Project Raw Data'!G250),'Main Project Raw Data'!G250,IF(ISNUMBER(SEARCH("/",'Main Project Raw Data'!G250)),DATE(RIGHT('Main Project Raw Data'!G250,4),LEFT('Main Project Raw Data'!G250,FIND("/",'Main Project Raw Data'!G250)-1),MID('Main Project Raw Data'!G250,FIND("/",'Main Project Raw Data'!G250)+1,2)),DATE(RIGHT('Main Project Raw Data'!G250,4),MID('Main Project Raw Data'!G250,4,2),LEFT('Main Project Raw Data'!G250,2))))</f>
        <v>44923</v>
      </c>
      <c r="H250" s="3">
        <f>IF(Table1[[#This Row],[Salary]]="",AVERAGE(Table1[Salary]),Table1[[#This Row],[Salary]])</f>
        <v>56539.99</v>
      </c>
      <c r="I250" s="3" t="s">
        <v>521</v>
      </c>
      <c r="J250" s="3">
        <f>ABS(Table1[[#This Row],[Phone]])</f>
        <v>9484910255</v>
      </c>
      <c r="K250" s="3" t="str">
        <f>PROPER(TRIM(Table1[[#This Row],[Performance_Score]]))</f>
        <v>Excellent</v>
      </c>
      <c r="L250" s="3" t="b">
        <f>Table1[[#This Row],[Remote_Work]]</f>
        <v>1</v>
      </c>
      <c r="M250" s="3" t="str">
        <f>PROPER(CONCATENATE(Table13[[#This Row],[First_Name]], Table13[[#This Row],[Last_Name]]))</f>
        <v>Evasmith</v>
      </c>
      <c r="N250" s="3" t="str">
        <f t="shared" si="3"/>
        <v>Dec</v>
      </c>
      <c r="O250" s="3" t="str">
        <f>TEXT(Table13[[#This Row],[Join_Date]],"yyyy")</f>
        <v>2022</v>
      </c>
      <c r="P250" s="3" t="str">
        <f>LEFT('Main Project Raw Data'!E250,FIND("-",'Main Project Raw Data'!E250)-1)</f>
        <v>DevOps</v>
      </c>
      <c r="Q250" s="3" t="str">
        <f>RIGHT('Main Project Raw Data'!E250,LEN('Main Project Raw Data'!E250)-FIND("-",'Main Project Raw Data'!E250))</f>
        <v>California</v>
      </c>
    </row>
    <row r="251" spans="1:17" x14ac:dyDescent="0.3">
      <c r="A251" s="3" t="str">
        <f>TRIM(Table1[[#This Row],[Employee_ID]])</f>
        <v>EMP1249</v>
      </c>
      <c r="B251" s="3" t="str">
        <f>TRIM(Table1[[#This Row],[First_Name]])</f>
        <v>Charlie</v>
      </c>
      <c r="C251" s="3" t="str">
        <f>TRIM(Table1[[#This Row],[Last_Name]])</f>
        <v>Williams</v>
      </c>
      <c r="D251" s="3">
        <f>IF(Table1[[#This Row],[Age]]="",AVERAGE(Table1[Age]),Table1[[#This Row],[Age]])</f>
        <v>30</v>
      </c>
      <c r="E251" s="3" t="s">
        <v>78</v>
      </c>
      <c r="F251" s="3" t="s">
        <v>28</v>
      </c>
      <c r="G251" s="5">
        <f>IF(ISNUMBER('Main Project Raw Data'!G251),'Main Project Raw Data'!G251,IF(ISNUMBER(SEARCH("/",'Main Project Raw Data'!G251)),DATE(RIGHT('Main Project Raw Data'!G251,4),LEFT('Main Project Raw Data'!G251,FIND("/",'Main Project Raw Data'!G251)-1),MID('Main Project Raw Data'!G251,FIND("/",'Main Project Raw Data'!G251)+1,2)),DATE(RIGHT('Main Project Raw Data'!G251,4),MID('Main Project Raw Data'!G251,4,2),LEFT('Main Project Raw Data'!G251,2))))</f>
        <v>45070</v>
      </c>
      <c r="H251" s="3">
        <f>IF(Table1[[#This Row],[Salary]]="",AVERAGE(Table1[Salary]),Table1[[#This Row],[Salary]])</f>
        <v>73633.37</v>
      </c>
      <c r="I251" s="3" t="s">
        <v>90</v>
      </c>
      <c r="J251" s="3">
        <f>ABS(Table1[[#This Row],[Phone]])</f>
        <v>2588967923</v>
      </c>
      <c r="K251" s="3" t="str">
        <f>PROPER(TRIM(Table1[[#This Row],[Performance_Score]]))</f>
        <v>Good</v>
      </c>
      <c r="L251" s="3" t="b">
        <f>Table1[[#This Row],[Remote_Work]]</f>
        <v>1</v>
      </c>
      <c r="M251" s="3" t="str">
        <f>PROPER(CONCATENATE(Table13[[#This Row],[First_Name]], Table13[[#This Row],[Last_Name]]))</f>
        <v>Charliewilliams</v>
      </c>
      <c r="N251" s="3" t="str">
        <f t="shared" si="3"/>
        <v>May</v>
      </c>
      <c r="O251" s="3" t="str">
        <f>TEXT(Table13[[#This Row],[Join_Date]],"yyyy")</f>
        <v>2023</v>
      </c>
      <c r="P251" s="3" t="str">
        <f>LEFT('Main Project Raw Data'!E251,FIND("-",'Main Project Raw Data'!E251)-1)</f>
        <v>DevOps</v>
      </c>
      <c r="Q251" s="3" t="str">
        <f>RIGHT('Main Project Raw Data'!E251,LEN('Main Project Raw Data'!E251)-FIND("-",'Main Project Raw Data'!E251))</f>
        <v>Illinois</v>
      </c>
    </row>
    <row r="252" spans="1:17" x14ac:dyDescent="0.3">
      <c r="A252" s="3" t="str">
        <f>TRIM(Table1[[#This Row],[Employee_ID]])</f>
        <v>EMP1250</v>
      </c>
      <c r="B252" s="3" t="str">
        <f>TRIM(Table1[[#This Row],[First_Name]])</f>
        <v>Alice</v>
      </c>
      <c r="C252" s="3" t="str">
        <f>TRIM(Table1[[#This Row],[Last_Name]])</f>
        <v>Miller</v>
      </c>
      <c r="D252" s="3">
        <f>IF(Table1[[#This Row],[Age]]="",AVERAGE(Table1[Age]),Table1[[#This Row],[Age]])</f>
        <v>25</v>
      </c>
      <c r="E252" s="3" t="s">
        <v>159</v>
      </c>
      <c r="F252" s="3" t="s">
        <v>28</v>
      </c>
      <c r="G252" s="5">
        <f>IF(ISNUMBER('Main Project Raw Data'!G252),'Main Project Raw Data'!G252,IF(ISNUMBER(SEARCH("/",'Main Project Raw Data'!G252)),DATE(RIGHT('Main Project Raw Data'!G252,4),LEFT('Main Project Raw Data'!G252,FIND("/",'Main Project Raw Data'!G252)-1),MID('Main Project Raw Data'!G252,FIND("/",'Main Project Raw Data'!G252)+1,2)),DATE(RIGHT('Main Project Raw Data'!G252,4),MID('Main Project Raw Data'!G252,4,2),LEFT('Main Project Raw Data'!G252,2))))</f>
        <v>45410</v>
      </c>
      <c r="H252" s="3">
        <f>IF(Table1[[#This Row],[Salary]]="",AVERAGE(Table1[Salary]),Table1[[#This Row],[Salary]])</f>
        <v>90373.99</v>
      </c>
      <c r="I252" s="3" t="s">
        <v>166</v>
      </c>
      <c r="J252" s="3">
        <f>ABS(Table1[[#This Row],[Phone]])</f>
        <v>822269404</v>
      </c>
      <c r="K252" s="3" t="str">
        <f>PROPER(TRIM(Table1[[#This Row],[Performance_Score]]))</f>
        <v>Good</v>
      </c>
      <c r="L252" s="3" t="b">
        <f>Table1[[#This Row],[Remote_Work]]</f>
        <v>0</v>
      </c>
      <c r="M252" s="3" t="str">
        <f>PROPER(CONCATENATE(Table13[[#This Row],[First_Name]], Table13[[#This Row],[Last_Name]]))</f>
        <v>Alicemiller</v>
      </c>
      <c r="N252" s="3" t="str">
        <f t="shared" si="3"/>
        <v>Apr</v>
      </c>
      <c r="O252" s="3" t="str">
        <f>TEXT(Table13[[#This Row],[Join_Date]],"yyyy")</f>
        <v>2024</v>
      </c>
      <c r="P252" s="3" t="str">
        <f>LEFT('Main Project Raw Data'!E252,FIND("-",'Main Project Raw Data'!E252)-1)</f>
        <v>Cloud Tech</v>
      </c>
      <c r="Q252" s="3" t="str">
        <f>RIGHT('Main Project Raw Data'!E252,LEN('Main Project Raw Data'!E252)-FIND("-",'Main Project Raw Data'!E252))</f>
        <v>Texas</v>
      </c>
    </row>
    <row r="253" spans="1:17" x14ac:dyDescent="0.3">
      <c r="A253" s="3" t="str">
        <f>TRIM(Table1[[#This Row],[Employee_ID]])</f>
        <v>EMP1251</v>
      </c>
      <c r="B253" s="3" t="str">
        <f>TRIM(Table1[[#This Row],[First_Name]])</f>
        <v>Grace</v>
      </c>
      <c r="C253" s="3" t="str">
        <f>TRIM(Table1[[#This Row],[Last_Name]])</f>
        <v>Smith</v>
      </c>
      <c r="D253" s="3">
        <f>IF(Table1[[#This Row],[Age]]="",AVERAGE(Table1[Age]),Table1[[#This Row],[Age]])</f>
        <v>32.484548825710753</v>
      </c>
      <c r="E253" s="3" t="s">
        <v>237</v>
      </c>
      <c r="F253" s="3" t="s">
        <v>33</v>
      </c>
      <c r="G253" s="5">
        <f>IF(ISNUMBER('Main Project Raw Data'!G253),'Main Project Raw Data'!G253,IF(ISNUMBER(SEARCH("/",'Main Project Raw Data'!G253)),DATE(RIGHT('Main Project Raw Data'!G253,4),LEFT('Main Project Raw Data'!G253,FIND("/",'Main Project Raw Data'!G253)-1),MID('Main Project Raw Data'!G253,FIND("/",'Main Project Raw Data'!G253)+1,2)),DATE(RIGHT('Main Project Raw Data'!G253,4),MID('Main Project Raw Data'!G253,4,2),LEFT('Main Project Raw Data'!G253,2))))</f>
        <v>45651</v>
      </c>
      <c r="H253" s="3">
        <f>IF(Table1[[#This Row],[Salary]]="",AVERAGE(Table1[Salary]),Table1[[#This Row],[Salary]])</f>
        <v>93901.48</v>
      </c>
      <c r="I253" s="3" t="s">
        <v>135</v>
      </c>
      <c r="J253" s="3">
        <f>ABS(Table1[[#This Row],[Phone]])</f>
        <v>3967275783</v>
      </c>
      <c r="K253" s="3" t="str">
        <f>PROPER(TRIM(Table1[[#This Row],[Performance_Score]]))</f>
        <v>Good</v>
      </c>
      <c r="L253" s="3" t="b">
        <f>Table1[[#This Row],[Remote_Work]]</f>
        <v>0</v>
      </c>
      <c r="M253" s="3" t="str">
        <f>PROPER(CONCATENATE(Table13[[#This Row],[First_Name]], Table13[[#This Row],[Last_Name]]))</f>
        <v>Gracesmith</v>
      </c>
      <c r="N253" s="3" t="str">
        <f t="shared" si="3"/>
        <v>Dec</v>
      </c>
      <c r="O253" s="3" t="str">
        <f>TEXT(Table13[[#This Row],[Join_Date]],"yyyy")</f>
        <v>2024</v>
      </c>
      <c r="P253" s="3" t="str">
        <f>LEFT('Main Project Raw Data'!E253,FIND("-",'Main Project Raw Data'!E253)-1)</f>
        <v>DevOps</v>
      </c>
      <c r="Q253" s="3" t="str">
        <f>RIGHT('Main Project Raw Data'!E253,LEN('Main Project Raw Data'!E253)-FIND("-",'Main Project Raw Data'!E253))</f>
        <v>Texas</v>
      </c>
    </row>
    <row r="254" spans="1:17" x14ac:dyDescent="0.3">
      <c r="A254" s="3" t="str">
        <f>TRIM(Table1[[#This Row],[Employee_ID]])</f>
        <v>EMP1252</v>
      </c>
      <c r="B254" s="3" t="str">
        <f>TRIM(Table1[[#This Row],[First_Name]])</f>
        <v>Eva</v>
      </c>
      <c r="C254" s="3" t="str">
        <f>TRIM(Table1[[#This Row],[Last_Name]])</f>
        <v>Brown</v>
      </c>
      <c r="D254" s="3">
        <f>IF(Table1[[#This Row],[Age]]="",AVERAGE(Table1[Age]),Table1[[#This Row],[Age]])</f>
        <v>40</v>
      </c>
      <c r="E254" s="3" t="s">
        <v>27</v>
      </c>
      <c r="F254" s="3" t="s">
        <v>33</v>
      </c>
      <c r="G254" s="5">
        <f>IF(ISNUMBER('Main Project Raw Data'!G254),'Main Project Raw Data'!G254,IF(ISNUMBER(SEARCH("/",'Main Project Raw Data'!G254)),DATE(RIGHT('Main Project Raw Data'!G254,4),LEFT('Main Project Raw Data'!G254,FIND("/",'Main Project Raw Data'!G254)-1),MID('Main Project Raw Data'!G254,FIND("/",'Main Project Raw Data'!G254)+1,2)),DATE(RIGHT('Main Project Raw Data'!G254,4),MID('Main Project Raw Data'!G254,4,2),LEFT('Main Project Raw Data'!G254,2))))</f>
        <v>44205</v>
      </c>
      <c r="H254" s="3">
        <f>IF(Table1[[#This Row],[Salary]]="",AVERAGE(Table1[Salary]),Table1[[#This Row],[Salary]])</f>
        <v>81748.09</v>
      </c>
      <c r="I254" s="3" t="s">
        <v>155</v>
      </c>
      <c r="J254" s="3">
        <f>ABS(Table1[[#This Row],[Phone]])</f>
        <v>4683414650</v>
      </c>
      <c r="K254" s="3" t="str">
        <f>PROPER(TRIM(Table1[[#This Row],[Performance_Score]]))</f>
        <v>Average</v>
      </c>
      <c r="L254" s="3" t="b">
        <f>Table1[[#This Row],[Remote_Work]]</f>
        <v>1</v>
      </c>
      <c r="M254" s="3" t="str">
        <f>PROPER(CONCATENATE(Table13[[#This Row],[First_Name]], Table13[[#This Row],[Last_Name]]))</f>
        <v>Evabrown</v>
      </c>
      <c r="N254" s="3" t="str">
        <f t="shared" si="3"/>
        <v>Jan</v>
      </c>
      <c r="O254" s="3" t="str">
        <f>TEXT(Table13[[#This Row],[Join_Date]],"yyyy")</f>
        <v>2021</v>
      </c>
      <c r="P254" s="3" t="str">
        <f>LEFT('Main Project Raw Data'!E254,FIND("-",'Main Project Raw Data'!E254)-1)</f>
        <v>Admin</v>
      </c>
      <c r="Q254" s="3" t="str">
        <f>RIGHT('Main Project Raw Data'!E254,LEN('Main Project Raw Data'!E254)-FIND("-",'Main Project Raw Data'!E254))</f>
        <v>Nevada</v>
      </c>
    </row>
    <row r="255" spans="1:17" x14ac:dyDescent="0.3">
      <c r="A255" s="3" t="str">
        <f>TRIM(Table1[[#This Row],[Employee_ID]])</f>
        <v>EMP1253</v>
      </c>
      <c r="B255" s="3" t="str">
        <f>TRIM(Table1[[#This Row],[First_Name]])</f>
        <v>Charlie</v>
      </c>
      <c r="C255" s="3" t="str">
        <f>TRIM(Table1[[#This Row],[Last_Name]])</f>
        <v>Jones</v>
      </c>
      <c r="D255" s="3">
        <f>IF(Table1[[#This Row],[Age]]="",AVERAGE(Table1[Age]),Table1[[#This Row],[Age]])</f>
        <v>40</v>
      </c>
      <c r="E255" s="3" t="s">
        <v>112</v>
      </c>
      <c r="F255" s="3" t="s">
        <v>33</v>
      </c>
      <c r="G255" s="5">
        <f>IF(ISNUMBER('Main Project Raw Data'!G255),'Main Project Raw Data'!G255,IF(ISNUMBER(SEARCH("/",'Main Project Raw Data'!G255)),DATE(RIGHT('Main Project Raw Data'!G255,4),LEFT('Main Project Raw Data'!G255,FIND("/",'Main Project Raw Data'!G255)-1),MID('Main Project Raw Data'!G255,FIND("/",'Main Project Raw Data'!G255)+1,2)),DATE(RIGHT('Main Project Raw Data'!G255,4),MID('Main Project Raw Data'!G255,4,2),LEFT('Main Project Raw Data'!G255,2))))</f>
        <v>44248</v>
      </c>
      <c r="H255" s="3">
        <f>IF(Table1[[#This Row],[Salary]]="",AVERAGE(Table1[Salary]),Table1[[#This Row],[Salary]])</f>
        <v>73813.48</v>
      </c>
      <c r="I255" s="3" t="s">
        <v>120</v>
      </c>
      <c r="J255" s="3">
        <f>ABS(Table1[[#This Row],[Phone]])</f>
        <v>1131290147</v>
      </c>
      <c r="K255" s="3" t="str">
        <f>PROPER(TRIM(Table1[[#This Row],[Performance_Score]]))</f>
        <v>Average</v>
      </c>
      <c r="L255" s="3" t="b">
        <f>Table1[[#This Row],[Remote_Work]]</f>
        <v>0</v>
      </c>
      <c r="M255" s="3" t="str">
        <f>PROPER(CONCATENATE(Table13[[#This Row],[First_Name]], Table13[[#This Row],[Last_Name]]))</f>
        <v>Charliejones</v>
      </c>
      <c r="N255" s="3" t="str">
        <f t="shared" si="3"/>
        <v>Feb</v>
      </c>
      <c r="O255" s="3" t="str">
        <f>TEXT(Table13[[#This Row],[Join_Date]],"yyyy")</f>
        <v>2021</v>
      </c>
      <c r="P255" s="3" t="str">
        <f>LEFT('Main Project Raw Data'!E255,FIND("-",'Main Project Raw Data'!E255)-1)</f>
        <v>Finance</v>
      </c>
      <c r="Q255" s="3" t="str">
        <f>RIGHT('Main Project Raw Data'!E255,LEN('Main Project Raw Data'!E255)-FIND("-",'Main Project Raw Data'!E255))</f>
        <v>Florida</v>
      </c>
    </row>
    <row r="256" spans="1:17" x14ac:dyDescent="0.3">
      <c r="A256" s="3" t="str">
        <f>TRIM(Table1[[#This Row],[Employee_ID]])</f>
        <v>EMP1254</v>
      </c>
      <c r="B256" s="3" t="str">
        <f>TRIM(Table1[[#This Row],[First_Name]])</f>
        <v>Frank</v>
      </c>
      <c r="C256" s="3" t="str">
        <f>TRIM(Table1[[#This Row],[Last_Name]])</f>
        <v>Smith</v>
      </c>
      <c r="D256" s="3">
        <f>IF(Table1[[#This Row],[Age]]="",AVERAGE(Table1[Age]),Table1[[#This Row],[Age]])</f>
        <v>35</v>
      </c>
      <c r="E256" s="3" t="s">
        <v>227</v>
      </c>
      <c r="F256" s="3" t="s">
        <v>33</v>
      </c>
      <c r="G256" s="5">
        <f>IF(ISNUMBER('Main Project Raw Data'!G256),'Main Project Raw Data'!G256,IF(ISNUMBER(SEARCH("/",'Main Project Raw Data'!G256)),DATE(RIGHT('Main Project Raw Data'!G256,4),LEFT('Main Project Raw Data'!G256,FIND("/",'Main Project Raw Data'!G256)-1),MID('Main Project Raw Data'!G256,FIND("/",'Main Project Raw Data'!G256)+1,2)),DATE(RIGHT('Main Project Raw Data'!G256,4),MID('Main Project Raw Data'!G256,4,2),LEFT('Main Project Raw Data'!G256,2))))</f>
        <v>44885</v>
      </c>
      <c r="H256" s="3">
        <f>IF(Table1[[#This Row],[Salary]]="",AVERAGE(Table1[Salary]),Table1[[#This Row],[Salary]])</f>
        <v>89315.59</v>
      </c>
      <c r="I256" s="3" t="s">
        <v>137</v>
      </c>
      <c r="J256" s="3">
        <f>ABS(Table1[[#This Row],[Phone]])</f>
        <v>7068277880</v>
      </c>
      <c r="K256" s="3" t="str">
        <f>PROPER(TRIM(Table1[[#This Row],[Performance_Score]]))</f>
        <v>Average</v>
      </c>
      <c r="L256" s="3" t="b">
        <f>Table1[[#This Row],[Remote_Work]]</f>
        <v>0</v>
      </c>
      <c r="M256" s="3" t="str">
        <f>PROPER(CONCATENATE(Table13[[#This Row],[First_Name]], Table13[[#This Row],[Last_Name]]))</f>
        <v>Franksmith</v>
      </c>
      <c r="N256" s="3" t="str">
        <f t="shared" si="3"/>
        <v>Nov</v>
      </c>
      <c r="O256" s="3" t="str">
        <f>TEXT(Table13[[#This Row],[Join_Date]],"yyyy")</f>
        <v>2022</v>
      </c>
      <c r="P256" s="3" t="str">
        <f>LEFT('Main Project Raw Data'!E256,FIND("-",'Main Project Raw Data'!E256)-1)</f>
        <v>Finance</v>
      </c>
      <c r="Q256" s="3" t="str">
        <f>RIGHT('Main Project Raw Data'!E256,LEN('Main Project Raw Data'!E256)-FIND("-",'Main Project Raw Data'!E256))</f>
        <v>New York</v>
      </c>
    </row>
    <row r="257" spans="1:17" x14ac:dyDescent="0.3">
      <c r="A257" s="3" t="str">
        <f>TRIM(Table1[[#This Row],[Employee_ID]])</f>
        <v>EMP1255</v>
      </c>
      <c r="B257" s="3" t="str">
        <f>TRIM(Table1[[#This Row],[First_Name]])</f>
        <v>Heidi</v>
      </c>
      <c r="C257" s="3" t="str">
        <f>TRIM(Table1[[#This Row],[Last_Name]])</f>
        <v>Williams</v>
      </c>
      <c r="D257" s="3">
        <f>IF(Table1[[#This Row],[Age]]="",AVERAGE(Table1[Age]),Table1[[#This Row],[Age]])</f>
        <v>25</v>
      </c>
      <c r="E257" s="3" t="s">
        <v>212</v>
      </c>
      <c r="F257" s="3" t="s">
        <v>16</v>
      </c>
      <c r="G257" s="5">
        <f>IF(ISNUMBER('Main Project Raw Data'!G257),'Main Project Raw Data'!G257,IF(ISNUMBER(SEARCH("/",'Main Project Raw Data'!G257)),DATE(RIGHT('Main Project Raw Data'!G257,4),LEFT('Main Project Raw Data'!G257,FIND("/",'Main Project Raw Data'!G257)-1),MID('Main Project Raw Data'!G257,FIND("/",'Main Project Raw Data'!G257)+1,2)),DATE(RIGHT('Main Project Raw Data'!G257,4),MID('Main Project Raw Data'!G257,4,2),LEFT('Main Project Raw Data'!G257,2))))</f>
        <v>44119</v>
      </c>
      <c r="H257" s="3">
        <f>IF(Table1[[#This Row],[Salary]]="",AVERAGE(Table1[Salary]),Table1[[#This Row],[Salary]])</f>
        <v>56776.82</v>
      </c>
      <c r="I257" s="3" t="s">
        <v>67</v>
      </c>
      <c r="J257" s="3">
        <f>ABS(Table1[[#This Row],[Phone]])</f>
        <v>6093068537</v>
      </c>
      <c r="K257" s="3" t="str">
        <f>PROPER(TRIM(Table1[[#This Row],[Performance_Score]]))</f>
        <v>Poor</v>
      </c>
      <c r="L257" s="3" t="b">
        <f>Table1[[#This Row],[Remote_Work]]</f>
        <v>0</v>
      </c>
      <c r="M257" s="3" t="str">
        <f>PROPER(CONCATENATE(Table13[[#This Row],[First_Name]], Table13[[#This Row],[Last_Name]]))</f>
        <v>Heidiwilliams</v>
      </c>
      <c r="N257" s="3" t="str">
        <f t="shared" si="3"/>
        <v>Oct</v>
      </c>
      <c r="O257" s="3" t="str">
        <f>TEXT(Table13[[#This Row],[Join_Date]],"yyyy")</f>
        <v>2020</v>
      </c>
      <c r="P257" s="3" t="str">
        <f>LEFT('Main Project Raw Data'!E257,FIND("-",'Main Project Raw Data'!E257)-1)</f>
        <v>HR</v>
      </c>
      <c r="Q257" s="3" t="str">
        <f>RIGHT('Main Project Raw Data'!E257,LEN('Main Project Raw Data'!E257)-FIND("-",'Main Project Raw Data'!E257))</f>
        <v>Florida</v>
      </c>
    </row>
    <row r="258" spans="1:17" x14ac:dyDescent="0.3">
      <c r="A258" s="3" t="str">
        <f>TRIM(Table1[[#This Row],[Employee_ID]])</f>
        <v>EMP1256</v>
      </c>
      <c r="B258" s="3" t="str">
        <f>TRIM(Table1[[#This Row],[First_Name]])</f>
        <v>Grace</v>
      </c>
      <c r="C258" s="3" t="str">
        <f>TRIM(Table1[[#This Row],[Last_Name]])</f>
        <v>Davis</v>
      </c>
      <c r="D258" s="3">
        <f>IF(Table1[[#This Row],[Age]]="",AVERAGE(Table1[Age]),Table1[[#This Row],[Age]])</f>
        <v>32.484548825710753</v>
      </c>
      <c r="E258" s="3" t="s">
        <v>227</v>
      </c>
      <c r="F258" s="3" t="s">
        <v>16</v>
      </c>
      <c r="G258" s="5">
        <f>IF(ISNUMBER('Main Project Raw Data'!G258),'Main Project Raw Data'!G258,IF(ISNUMBER(SEARCH("/",'Main Project Raw Data'!G258)),DATE(RIGHT('Main Project Raw Data'!G258,4),LEFT('Main Project Raw Data'!G258,FIND("/",'Main Project Raw Data'!G258)-1),MID('Main Project Raw Data'!G258,FIND("/",'Main Project Raw Data'!G258)+1,2)),DATE(RIGHT('Main Project Raw Data'!G258,4),MID('Main Project Raw Data'!G258,4,2),LEFT('Main Project Raw Data'!G258,2))))</f>
        <v>45497</v>
      </c>
      <c r="H258" s="3">
        <f>IF(Table1[[#This Row],[Salary]]="",AVERAGE(Table1[Salary]),Table1[[#This Row],[Salary]])</f>
        <v>72920.509999999995</v>
      </c>
      <c r="I258" s="3" t="s">
        <v>235</v>
      </c>
      <c r="J258" s="3">
        <f>ABS(Table1[[#This Row],[Phone]])</f>
        <v>9097283214</v>
      </c>
      <c r="K258" s="3" t="str">
        <f>PROPER(TRIM(Table1[[#This Row],[Performance_Score]]))</f>
        <v>Excellent</v>
      </c>
      <c r="L258" s="3" t="b">
        <f>Table1[[#This Row],[Remote_Work]]</f>
        <v>1</v>
      </c>
      <c r="M258" s="3" t="str">
        <f>PROPER(CONCATENATE(Table13[[#This Row],[First_Name]], Table13[[#This Row],[Last_Name]]))</f>
        <v>Gracedavis</v>
      </c>
      <c r="N258" s="3" t="str">
        <f t="shared" ref="N258:N321" si="4">TEXT(G258,"mmm")</f>
        <v>Jul</v>
      </c>
      <c r="O258" s="3" t="str">
        <f>TEXT(Table13[[#This Row],[Join_Date]],"yyyy")</f>
        <v>2024</v>
      </c>
      <c r="P258" s="3" t="str">
        <f>LEFT('Main Project Raw Data'!E258,FIND("-",'Main Project Raw Data'!E258)-1)</f>
        <v>Finance</v>
      </c>
      <c r="Q258" s="3" t="str">
        <f>RIGHT('Main Project Raw Data'!E258,LEN('Main Project Raw Data'!E258)-FIND("-",'Main Project Raw Data'!E258))</f>
        <v>New York</v>
      </c>
    </row>
    <row r="259" spans="1:17" x14ac:dyDescent="0.3">
      <c r="A259" s="3" t="str">
        <f>TRIM(Table1[[#This Row],[Employee_ID]])</f>
        <v>EMP1257</v>
      </c>
      <c r="B259" s="3" t="str">
        <f>TRIM(Table1[[#This Row],[First_Name]])</f>
        <v>Frank</v>
      </c>
      <c r="C259" s="3" t="str">
        <f>TRIM(Table1[[#This Row],[Last_Name]])</f>
        <v>Miller</v>
      </c>
      <c r="D259" s="3">
        <f>IF(Table1[[#This Row],[Age]]="",AVERAGE(Table1[Age]),Table1[[#This Row],[Age]])</f>
        <v>30</v>
      </c>
      <c r="E259" s="3" t="s">
        <v>205</v>
      </c>
      <c r="F259" s="3" t="s">
        <v>28</v>
      </c>
      <c r="G259" s="5">
        <f>IF(ISNUMBER('Main Project Raw Data'!G259),'Main Project Raw Data'!G259,IF(ISNUMBER(SEARCH("/",'Main Project Raw Data'!G259)),DATE(RIGHT('Main Project Raw Data'!G259,4),LEFT('Main Project Raw Data'!G259,FIND("/",'Main Project Raw Data'!G259)-1),MID('Main Project Raw Data'!G259,FIND("/",'Main Project Raw Data'!G259)+1,2)),DATE(RIGHT('Main Project Raw Data'!G259,4),MID('Main Project Raw Data'!G259,4,2),LEFT('Main Project Raw Data'!G259,2))))</f>
        <v>44787</v>
      </c>
      <c r="H259" s="3">
        <f>IF(Table1[[#This Row],[Salary]]="",AVERAGE(Table1[Salary]),Table1[[#This Row],[Salary]])</f>
        <v>84913.18</v>
      </c>
      <c r="I259" s="3" t="s">
        <v>110</v>
      </c>
      <c r="J259" s="3">
        <f>ABS(Table1[[#This Row],[Phone]])</f>
        <v>2850676250</v>
      </c>
      <c r="K259" s="3" t="str">
        <f>PROPER(TRIM(Table1[[#This Row],[Performance_Score]]))</f>
        <v>Average</v>
      </c>
      <c r="L259" s="3" t="b">
        <f>Table1[[#This Row],[Remote_Work]]</f>
        <v>1</v>
      </c>
      <c r="M259" s="3" t="str">
        <f>PROPER(CONCATENATE(Table13[[#This Row],[First_Name]], Table13[[#This Row],[Last_Name]]))</f>
        <v>Frankmiller</v>
      </c>
      <c r="N259" s="3" t="str">
        <f t="shared" si="4"/>
        <v>Aug</v>
      </c>
      <c r="O259" s="3" t="str">
        <f>TEXT(Table13[[#This Row],[Join_Date]],"yyyy")</f>
        <v>2022</v>
      </c>
      <c r="P259" s="3" t="str">
        <f>LEFT('Main Project Raw Data'!E259,FIND("-",'Main Project Raw Data'!E259)-1)</f>
        <v>Admin</v>
      </c>
      <c r="Q259" s="3" t="str">
        <f>RIGHT('Main Project Raw Data'!E259,LEN('Main Project Raw Data'!E259)-FIND("-",'Main Project Raw Data'!E259))</f>
        <v>Florida</v>
      </c>
    </row>
    <row r="260" spans="1:17" x14ac:dyDescent="0.3">
      <c r="A260" s="3" t="str">
        <f>TRIM(Table1[[#This Row],[Employee_ID]])</f>
        <v>EMP1258</v>
      </c>
      <c r="B260" s="3" t="str">
        <f>TRIM(Table1[[#This Row],[First_Name]])</f>
        <v>Alice</v>
      </c>
      <c r="C260" s="3" t="str">
        <f>TRIM(Table1[[#This Row],[Last_Name]])</f>
        <v>Garcia</v>
      </c>
      <c r="D260" s="3">
        <f>IF(Table1[[#This Row],[Age]]="",AVERAGE(Table1[Age]),Table1[[#This Row],[Age]])</f>
        <v>25</v>
      </c>
      <c r="E260" s="3" t="s">
        <v>265</v>
      </c>
      <c r="F260" s="3" t="s">
        <v>33</v>
      </c>
      <c r="G260" s="5">
        <f>IF(ISNUMBER('Main Project Raw Data'!G260),'Main Project Raw Data'!G260,IF(ISNUMBER(SEARCH("/",'Main Project Raw Data'!G260)),DATE(RIGHT('Main Project Raw Data'!G260,4),LEFT('Main Project Raw Data'!G260,FIND("/",'Main Project Raw Data'!G260)-1),MID('Main Project Raw Data'!G260,FIND("/",'Main Project Raw Data'!G260)+1,2)),DATE(RIGHT('Main Project Raw Data'!G260,4),MID('Main Project Raw Data'!G260,4,2),LEFT('Main Project Raw Data'!G260,2))))</f>
        <v>44413</v>
      </c>
      <c r="H260" s="3">
        <f>IF(Table1[[#This Row],[Salary]]="",AVERAGE(Table1[Salary]),Table1[[#This Row],[Salary]])</f>
        <v>65060.11</v>
      </c>
      <c r="I260" s="3" t="s">
        <v>45</v>
      </c>
      <c r="J260" s="3">
        <f>ABS(Table1[[#This Row],[Phone]])</f>
        <v>5381447442</v>
      </c>
      <c r="K260" s="3" t="str">
        <f>PROPER(TRIM(Table1[[#This Row],[Performance_Score]]))</f>
        <v>Excellent</v>
      </c>
      <c r="L260" s="3" t="b">
        <f>Table1[[#This Row],[Remote_Work]]</f>
        <v>1</v>
      </c>
      <c r="M260" s="3" t="str">
        <f>PROPER(CONCATENATE(Table13[[#This Row],[First_Name]], Table13[[#This Row],[Last_Name]]))</f>
        <v>Alicegarcia</v>
      </c>
      <c r="N260" s="3" t="str">
        <f t="shared" si="4"/>
        <v>Aug</v>
      </c>
      <c r="O260" s="3" t="str">
        <f>TEXT(Table13[[#This Row],[Join_Date]],"yyyy")</f>
        <v>2021</v>
      </c>
      <c r="P260" s="3" t="str">
        <f>LEFT('Main Project Raw Data'!E260,FIND("-",'Main Project Raw Data'!E260)-1)</f>
        <v>Finance</v>
      </c>
      <c r="Q260" s="3" t="str">
        <f>RIGHT('Main Project Raw Data'!E260,LEN('Main Project Raw Data'!E260)-FIND("-",'Main Project Raw Data'!E260))</f>
        <v>Illinois</v>
      </c>
    </row>
    <row r="261" spans="1:17" x14ac:dyDescent="0.3">
      <c r="A261" s="3" t="str">
        <f>TRIM(Table1[[#This Row],[Employee_ID]])</f>
        <v>EMP1259</v>
      </c>
      <c r="B261" s="3" t="str">
        <f>TRIM(Table1[[#This Row],[First_Name]])</f>
        <v>Alice</v>
      </c>
      <c r="C261" s="3" t="str">
        <f>TRIM(Table1[[#This Row],[Last_Name]])</f>
        <v>Williams</v>
      </c>
      <c r="D261" s="3">
        <f>IF(Table1[[#This Row],[Age]]="",AVERAGE(Table1[Age]),Table1[[#This Row],[Age]])</f>
        <v>35</v>
      </c>
      <c r="E261" s="3" t="s">
        <v>265</v>
      </c>
      <c r="F261" s="3" t="s">
        <v>28</v>
      </c>
      <c r="G261" s="5">
        <f>IF(ISNUMBER('Main Project Raw Data'!G261),'Main Project Raw Data'!G261,IF(ISNUMBER(SEARCH("/",'Main Project Raw Data'!G261)),DATE(RIGHT('Main Project Raw Data'!G261,4),LEFT('Main Project Raw Data'!G261,FIND("/",'Main Project Raw Data'!G261)-1),MID('Main Project Raw Data'!G261,FIND("/",'Main Project Raw Data'!G261)+1,2)),DATE(RIGHT('Main Project Raw Data'!G261,4),MID('Main Project Raw Data'!G261,4,2),LEFT('Main Project Raw Data'!G261,2))))</f>
        <v>45179</v>
      </c>
      <c r="H261" s="3">
        <f>IF(Table1[[#This Row],[Salary]]="",AVERAGE(Table1[Salary]),Table1[[#This Row],[Salary]])</f>
        <v>82941.08</v>
      </c>
      <c r="I261" s="3" t="s">
        <v>362</v>
      </c>
      <c r="J261" s="3">
        <f>ABS(Table1[[#This Row],[Phone]])</f>
        <v>963480796</v>
      </c>
      <c r="K261" s="3" t="str">
        <f>PROPER(TRIM(Table1[[#This Row],[Performance_Score]]))</f>
        <v>Poor</v>
      </c>
      <c r="L261" s="3" t="b">
        <f>Table1[[#This Row],[Remote_Work]]</f>
        <v>0</v>
      </c>
      <c r="M261" s="3" t="str">
        <f>PROPER(CONCATENATE(Table13[[#This Row],[First_Name]], Table13[[#This Row],[Last_Name]]))</f>
        <v>Alicewilliams</v>
      </c>
      <c r="N261" s="3" t="str">
        <f t="shared" si="4"/>
        <v>Sep</v>
      </c>
      <c r="O261" s="3" t="str">
        <f>TEXT(Table13[[#This Row],[Join_Date]],"yyyy")</f>
        <v>2023</v>
      </c>
      <c r="P261" s="3" t="str">
        <f>LEFT('Main Project Raw Data'!E261,FIND("-",'Main Project Raw Data'!E261)-1)</f>
        <v>Finance</v>
      </c>
      <c r="Q261" s="3" t="str">
        <f>RIGHT('Main Project Raw Data'!E261,LEN('Main Project Raw Data'!E261)-FIND("-",'Main Project Raw Data'!E261))</f>
        <v>Illinois</v>
      </c>
    </row>
    <row r="262" spans="1:17" x14ac:dyDescent="0.3">
      <c r="A262" s="3" t="str">
        <f>TRIM(Table1[[#This Row],[Employee_ID]])</f>
        <v>EMP1260</v>
      </c>
      <c r="B262" s="3" t="str">
        <f>TRIM(Table1[[#This Row],[First_Name]])</f>
        <v>Bob</v>
      </c>
      <c r="C262" s="3" t="str">
        <f>TRIM(Table1[[#This Row],[Last_Name]])</f>
        <v>Smith</v>
      </c>
      <c r="D262" s="3">
        <f>IF(Table1[[#This Row],[Age]]="",AVERAGE(Table1[Age]),Table1[[#This Row],[Age]])</f>
        <v>40</v>
      </c>
      <c r="E262" s="3" t="s">
        <v>118</v>
      </c>
      <c r="F262" s="3" t="s">
        <v>28</v>
      </c>
      <c r="G262" s="5">
        <f>IF(ISNUMBER('Main Project Raw Data'!G262),'Main Project Raw Data'!G262,IF(ISNUMBER(SEARCH("/",'Main Project Raw Data'!G262)),DATE(RIGHT('Main Project Raw Data'!G262,4),LEFT('Main Project Raw Data'!G262,FIND("/",'Main Project Raw Data'!G262)-1),MID('Main Project Raw Data'!G262,FIND("/",'Main Project Raw Data'!G262)+1,2)),DATE(RIGHT('Main Project Raw Data'!G262,4),MID('Main Project Raw Data'!G262,4,2),LEFT('Main Project Raw Data'!G262,2))))</f>
        <v>44580</v>
      </c>
      <c r="H262" s="3">
        <f>IF(Table1[[#This Row],[Salary]]="",AVERAGE(Table1[Salary]),Table1[[#This Row],[Salary]])</f>
        <v>103469.97</v>
      </c>
      <c r="I262" s="3" t="s">
        <v>123</v>
      </c>
      <c r="J262" s="3">
        <f>ABS(Table1[[#This Row],[Phone]])</f>
        <v>509754509</v>
      </c>
      <c r="K262" s="3" t="str">
        <f>PROPER(TRIM(Table1[[#This Row],[Performance_Score]]))</f>
        <v>Good</v>
      </c>
      <c r="L262" s="3" t="b">
        <f>Table1[[#This Row],[Remote_Work]]</f>
        <v>1</v>
      </c>
      <c r="M262" s="3" t="str">
        <f>PROPER(CONCATENATE(Table13[[#This Row],[First_Name]], Table13[[#This Row],[Last_Name]]))</f>
        <v>Bobsmith</v>
      </c>
      <c r="N262" s="3" t="str">
        <f t="shared" si="4"/>
        <v>Jan</v>
      </c>
      <c r="O262" s="3" t="str">
        <f>TEXT(Table13[[#This Row],[Join_Date]],"yyyy")</f>
        <v>2022</v>
      </c>
      <c r="P262" s="3" t="str">
        <f>LEFT('Main Project Raw Data'!E262,FIND("-",'Main Project Raw Data'!E262)-1)</f>
        <v>Admin</v>
      </c>
      <c r="Q262" s="3" t="str">
        <f>RIGHT('Main Project Raw Data'!E262,LEN('Main Project Raw Data'!E262)-FIND("-",'Main Project Raw Data'!E262))</f>
        <v>California</v>
      </c>
    </row>
    <row r="263" spans="1:17" x14ac:dyDescent="0.3">
      <c r="A263" s="3" t="str">
        <f>TRIM(Table1[[#This Row],[Employee_ID]])</f>
        <v>EMP1261</v>
      </c>
      <c r="B263" s="3" t="str">
        <f>TRIM(Table1[[#This Row],[First_Name]])</f>
        <v>Grace</v>
      </c>
      <c r="C263" s="3" t="str">
        <f>TRIM(Table1[[#This Row],[Last_Name]])</f>
        <v>Miller</v>
      </c>
      <c r="D263" s="3">
        <f>IF(Table1[[#This Row],[Age]]="",AVERAGE(Table1[Age]),Table1[[#This Row],[Age]])</f>
        <v>25</v>
      </c>
      <c r="E263" s="3" t="s">
        <v>98</v>
      </c>
      <c r="F263" s="3" t="s">
        <v>16</v>
      </c>
      <c r="G263" s="5">
        <f>IF(ISNUMBER('Main Project Raw Data'!G263),'Main Project Raw Data'!G263,IF(ISNUMBER(SEARCH("/",'Main Project Raw Data'!G263)),DATE(RIGHT('Main Project Raw Data'!G263,4),LEFT('Main Project Raw Data'!G263,FIND("/",'Main Project Raw Data'!G263)-1),MID('Main Project Raw Data'!G263,FIND("/",'Main Project Raw Data'!G263)+1,2)),DATE(RIGHT('Main Project Raw Data'!G263,4),MID('Main Project Raw Data'!G263,4,2),LEFT('Main Project Raw Data'!G263,2))))</f>
        <v>44896</v>
      </c>
      <c r="H263" s="3">
        <f>IF(Table1[[#This Row],[Salary]]="",AVERAGE(Table1[Salary]),Table1[[#This Row],[Salary]])</f>
        <v>88725.6</v>
      </c>
      <c r="I263" s="3" t="s">
        <v>168</v>
      </c>
      <c r="J263" s="3">
        <f>ABS(Table1[[#This Row],[Phone]])</f>
        <v>5265016730</v>
      </c>
      <c r="K263" s="3" t="str">
        <f>PROPER(TRIM(Table1[[#This Row],[Performance_Score]]))</f>
        <v>Average</v>
      </c>
      <c r="L263" s="3" t="b">
        <f>Table1[[#This Row],[Remote_Work]]</f>
        <v>1</v>
      </c>
      <c r="M263" s="3" t="str">
        <f>PROPER(CONCATENATE(Table13[[#This Row],[First_Name]], Table13[[#This Row],[Last_Name]]))</f>
        <v>Gracemiller</v>
      </c>
      <c r="N263" s="3" t="str">
        <f t="shared" si="4"/>
        <v>Dec</v>
      </c>
      <c r="O263" s="3" t="str">
        <f>TEXT(Table13[[#This Row],[Join_Date]],"yyyy")</f>
        <v>2022</v>
      </c>
      <c r="P263" s="3" t="str">
        <f>LEFT('Main Project Raw Data'!E263,FIND("-",'Main Project Raw Data'!E263)-1)</f>
        <v>Sales</v>
      </c>
      <c r="Q263" s="3" t="str">
        <f>RIGHT('Main Project Raw Data'!E263,LEN('Main Project Raw Data'!E263)-FIND("-",'Main Project Raw Data'!E263))</f>
        <v>Illinois</v>
      </c>
    </row>
    <row r="264" spans="1:17" x14ac:dyDescent="0.3">
      <c r="A264" s="3" t="str">
        <f>TRIM(Table1[[#This Row],[Employee_ID]])</f>
        <v>EMP1262</v>
      </c>
      <c r="B264" s="3" t="str">
        <f>TRIM(Table1[[#This Row],[First_Name]])</f>
        <v>Heidi</v>
      </c>
      <c r="C264" s="3" t="str">
        <f>TRIM(Table1[[#This Row],[Last_Name]])</f>
        <v>Jones</v>
      </c>
      <c r="D264" s="3">
        <f>IF(Table1[[#This Row],[Age]]="",AVERAGE(Table1[Age]),Table1[[#This Row],[Age]])</f>
        <v>32.484548825710753</v>
      </c>
      <c r="E264" s="3" t="s">
        <v>192</v>
      </c>
      <c r="F264" s="3" t="s">
        <v>28</v>
      </c>
      <c r="G264" s="5">
        <f>IF(ISNUMBER('Main Project Raw Data'!G264),'Main Project Raw Data'!G264,IF(ISNUMBER(SEARCH("/",'Main Project Raw Data'!G264)),DATE(RIGHT('Main Project Raw Data'!G264,4),LEFT('Main Project Raw Data'!G264,FIND("/",'Main Project Raw Data'!G264)-1),MID('Main Project Raw Data'!G264,FIND("/",'Main Project Raw Data'!G264)+1,2)),DATE(RIGHT('Main Project Raw Data'!G264,4),MID('Main Project Raw Data'!G264,4,2),LEFT('Main Project Raw Data'!G264,2))))</f>
        <v>45052</v>
      </c>
      <c r="H264" s="3">
        <f>IF(Table1[[#This Row],[Salary]]="",AVERAGE(Table1[Salary]),Table1[[#This Row],[Salary]])</f>
        <v>58316.77</v>
      </c>
      <c r="I264" s="3" t="s">
        <v>319</v>
      </c>
      <c r="J264" s="3">
        <f>ABS(Table1[[#This Row],[Phone]])</f>
        <v>8826170242</v>
      </c>
      <c r="K264" s="3" t="str">
        <f>PROPER(TRIM(Table1[[#This Row],[Performance_Score]]))</f>
        <v>Excellent</v>
      </c>
      <c r="L264" s="3" t="b">
        <f>Table1[[#This Row],[Remote_Work]]</f>
        <v>1</v>
      </c>
      <c r="M264" s="3" t="str">
        <f>PROPER(CONCATENATE(Table13[[#This Row],[First_Name]], Table13[[#This Row],[Last_Name]]))</f>
        <v>Heidijones</v>
      </c>
      <c r="N264" s="3" t="str">
        <f t="shared" si="4"/>
        <v>May</v>
      </c>
      <c r="O264" s="3" t="str">
        <f>TEXT(Table13[[#This Row],[Join_Date]],"yyyy")</f>
        <v>2023</v>
      </c>
      <c r="P264" s="3" t="str">
        <f>LEFT('Main Project Raw Data'!E264,FIND("-",'Main Project Raw Data'!E264)-1)</f>
        <v>HR</v>
      </c>
      <c r="Q264" s="3" t="str">
        <f>RIGHT('Main Project Raw Data'!E264,LEN('Main Project Raw Data'!E264)-FIND("-",'Main Project Raw Data'!E264))</f>
        <v>Illinois</v>
      </c>
    </row>
    <row r="265" spans="1:17" x14ac:dyDescent="0.3">
      <c r="A265" s="3" t="str">
        <f>TRIM(Table1[[#This Row],[Employee_ID]])</f>
        <v>EMP1263</v>
      </c>
      <c r="B265" s="3" t="str">
        <f>TRIM(Table1[[#This Row],[First_Name]])</f>
        <v>Grace</v>
      </c>
      <c r="C265" s="3" t="str">
        <f>TRIM(Table1[[#This Row],[Last_Name]])</f>
        <v>Smith</v>
      </c>
      <c r="D265" s="3">
        <f>IF(Table1[[#This Row],[Age]]="",AVERAGE(Table1[Age]),Table1[[#This Row],[Age]])</f>
        <v>35</v>
      </c>
      <c r="E265" s="3" t="s">
        <v>192</v>
      </c>
      <c r="F265" s="3" t="s">
        <v>33</v>
      </c>
      <c r="G265" s="5">
        <f>IF(ISNUMBER('Main Project Raw Data'!G265),'Main Project Raw Data'!G265,IF(ISNUMBER(SEARCH("/",'Main Project Raw Data'!G265)),DATE(RIGHT('Main Project Raw Data'!G265,4),LEFT('Main Project Raw Data'!G265,FIND("/",'Main Project Raw Data'!G265)-1),MID('Main Project Raw Data'!G265,FIND("/",'Main Project Raw Data'!G265)+1,2)),DATE(RIGHT('Main Project Raw Data'!G265,4),MID('Main Project Raw Data'!G265,4,2),LEFT('Main Project Raw Data'!G265,2))))</f>
        <v>45377</v>
      </c>
      <c r="H265" s="3">
        <f>IF(Table1[[#This Row],[Salary]]="",AVERAGE(Table1[Salary]),Table1[[#This Row],[Salary]])</f>
        <v>60098.720000000001</v>
      </c>
      <c r="I265" s="3" t="s">
        <v>135</v>
      </c>
      <c r="J265" s="3">
        <f>ABS(Table1[[#This Row],[Phone]])</f>
        <v>7654562840</v>
      </c>
      <c r="K265" s="3" t="str">
        <f>PROPER(TRIM(Table1[[#This Row],[Performance_Score]]))</f>
        <v>Excellent</v>
      </c>
      <c r="L265" s="3" t="b">
        <f>Table1[[#This Row],[Remote_Work]]</f>
        <v>1</v>
      </c>
      <c r="M265" s="3" t="str">
        <f>PROPER(CONCATENATE(Table13[[#This Row],[First_Name]], Table13[[#This Row],[Last_Name]]))</f>
        <v>Gracesmith</v>
      </c>
      <c r="N265" s="3" t="str">
        <f t="shared" si="4"/>
        <v>Mar</v>
      </c>
      <c r="O265" s="3" t="str">
        <f>TEXT(Table13[[#This Row],[Join_Date]],"yyyy")</f>
        <v>2024</v>
      </c>
      <c r="P265" s="3" t="str">
        <f>LEFT('Main Project Raw Data'!E265,FIND("-",'Main Project Raw Data'!E265)-1)</f>
        <v>HR</v>
      </c>
      <c r="Q265" s="3" t="str">
        <f>RIGHT('Main Project Raw Data'!E265,LEN('Main Project Raw Data'!E265)-FIND("-",'Main Project Raw Data'!E265))</f>
        <v>Illinois</v>
      </c>
    </row>
    <row r="266" spans="1:17" x14ac:dyDescent="0.3">
      <c r="A266" s="3" t="str">
        <f>TRIM(Table1[[#This Row],[Employee_ID]])</f>
        <v>EMP1264</v>
      </c>
      <c r="B266" s="3" t="str">
        <f>TRIM(Table1[[#This Row],[First_Name]])</f>
        <v>Grace</v>
      </c>
      <c r="C266" s="3" t="str">
        <f>TRIM(Table1[[#This Row],[Last_Name]])</f>
        <v>Williams</v>
      </c>
      <c r="D266" s="3">
        <f>IF(Table1[[#This Row],[Age]]="",AVERAGE(Table1[Age]),Table1[[#This Row],[Age]])</f>
        <v>32.484548825710753</v>
      </c>
      <c r="E266" s="3" t="s">
        <v>159</v>
      </c>
      <c r="F266" s="3" t="s">
        <v>16</v>
      </c>
      <c r="G266" s="5">
        <f>IF(ISNUMBER('Main Project Raw Data'!G266),'Main Project Raw Data'!G266,IF(ISNUMBER(SEARCH("/",'Main Project Raw Data'!G266)),DATE(RIGHT('Main Project Raw Data'!G266,4),LEFT('Main Project Raw Data'!G266,FIND("/",'Main Project Raw Data'!G266)-1),MID('Main Project Raw Data'!G266,FIND("/",'Main Project Raw Data'!G266)+1,2)),DATE(RIGHT('Main Project Raw Data'!G266,4),MID('Main Project Raw Data'!G266,4,2),LEFT('Main Project Raw Data'!G266,2))))</f>
        <v>44022</v>
      </c>
      <c r="H266" s="3">
        <f>IF(Table1[[#This Row],[Salary]]="",AVERAGE(Table1[Salary]),Table1[[#This Row],[Salary]])</f>
        <v>99951.43</v>
      </c>
      <c r="I266" s="3" t="s">
        <v>71</v>
      </c>
      <c r="J266" s="3">
        <f>ABS(Table1[[#This Row],[Phone]])</f>
        <v>7722560530</v>
      </c>
      <c r="K266" s="3" t="str">
        <f>PROPER(TRIM(Table1[[#This Row],[Performance_Score]]))</f>
        <v>Average</v>
      </c>
      <c r="L266" s="3" t="b">
        <f>Table1[[#This Row],[Remote_Work]]</f>
        <v>1</v>
      </c>
      <c r="M266" s="3" t="str">
        <f>PROPER(CONCATENATE(Table13[[#This Row],[First_Name]], Table13[[#This Row],[Last_Name]]))</f>
        <v>Gracewilliams</v>
      </c>
      <c r="N266" s="3" t="str">
        <f t="shared" si="4"/>
        <v>Jul</v>
      </c>
      <c r="O266" s="3" t="str">
        <f>TEXT(Table13[[#This Row],[Join_Date]],"yyyy")</f>
        <v>2020</v>
      </c>
      <c r="P266" s="3" t="str">
        <f>LEFT('Main Project Raw Data'!E266,FIND("-",'Main Project Raw Data'!E266)-1)</f>
        <v>Cloud Tech</v>
      </c>
      <c r="Q266" s="3" t="str">
        <f>RIGHT('Main Project Raw Data'!E266,LEN('Main Project Raw Data'!E266)-FIND("-",'Main Project Raw Data'!E266))</f>
        <v>Texas</v>
      </c>
    </row>
    <row r="267" spans="1:17" x14ac:dyDescent="0.3">
      <c r="A267" s="3" t="str">
        <f>TRIM(Table1[[#This Row],[Employee_ID]])</f>
        <v>EMP1265</v>
      </c>
      <c r="B267" s="3" t="str">
        <f>TRIM(Table1[[#This Row],[First_Name]])</f>
        <v>Heidi</v>
      </c>
      <c r="C267" s="3" t="str">
        <f>TRIM(Table1[[#This Row],[Last_Name]])</f>
        <v>Johnson</v>
      </c>
      <c r="D267" s="3">
        <f>IF(Table1[[#This Row],[Age]]="",AVERAGE(Table1[Age]),Table1[[#This Row],[Age]])</f>
        <v>30</v>
      </c>
      <c r="E267" s="3" t="s">
        <v>98</v>
      </c>
      <c r="F267" s="3" t="s">
        <v>16</v>
      </c>
      <c r="G267" s="5">
        <f>IF(ISNUMBER('Main Project Raw Data'!G267),'Main Project Raw Data'!G267,IF(ISNUMBER(SEARCH("/",'Main Project Raw Data'!G267)),DATE(RIGHT('Main Project Raw Data'!G267,4),LEFT('Main Project Raw Data'!G267,FIND("/",'Main Project Raw Data'!G267)-1),MID('Main Project Raw Data'!G267,FIND("/",'Main Project Raw Data'!G267)+1,2)),DATE(RIGHT('Main Project Raw Data'!G267,4),MID('Main Project Raw Data'!G267,4,2),LEFT('Main Project Raw Data'!G267,2))))</f>
        <v>44238</v>
      </c>
      <c r="H267" s="3">
        <f>IF(Table1[[#This Row],[Salary]]="",AVERAGE(Table1[Salary]),Table1[[#This Row],[Salary]])</f>
        <v>115195.81</v>
      </c>
      <c r="I267" s="3" t="s">
        <v>113</v>
      </c>
      <c r="J267" s="3">
        <f>ABS(Table1[[#This Row],[Phone]])</f>
        <v>3402665022</v>
      </c>
      <c r="K267" s="3" t="str">
        <f>PROPER(TRIM(Table1[[#This Row],[Performance_Score]]))</f>
        <v>Good</v>
      </c>
      <c r="L267" s="3" t="b">
        <f>Table1[[#This Row],[Remote_Work]]</f>
        <v>1</v>
      </c>
      <c r="M267" s="3" t="str">
        <f>PROPER(CONCATENATE(Table13[[#This Row],[First_Name]], Table13[[#This Row],[Last_Name]]))</f>
        <v>Heidijohnson</v>
      </c>
      <c r="N267" s="3" t="str">
        <f t="shared" si="4"/>
        <v>Feb</v>
      </c>
      <c r="O267" s="3" t="str">
        <f>TEXT(Table13[[#This Row],[Join_Date]],"yyyy")</f>
        <v>2021</v>
      </c>
      <c r="P267" s="3" t="str">
        <f>LEFT('Main Project Raw Data'!E267,FIND("-",'Main Project Raw Data'!E267)-1)</f>
        <v>Sales</v>
      </c>
      <c r="Q267" s="3" t="str">
        <f>RIGHT('Main Project Raw Data'!E267,LEN('Main Project Raw Data'!E267)-FIND("-",'Main Project Raw Data'!E267))</f>
        <v>Illinois</v>
      </c>
    </row>
    <row r="268" spans="1:17" x14ac:dyDescent="0.3">
      <c r="A268" s="3" t="str">
        <f>TRIM(Table1[[#This Row],[Employee_ID]])</f>
        <v>EMP1266</v>
      </c>
      <c r="B268" s="3" t="str">
        <f>TRIM(Table1[[#This Row],[First_Name]])</f>
        <v>Grace</v>
      </c>
      <c r="C268" s="3" t="str">
        <f>TRIM(Table1[[#This Row],[Last_Name]])</f>
        <v>Brown</v>
      </c>
      <c r="D268" s="3">
        <f>IF(Table1[[#This Row],[Age]]="",AVERAGE(Table1[Age]),Table1[[#This Row],[Age]])</f>
        <v>32.484548825710753</v>
      </c>
      <c r="E268" s="3" t="s">
        <v>15</v>
      </c>
      <c r="F268" s="3" t="s">
        <v>28</v>
      </c>
      <c r="G268" s="5">
        <f>IF(ISNUMBER('Main Project Raw Data'!G268),'Main Project Raw Data'!G268,IF(ISNUMBER(SEARCH("/",'Main Project Raw Data'!G268)),DATE(RIGHT('Main Project Raw Data'!G268,4),LEFT('Main Project Raw Data'!G268,FIND("/",'Main Project Raw Data'!G268)-1),MID('Main Project Raw Data'!G268,FIND("/",'Main Project Raw Data'!G268)+1,2)),DATE(RIGHT('Main Project Raw Data'!G268,4),MID('Main Project Raw Data'!G268,4,2),LEFT('Main Project Raw Data'!G268,2))))</f>
        <v>44519</v>
      </c>
      <c r="H268" s="3">
        <f>IF(Table1[[#This Row],[Salary]]="",AVERAGE(Table1[Salary]),Table1[[#This Row],[Salary]])</f>
        <v>85512.05</v>
      </c>
      <c r="I268" s="3" t="s">
        <v>201</v>
      </c>
      <c r="J268" s="3">
        <f>ABS(Table1[[#This Row],[Phone]])</f>
        <v>7416787255</v>
      </c>
      <c r="K268" s="3" t="str">
        <f>PROPER(TRIM(Table1[[#This Row],[Performance_Score]]))</f>
        <v>Good</v>
      </c>
      <c r="L268" s="3" t="b">
        <f>Table1[[#This Row],[Remote_Work]]</f>
        <v>0</v>
      </c>
      <c r="M268" s="3" t="str">
        <f>PROPER(CONCATENATE(Table13[[#This Row],[First_Name]], Table13[[#This Row],[Last_Name]]))</f>
        <v>Gracebrown</v>
      </c>
      <c r="N268" s="3" t="str">
        <f t="shared" si="4"/>
        <v>Nov</v>
      </c>
      <c r="O268" s="3" t="str">
        <f>TEXT(Table13[[#This Row],[Join_Date]],"yyyy")</f>
        <v>2021</v>
      </c>
      <c r="P268" s="3" t="str">
        <f>LEFT('Main Project Raw Data'!E268,FIND("-",'Main Project Raw Data'!E268)-1)</f>
        <v>DevOps</v>
      </c>
      <c r="Q268" s="3" t="str">
        <f>RIGHT('Main Project Raw Data'!E268,LEN('Main Project Raw Data'!E268)-FIND("-",'Main Project Raw Data'!E268))</f>
        <v>California</v>
      </c>
    </row>
    <row r="269" spans="1:17" x14ac:dyDescent="0.3">
      <c r="A269" s="3" t="str">
        <f>TRIM(Table1[[#This Row],[Employee_ID]])</f>
        <v>EMP1267</v>
      </c>
      <c r="B269" s="3" t="str">
        <f>TRIM(Table1[[#This Row],[First_Name]])</f>
        <v>Heidi</v>
      </c>
      <c r="C269" s="3" t="str">
        <f>TRIM(Table1[[#This Row],[Last_Name]])</f>
        <v>Garcia</v>
      </c>
      <c r="D269" s="3">
        <f>IF(Table1[[#This Row],[Age]]="",AVERAGE(Table1[Age]),Table1[[#This Row],[Age]])</f>
        <v>32.484548825710753</v>
      </c>
      <c r="E269" s="3" t="s">
        <v>212</v>
      </c>
      <c r="F269" s="3" t="s">
        <v>16</v>
      </c>
      <c r="G269" s="5">
        <f>IF(ISNUMBER('Main Project Raw Data'!G269),'Main Project Raw Data'!G269,IF(ISNUMBER(SEARCH("/",'Main Project Raw Data'!G269)),DATE(RIGHT('Main Project Raw Data'!G269,4),LEFT('Main Project Raw Data'!G269,FIND("/",'Main Project Raw Data'!G269)-1),MID('Main Project Raw Data'!G269,FIND("/",'Main Project Raw Data'!G269)+1,2)),DATE(RIGHT('Main Project Raw Data'!G269,4),MID('Main Project Raw Data'!G269,4,2),LEFT('Main Project Raw Data'!G269,2))))</f>
        <v>44585</v>
      </c>
      <c r="H269" s="3">
        <f>IF(Table1[[#This Row],[Salary]]="",AVERAGE(Table1[Salary]),Table1[[#This Row],[Salary]])</f>
        <v>73186.77</v>
      </c>
      <c r="I269" s="3" t="s">
        <v>257</v>
      </c>
      <c r="J269" s="3">
        <f>ABS(Table1[[#This Row],[Phone]])</f>
        <v>8621102257</v>
      </c>
      <c r="K269" s="3" t="str">
        <f>PROPER(TRIM(Table1[[#This Row],[Performance_Score]]))</f>
        <v>Good</v>
      </c>
      <c r="L269" s="3" t="b">
        <f>Table1[[#This Row],[Remote_Work]]</f>
        <v>0</v>
      </c>
      <c r="M269" s="3" t="str">
        <f>PROPER(CONCATENATE(Table13[[#This Row],[First_Name]], Table13[[#This Row],[Last_Name]]))</f>
        <v>Heidigarcia</v>
      </c>
      <c r="N269" s="3" t="str">
        <f t="shared" si="4"/>
        <v>Jan</v>
      </c>
      <c r="O269" s="3" t="str">
        <f>TEXT(Table13[[#This Row],[Join_Date]],"yyyy")</f>
        <v>2022</v>
      </c>
      <c r="P269" s="3" t="str">
        <f>LEFT('Main Project Raw Data'!E269,FIND("-",'Main Project Raw Data'!E269)-1)</f>
        <v>HR</v>
      </c>
      <c r="Q269" s="3" t="str">
        <f>RIGHT('Main Project Raw Data'!E269,LEN('Main Project Raw Data'!E269)-FIND("-",'Main Project Raw Data'!E269))</f>
        <v>Florida</v>
      </c>
    </row>
    <row r="270" spans="1:17" x14ac:dyDescent="0.3">
      <c r="A270" s="3" t="str">
        <f>TRIM(Table1[[#This Row],[Employee_ID]])</f>
        <v>EMP1268</v>
      </c>
      <c r="B270" s="3" t="str">
        <f>TRIM(Table1[[#This Row],[First_Name]])</f>
        <v>Grace</v>
      </c>
      <c r="C270" s="3" t="str">
        <f>TRIM(Table1[[#This Row],[Last_Name]])</f>
        <v>Davis</v>
      </c>
      <c r="D270" s="3">
        <f>IF(Table1[[#This Row],[Age]]="",AVERAGE(Table1[Age]),Table1[[#This Row],[Age]])</f>
        <v>32.484548825710753</v>
      </c>
      <c r="E270" s="3" t="s">
        <v>149</v>
      </c>
      <c r="F270" s="3" t="s">
        <v>28</v>
      </c>
      <c r="G270" s="5">
        <f>IF(ISNUMBER('Main Project Raw Data'!G270),'Main Project Raw Data'!G270,IF(ISNUMBER(SEARCH("/",'Main Project Raw Data'!G270)),DATE(RIGHT('Main Project Raw Data'!G270,4),LEFT('Main Project Raw Data'!G270,FIND("/",'Main Project Raw Data'!G270)-1),MID('Main Project Raw Data'!G270,FIND("/",'Main Project Raw Data'!G270)+1,2)),DATE(RIGHT('Main Project Raw Data'!G270,4),MID('Main Project Raw Data'!G270,4,2),LEFT('Main Project Raw Data'!G270,2))))</f>
        <v>45267</v>
      </c>
      <c r="H270" s="3">
        <f>IF(Table1[[#This Row],[Salary]]="",AVERAGE(Table1[Salary]),Table1[[#This Row],[Salary]])</f>
        <v>51865.3</v>
      </c>
      <c r="I270" s="3" t="s">
        <v>235</v>
      </c>
      <c r="J270" s="3">
        <f>ABS(Table1[[#This Row],[Phone]])</f>
        <v>305690673</v>
      </c>
      <c r="K270" s="3" t="str">
        <f>PROPER(TRIM(Table1[[#This Row],[Performance_Score]]))</f>
        <v>Poor</v>
      </c>
      <c r="L270" s="3" t="b">
        <f>Table1[[#This Row],[Remote_Work]]</f>
        <v>1</v>
      </c>
      <c r="M270" s="3" t="str">
        <f>PROPER(CONCATENATE(Table13[[#This Row],[First_Name]], Table13[[#This Row],[Last_Name]]))</f>
        <v>Gracedavis</v>
      </c>
      <c r="N270" s="3" t="str">
        <f t="shared" si="4"/>
        <v>Dec</v>
      </c>
      <c r="O270" s="3" t="str">
        <f>TEXT(Table13[[#This Row],[Join_Date]],"yyyy")</f>
        <v>2023</v>
      </c>
      <c r="P270" s="3" t="str">
        <f>LEFT('Main Project Raw Data'!E270,FIND("-",'Main Project Raw Data'!E270)-1)</f>
        <v>HR</v>
      </c>
      <c r="Q270" s="3" t="str">
        <f>RIGHT('Main Project Raw Data'!E270,LEN('Main Project Raw Data'!E270)-FIND("-",'Main Project Raw Data'!E270))</f>
        <v>Nevada</v>
      </c>
    </row>
    <row r="271" spans="1:17" x14ac:dyDescent="0.3">
      <c r="A271" s="3" t="str">
        <f>TRIM(Table1[[#This Row],[Employee_ID]])</f>
        <v>EMP1269</v>
      </c>
      <c r="B271" s="3" t="str">
        <f>TRIM(Table1[[#This Row],[First_Name]])</f>
        <v>David</v>
      </c>
      <c r="C271" s="3" t="str">
        <f>TRIM(Table1[[#This Row],[Last_Name]])</f>
        <v>Williams</v>
      </c>
      <c r="D271" s="3">
        <f>IF(Table1[[#This Row],[Age]]="",AVERAGE(Table1[Age]),Table1[[#This Row],[Age]])</f>
        <v>25</v>
      </c>
      <c r="E271" s="3" t="s">
        <v>74</v>
      </c>
      <c r="F271" s="3" t="s">
        <v>16</v>
      </c>
      <c r="G271" s="5">
        <f>IF(ISNUMBER('Main Project Raw Data'!G271),'Main Project Raw Data'!G271,IF(ISNUMBER(SEARCH("/",'Main Project Raw Data'!G271)),DATE(RIGHT('Main Project Raw Data'!G271,4),LEFT('Main Project Raw Data'!G271,FIND("/",'Main Project Raw Data'!G271)-1),MID('Main Project Raw Data'!G271,FIND("/",'Main Project Raw Data'!G271)+1,2)),DATE(RIGHT('Main Project Raw Data'!G271,4),MID('Main Project Raw Data'!G271,4,2),LEFT('Main Project Raw Data'!G271,2))))</f>
        <v>44816</v>
      </c>
      <c r="H271" s="3">
        <f>IF(Table1[[#This Row],[Salary]]="",AVERAGE(Table1[Salary]),Table1[[#This Row],[Salary]])</f>
        <v>94031.77</v>
      </c>
      <c r="I271" s="3" t="s">
        <v>61</v>
      </c>
      <c r="J271" s="3">
        <f>ABS(Table1[[#This Row],[Phone]])</f>
        <v>4716392822</v>
      </c>
      <c r="K271" s="3" t="str">
        <f>PROPER(TRIM(Table1[[#This Row],[Performance_Score]]))</f>
        <v>Excellent</v>
      </c>
      <c r="L271" s="3" t="b">
        <f>Table1[[#This Row],[Remote_Work]]</f>
        <v>1</v>
      </c>
      <c r="M271" s="3" t="str">
        <f>PROPER(CONCATENATE(Table13[[#This Row],[First_Name]], Table13[[#This Row],[Last_Name]]))</f>
        <v>Davidwilliams</v>
      </c>
      <c r="N271" s="3" t="str">
        <f t="shared" si="4"/>
        <v>Sep</v>
      </c>
      <c r="O271" s="3" t="str">
        <f>TEXT(Table13[[#This Row],[Join_Date]],"yyyy")</f>
        <v>2022</v>
      </c>
      <c r="P271" s="3" t="str">
        <f>LEFT('Main Project Raw Data'!E271,FIND("-",'Main Project Raw Data'!E271)-1)</f>
        <v>Sales</v>
      </c>
      <c r="Q271" s="3" t="str">
        <f>RIGHT('Main Project Raw Data'!E271,LEN('Main Project Raw Data'!E271)-FIND("-",'Main Project Raw Data'!E271))</f>
        <v>Florida</v>
      </c>
    </row>
    <row r="272" spans="1:17" x14ac:dyDescent="0.3">
      <c r="A272" s="3" t="str">
        <f>TRIM(Table1[[#This Row],[Employee_ID]])</f>
        <v>EMP1270</v>
      </c>
      <c r="B272" s="3" t="str">
        <f>TRIM(Table1[[#This Row],[First_Name]])</f>
        <v>Grace</v>
      </c>
      <c r="C272" s="3" t="str">
        <f>TRIM(Table1[[#This Row],[Last_Name]])</f>
        <v>Miller</v>
      </c>
      <c r="D272" s="3">
        <f>IF(Table1[[#This Row],[Age]]="",AVERAGE(Table1[Age]),Table1[[#This Row],[Age]])</f>
        <v>30</v>
      </c>
      <c r="E272" s="3" t="s">
        <v>56</v>
      </c>
      <c r="F272" s="3" t="s">
        <v>16</v>
      </c>
      <c r="G272" s="5">
        <f>IF(ISNUMBER('Main Project Raw Data'!G272),'Main Project Raw Data'!G272,IF(ISNUMBER(SEARCH("/",'Main Project Raw Data'!G272)),DATE(RIGHT('Main Project Raw Data'!G272,4),LEFT('Main Project Raw Data'!G272,FIND("/",'Main Project Raw Data'!G272)-1),MID('Main Project Raw Data'!G272,FIND("/",'Main Project Raw Data'!G272)+1,2)),DATE(RIGHT('Main Project Raw Data'!G272,4),MID('Main Project Raw Data'!G272,4,2),LEFT('Main Project Raw Data'!G272,2))))</f>
        <v>45003</v>
      </c>
      <c r="H272" s="3">
        <f>IF(Table1[[#This Row],[Salary]]="",AVERAGE(Table1[Salary]),Table1[[#This Row],[Salary]])</f>
        <v>116374.36</v>
      </c>
      <c r="I272" s="3" t="s">
        <v>168</v>
      </c>
      <c r="J272" s="3">
        <f>ABS(Table1[[#This Row],[Phone]])</f>
        <v>4143637188</v>
      </c>
      <c r="K272" s="3" t="str">
        <f>PROPER(TRIM(Table1[[#This Row],[Performance_Score]]))</f>
        <v>Excellent</v>
      </c>
      <c r="L272" s="3" t="b">
        <f>Table1[[#This Row],[Remote_Work]]</f>
        <v>0</v>
      </c>
      <c r="M272" s="3" t="str">
        <f>PROPER(CONCATENATE(Table13[[#This Row],[First_Name]], Table13[[#This Row],[Last_Name]]))</f>
        <v>Gracemiller</v>
      </c>
      <c r="N272" s="3" t="str">
        <f t="shared" si="4"/>
        <v>Mar</v>
      </c>
      <c r="O272" s="3" t="str">
        <f>TEXT(Table13[[#This Row],[Join_Date]],"yyyy")</f>
        <v>2023</v>
      </c>
      <c r="P272" s="3" t="str">
        <f>LEFT('Main Project Raw Data'!E272,FIND("-",'Main Project Raw Data'!E272)-1)</f>
        <v>DevOps</v>
      </c>
      <c r="Q272" s="3" t="str">
        <f>RIGHT('Main Project Raw Data'!E272,LEN('Main Project Raw Data'!E272)-FIND("-",'Main Project Raw Data'!E272))</f>
        <v>New York</v>
      </c>
    </row>
    <row r="273" spans="1:17" x14ac:dyDescent="0.3">
      <c r="A273" s="3" t="str">
        <f>TRIM(Table1[[#This Row],[Employee_ID]])</f>
        <v>EMP1271</v>
      </c>
      <c r="B273" s="3" t="str">
        <f>TRIM(Table1[[#This Row],[First_Name]])</f>
        <v>Alice</v>
      </c>
      <c r="C273" s="3" t="str">
        <f>TRIM(Table1[[#This Row],[Last_Name]])</f>
        <v>Garcia</v>
      </c>
      <c r="D273" s="3">
        <f>IF(Table1[[#This Row],[Age]]="",AVERAGE(Table1[Age]),Table1[[#This Row],[Age]])</f>
        <v>40</v>
      </c>
      <c r="E273" s="3" t="s">
        <v>212</v>
      </c>
      <c r="F273" s="3" t="s">
        <v>16</v>
      </c>
      <c r="G273" s="5">
        <f>IF(ISNUMBER('Main Project Raw Data'!G273),'Main Project Raw Data'!G273,IF(ISNUMBER(SEARCH("/",'Main Project Raw Data'!G273)),DATE(RIGHT('Main Project Raw Data'!G273,4),LEFT('Main Project Raw Data'!G273,FIND("/",'Main Project Raw Data'!G273)-1),MID('Main Project Raw Data'!G273,FIND("/",'Main Project Raw Data'!G273)+1,2)),DATE(RIGHT('Main Project Raw Data'!G273,4),MID('Main Project Raw Data'!G273,4,2),LEFT('Main Project Raw Data'!G273,2))))</f>
        <v>44676</v>
      </c>
      <c r="H273" s="3">
        <f>IF(Table1[[#This Row],[Salary]]="",AVERAGE(Table1[Salary]),Table1[[#This Row],[Salary]])</f>
        <v>98335.02</v>
      </c>
      <c r="I273" s="3" t="s">
        <v>45</v>
      </c>
      <c r="J273" s="3">
        <f>ABS(Table1[[#This Row],[Phone]])</f>
        <v>2392312603</v>
      </c>
      <c r="K273" s="3" t="str">
        <f>PROPER(TRIM(Table1[[#This Row],[Performance_Score]]))</f>
        <v>Excellent</v>
      </c>
      <c r="L273" s="3" t="b">
        <f>Table1[[#This Row],[Remote_Work]]</f>
        <v>0</v>
      </c>
      <c r="M273" s="3" t="str">
        <f>PROPER(CONCATENATE(Table13[[#This Row],[First_Name]], Table13[[#This Row],[Last_Name]]))</f>
        <v>Alicegarcia</v>
      </c>
      <c r="N273" s="3" t="str">
        <f t="shared" si="4"/>
        <v>Apr</v>
      </c>
      <c r="O273" s="3" t="str">
        <f>TEXT(Table13[[#This Row],[Join_Date]],"yyyy")</f>
        <v>2022</v>
      </c>
      <c r="P273" s="3" t="str">
        <f>LEFT('Main Project Raw Data'!E273,FIND("-",'Main Project Raw Data'!E273)-1)</f>
        <v>HR</v>
      </c>
      <c r="Q273" s="3" t="str">
        <f>RIGHT('Main Project Raw Data'!E273,LEN('Main Project Raw Data'!E273)-FIND("-",'Main Project Raw Data'!E273))</f>
        <v>Florida</v>
      </c>
    </row>
    <row r="274" spans="1:17" x14ac:dyDescent="0.3">
      <c r="A274" s="3" t="str">
        <f>TRIM(Table1[[#This Row],[Employee_ID]])</f>
        <v>EMP1272</v>
      </c>
      <c r="B274" s="3" t="str">
        <f>TRIM(Table1[[#This Row],[First_Name]])</f>
        <v>Heidi</v>
      </c>
      <c r="C274" s="3" t="str">
        <f>TRIM(Table1[[#This Row],[Last_Name]])</f>
        <v>Garcia</v>
      </c>
      <c r="D274" s="3">
        <f>IF(Table1[[#This Row],[Age]]="",AVERAGE(Table1[Age]),Table1[[#This Row],[Age]])</f>
        <v>25</v>
      </c>
      <c r="E274" s="3" t="s">
        <v>56</v>
      </c>
      <c r="F274" s="3" t="s">
        <v>28</v>
      </c>
      <c r="G274" s="5">
        <f>IF(ISNUMBER('Main Project Raw Data'!G274),'Main Project Raw Data'!G274,IF(ISNUMBER(SEARCH("/",'Main Project Raw Data'!G274)),DATE(RIGHT('Main Project Raw Data'!G274,4),LEFT('Main Project Raw Data'!G274,FIND("/",'Main Project Raw Data'!G274)-1),MID('Main Project Raw Data'!G274,FIND("/",'Main Project Raw Data'!G274)+1,2)),DATE(RIGHT('Main Project Raw Data'!G274,4),MID('Main Project Raw Data'!G274,4,2),LEFT('Main Project Raw Data'!G274,2))))</f>
        <v>44255</v>
      </c>
      <c r="H274" s="3">
        <f>IF(Table1[[#This Row],[Salary]]="",AVERAGE(Table1[Salary]),Table1[[#This Row],[Salary]])</f>
        <v>89262.07</v>
      </c>
      <c r="I274" s="3" t="s">
        <v>257</v>
      </c>
      <c r="J274" s="3">
        <f>ABS(Table1[[#This Row],[Phone]])</f>
        <v>3260931065</v>
      </c>
      <c r="K274" s="3" t="str">
        <f>PROPER(TRIM(Table1[[#This Row],[Performance_Score]]))</f>
        <v>Poor</v>
      </c>
      <c r="L274" s="3" t="b">
        <f>Table1[[#This Row],[Remote_Work]]</f>
        <v>1</v>
      </c>
      <c r="M274" s="3" t="str">
        <f>PROPER(CONCATENATE(Table13[[#This Row],[First_Name]], Table13[[#This Row],[Last_Name]]))</f>
        <v>Heidigarcia</v>
      </c>
      <c r="N274" s="3" t="str">
        <f t="shared" si="4"/>
        <v>Feb</v>
      </c>
      <c r="O274" s="3" t="str">
        <f>TEXT(Table13[[#This Row],[Join_Date]],"yyyy")</f>
        <v>2021</v>
      </c>
      <c r="P274" s="3" t="str">
        <f>LEFT('Main Project Raw Data'!E274,FIND("-",'Main Project Raw Data'!E274)-1)</f>
        <v>DevOps</v>
      </c>
      <c r="Q274" s="3" t="str">
        <f>RIGHT('Main Project Raw Data'!E274,LEN('Main Project Raw Data'!E274)-FIND("-",'Main Project Raw Data'!E274))</f>
        <v>New York</v>
      </c>
    </row>
    <row r="275" spans="1:17" x14ac:dyDescent="0.3">
      <c r="A275" s="3" t="str">
        <f>TRIM(Table1[[#This Row],[Employee_ID]])</f>
        <v>EMP1273</v>
      </c>
      <c r="B275" s="3" t="str">
        <f>TRIM(Table1[[#This Row],[First_Name]])</f>
        <v>Heidi</v>
      </c>
      <c r="C275" s="3" t="str">
        <f>TRIM(Table1[[#This Row],[Last_Name]])</f>
        <v>Garcia</v>
      </c>
      <c r="D275" s="3">
        <f>IF(Table1[[#This Row],[Age]]="",AVERAGE(Table1[Age]),Table1[[#This Row],[Age]])</f>
        <v>32.484548825710753</v>
      </c>
      <c r="E275" s="3" t="s">
        <v>70</v>
      </c>
      <c r="F275" s="3" t="s">
        <v>16</v>
      </c>
      <c r="G275" s="5">
        <f>IF(ISNUMBER('Main Project Raw Data'!G275),'Main Project Raw Data'!G275,IF(ISNUMBER(SEARCH("/",'Main Project Raw Data'!G275)),DATE(RIGHT('Main Project Raw Data'!G275,4),LEFT('Main Project Raw Data'!G275,FIND("/",'Main Project Raw Data'!G275)-1),MID('Main Project Raw Data'!G275,FIND("/",'Main Project Raw Data'!G275)+1,2)),DATE(RIGHT('Main Project Raw Data'!G275,4),MID('Main Project Raw Data'!G275,4,2),LEFT('Main Project Raw Data'!G275,2))))</f>
        <v>44772</v>
      </c>
      <c r="H275" s="3">
        <f>IF(Table1[[#This Row],[Salary]]="",AVERAGE(Table1[Salary]),Table1[[#This Row],[Salary]])</f>
        <v>113848.69</v>
      </c>
      <c r="I275" s="3" t="s">
        <v>257</v>
      </c>
      <c r="J275" s="3">
        <f>ABS(Table1[[#This Row],[Phone]])</f>
        <v>8433567085</v>
      </c>
      <c r="K275" s="3" t="str">
        <f>PROPER(TRIM(Table1[[#This Row],[Performance_Score]]))</f>
        <v>Excellent</v>
      </c>
      <c r="L275" s="3" t="b">
        <f>Table1[[#This Row],[Remote_Work]]</f>
        <v>1</v>
      </c>
      <c r="M275" s="3" t="str">
        <f>PROPER(CONCATENATE(Table13[[#This Row],[First_Name]], Table13[[#This Row],[Last_Name]]))</f>
        <v>Heidigarcia</v>
      </c>
      <c r="N275" s="3" t="str">
        <f t="shared" si="4"/>
        <v>Jul</v>
      </c>
      <c r="O275" s="3" t="str">
        <f>TEXT(Table13[[#This Row],[Join_Date]],"yyyy")</f>
        <v>2022</v>
      </c>
      <c r="P275" s="3" t="str">
        <f>LEFT('Main Project Raw Data'!E275,FIND("-",'Main Project Raw Data'!E275)-1)</f>
        <v>Finance</v>
      </c>
      <c r="Q275" s="3" t="str">
        <f>RIGHT('Main Project Raw Data'!E275,LEN('Main Project Raw Data'!E275)-FIND("-",'Main Project Raw Data'!E275))</f>
        <v>California</v>
      </c>
    </row>
    <row r="276" spans="1:17" x14ac:dyDescent="0.3">
      <c r="A276" s="3" t="str">
        <f>TRIM(Table1[[#This Row],[Employee_ID]])</f>
        <v>EMP1274</v>
      </c>
      <c r="B276" s="3" t="str">
        <f>TRIM(Table1[[#This Row],[First_Name]])</f>
        <v>Frank</v>
      </c>
      <c r="C276" s="3" t="str">
        <f>TRIM(Table1[[#This Row],[Last_Name]])</f>
        <v>Smith</v>
      </c>
      <c r="D276" s="3">
        <f>IF(Table1[[#This Row],[Age]]="",AVERAGE(Table1[Age]),Table1[[#This Row],[Age]])</f>
        <v>35</v>
      </c>
      <c r="E276" s="3" t="s">
        <v>74</v>
      </c>
      <c r="F276" s="3" t="s">
        <v>16</v>
      </c>
      <c r="G276" s="5">
        <f>IF(ISNUMBER('Main Project Raw Data'!G276),'Main Project Raw Data'!G276,IF(ISNUMBER(SEARCH("/",'Main Project Raw Data'!G276)),DATE(RIGHT('Main Project Raw Data'!G276,4),LEFT('Main Project Raw Data'!G276,FIND("/",'Main Project Raw Data'!G276)-1),MID('Main Project Raw Data'!G276,FIND("/",'Main Project Raw Data'!G276)+1,2)),DATE(RIGHT('Main Project Raw Data'!G276,4),MID('Main Project Raw Data'!G276,4,2),LEFT('Main Project Raw Data'!G276,2))))</f>
        <v>44335</v>
      </c>
      <c r="H276" s="3">
        <f>IF(Table1[[#This Row],[Salary]]="",AVERAGE(Table1[Salary]),Table1[[#This Row],[Salary]])</f>
        <v>69530.45</v>
      </c>
      <c r="I276" s="3" t="s">
        <v>137</v>
      </c>
      <c r="J276" s="3">
        <f>ABS(Table1[[#This Row],[Phone]])</f>
        <v>414545634</v>
      </c>
      <c r="K276" s="3" t="str">
        <f>PROPER(TRIM(Table1[[#This Row],[Performance_Score]]))</f>
        <v>Poor</v>
      </c>
      <c r="L276" s="3" t="b">
        <f>Table1[[#This Row],[Remote_Work]]</f>
        <v>1</v>
      </c>
      <c r="M276" s="3" t="str">
        <f>PROPER(CONCATENATE(Table13[[#This Row],[First_Name]], Table13[[#This Row],[Last_Name]]))</f>
        <v>Franksmith</v>
      </c>
      <c r="N276" s="3" t="str">
        <f t="shared" si="4"/>
        <v>May</v>
      </c>
      <c r="O276" s="3" t="str">
        <f>TEXT(Table13[[#This Row],[Join_Date]],"yyyy")</f>
        <v>2021</v>
      </c>
      <c r="P276" s="3" t="str">
        <f>LEFT('Main Project Raw Data'!E276,FIND("-",'Main Project Raw Data'!E276)-1)</f>
        <v>Sales</v>
      </c>
      <c r="Q276" s="3" t="str">
        <f>RIGHT('Main Project Raw Data'!E276,LEN('Main Project Raw Data'!E276)-FIND("-",'Main Project Raw Data'!E276))</f>
        <v>Florida</v>
      </c>
    </row>
    <row r="277" spans="1:17" x14ac:dyDescent="0.3">
      <c r="A277" s="3" t="str">
        <f>TRIM(Table1[[#This Row],[Employee_ID]])</f>
        <v>EMP1275</v>
      </c>
      <c r="B277" s="3" t="str">
        <f>TRIM(Table1[[#This Row],[First_Name]])</f>
        <v>Eva</v>
      </c>
      <c r="C277" s="3" t="str">
        <f>TRIM(Table1[[#This Row],[Last_Name]])</f>
        <v>Brown</v>
      </c>
      <c r="D277" s="3">
        <f>IF(Table1[[#This Row],[Age]]="",AVERAGE(Table1[Age]),Table1[[#This Row],[Age]])</f>
        <v>35</v>
      </c>
      <c r="E277" s="3" t="s">
        <v>56</v>
      </c>
      <c r="F277" s="3" t="s">
        <v>28</v>
      </c>
      <c r="G277" s="5">
        <f>IF(ISNUMBER('Main Project Raw Data'!G277),'Main Project Raw Data'!G277,IF(ISNUMBER(SEARCH("/",'Main Project Raw Data'!G277)),DATE(RIGHT('Main Project Raw Data'!G277,4),LEFT('Main Project Raw Data'!G277,FIND("/",'Main Project Raw Data'!G277)-1),MID('Main Project Raw Data'!G277,FIND("/",'Main Project Raw Data'!G277)+1,2)),DATE(RIGHT('Main Project Raw Data'!G277,4),MID('Main Project Raw Data'!G277,4,2),LEFT('Main Project Raw Data'!G277,2))))</f>
        <v>45274</v>
      </c>
      <c r="H277" s="3">
        <f>IF(Table1[[#This Row],[Salary]]="",AVERAGE(Table1[Salary]),Table1[[#This Row],[Salary]])</f>
        <v>84230.22</v>
      </c>
      <c r="I277" s="3" t="s">
        <v>155</v>
      </c>
      <c r="J277" s="3">
        <f>ABS(Table1[[#This Row],[Phone]])</f>
        <v>200053473</v>
      </c>
      <c r="K277" s="3" t="str">
        <f>PROPER(TRIM(Table1[[#This Row],[Performance_Score]]))</f>
        <v>Good</v>
      </c>
      <c r="L277" s="3" t="b">
        <f>Table1[[#This Row],[Remote_Work]]</f>
        <v>1</v>
      </c>
      <c r="M277" s="3" t="str">
        <f>PROPER(CONCATENATE(Table13[[#This Row],[First_Name]], Table13[[#This Row],[Last_Name]]))</f>
        <v>Evabrown</v>
      </c>
      <c r="N277" s="3" t="str">
        <f t="shared" si="4"/>
        <v>Dec</v>
      </c>
      <c r="O277" s="3" t="str">
        <f>TEXT(Table13[[#This Row],[Join_Date]],"yyyy")</f>
        <v>2023</v>
      </c>
      <c r="P277" s="3" t="str">
        <f>LEFT('Main Project Raw Data'!E277,FIND("-",'Main Project Raw Data'!E277)-1)</f>
        <v>DevOps</v>
      </c>
      <c r="Q277" s="3" t="str">
        <f>RIGHT('Main Project Raw Data'!E277,LEN('Main Project Raw Data'!E277)-FIND("-",'Main Project Raw Data'!E277))</f>
        <v>New York</v>
      </c>
    </row>
    <row r="278" spans="1:17" x14ac:dyDescent="0.3">
      <c r="A278" s="3" t="str">
        <f>TRIM(Table1[[#This Row],[Employee_ID]])</f>
        <v>EMP1276</v>
      </c>
      <c r="B278" s="3" t="str">
        <f>TRIM(Table1[[#This Row],[First_Name]])</f>
        <v>Eva</v>
      </c>
      <c r="C278" s="3" t="str">
        <f>TRIM(Table1[[#This Row],[Last_Name]])</f>
        <v>Smith</v>
      </c>
      <c r="D278" s="3">
        <f>IF(Table1[[#This Row],[Age]]="",AVERAGE(Table1[Age]),Table1[[#This Row],[Age]])</f>
        <v>35</v>
      </c>
      <c r="E278" s="3" t="s">
        <v>95</v>
      </c>
      <c r="F278" s="3" t="s">
        <v>28</v>
      </c>
      <c r="G278" s="5">
        <f>IF(ISNUMBER('Main Project Raw Data'!G278),'Main Project Raw Data'!G278,IF(ISNUMBER(SEARCH("/",'Main Project Raw Data'!G278)),DATE(RIGHT('Main Project Raw Data'!G278,4),LEFT('Main Project Raw Data'!G278,FIND("/",'Main Project Raw Data'!G278)-1),MID('Main Project Raw Data'!G278,FIND("/",'Main Project Raw Data'!G278)+1,2)),DATE(RIGHT('Main Project Raw Data'!G278,4),MID('Main Project Raw Data'!G278,4,2),LEFT('Main Project Raw Data'!G278,2))))</f>
        <v>44943</v>
      </c>
      <c r="H278" s="3">
        <f>IF(Table1[[#This Row],[Salary]]="",AVERAGE(Table1[Salary]),Table1[[#This Row],[Salary]])</f>
        <v>76578.59</v>
      </c>
      <c r="I278" s="3" t="s">
        <v>521</v>
      </c>
      <c r="J278" s="3">
        <f>ABS(Table1[[#This Row],[Phone]])</f>
        <v>9162475540</v>
      </c>
      <c r="K278" s="3" t="str">
        <f>PROPER(TRIM(Table1[[#This Row],[Performance_Score]]))</f>
        <v>Average</v>
      </c>
      <c r="L278" s="3" t="b">
        <f>Table1[[#This Row],[Remote_Work]]</f>
        <v>0</v>
      </c>
      <c r="M278" s="3" t="str">
        <f>PROPER(CONCATENATE(Table13[[#This Row],[First_Name]], Table13[[#This Row],[Last_Name]]))</f>
        <v>Evasmith</v>
      </c>
      <c r="N278" s="3" t="str">
        <f t="shared" si="4"/>
        <v>Jan</v>
      </c>
      <c r="O278" s="3" t="str">
        <f>TEXT(Table13[[#This Row],[Join_Date]],"yyyy")</f>
        <v>2023</v>
      </c>
      <c r="P278" s="3" t="str">
        <f>LEFT('Main Project Raw Data'!E278,FIND("-",'Main Project Raw Data'!E278)-1)</f>
        <v>Cloud Tech</v>
      </c>
      <c r="Q278" s="3" t="str">
        <f>RIGHT('Main Project Raw Data'!E278,LEN('Main Project Raw Data'!E278)-FIND("-",'Main Project Raw Data'!E278))</f>
        <v>Illinois</v>
      </c>
    </row>
    <row r="279" spans="1:17" x14ac:dyDescent="0.3">
      <c r="A279" s="3" t="str">
        <f>TRIM(Table1[[#This Row],[Employee_ID]])</f>
        <v>EMP1277</v>
      </c>
      <c r="B279" s="3" t="str">
        <f>TRIM(Table1[[#This Row],[First_Name]])</f>
        <v>Frank</v>
      </c>
      <c r="C279" s="3" t="str">
        <f>TRIM(Table1[[#This Row],[Last_Name]])</f>
        <v>Miller</v>
      </c>
      <c r="D279" s="3">
        <f>IF(Table1[[#This Row],[Age]]="",AVERAGE(Table1[Age]),Table1[[#This Row],[Age]])</f>
        <v>30</v>
      </c>
      <c r="E279" s="3" t="s">
        <v>139</v>
      </c>
      <c r="F279" s="3" t="s">
        <v>33</v>
      </c>
      <c r="G279" s="5">
        <f>IF(ISNUMBER('Main Project Raw Data'!G279),'Main Project Raw Data'!G279,IF(ISNUMBER(SEARCH("/",'Main Project Raw Data'!G279)),DATE(RIGHT('Main Project Raw Data'!G279,4),LEFT('Main Project Raw Data'!G279,FIND("/",'Main Project Raw Data'!G279)-1),MID('Main Project Raw Data'!G279,FIND("/",'Main Project Raw Data'!G279)+1,2)),DATE(RIGHT('Main Project Raw Data'!G279,4),MID('Main Project Raw Data'!G279,4,2),LEFT('Main Project Raw Data'!G279,2))))</f>
        <v>45323</v>
      </c>
      <c r="H279" s="3">
        <f>IF(Table1[[#This Row],[Salary]]="",AVERAGE(Table1[Salary]),Table1[[#This Row],[Salary]])</f>
        <v>55532.06</v>
      </c>
      <c r="I279" s="3" t="s">
        <v>110</v>
      </c>
      <c r="J279" s="3">
        <f>ABS(Table1[[#This Row],[Phone]])</f>
        <v>1082555988</v>
      </c>
      <c r="K279" s="3" t="str">
        <f>PROPER(TRIM(Table1[[#This Row],[Performance_Score]]))</f>
        <v>Excellent</v>
      </c>
      <c r="L279" s="3" t="b">
        <f>Table1[[#This Row],[Remote_Work]]</f>
        <v>1</v>
      </c>
      <c r="M279" s="3" t="str">
        <f>PROPER(CONCATENATE(Table13[[#This Row],[First_Name]], Table13[[#This Row],[Last_Name]]))</f>
        <v>Frankmiller</v>
      </c>
      <c r="N279" s="3" t="str">
        <f t="shared" si="4"/>
        <v>Feb</v>
      </c>
      <c r="O279" s="3" t="str">
        <f>TEXT(Table13[[#This Row],[Join_Date]],"yyyy")</f>
        <v>2024</v>
      </c>
      <c r="P279" s="3" t="str">
        <f>LEFT('Main Project Raw Data'!E279,FIND("-",'Main Project Raw Data'!E279)-1)</f>
        <v>HR</v>
      </c>
      <c r="Q279" s="3" t="str">
        <f>RIGHT('Main Project Raw Data'!E279,LEN('Main Project Raw Data'!E279)-FIND("-",'Main Project Raw Data'!E279))</f>
        <v>Texas</v>
      </c>
    </row>
    <row r="280" spans="1:17" x14ac:dyDescent="0.3">
      <c r="A280" s="3" t="str">
        <f>TRIM(Table1[[#This Row],[Employee_ID]])</f>
        <v>EMP1278</v>
      </c>
      <c r="B280" s="3" t="str">
        <f>TRIM(Table1[[#This Row],[First_Name]])</f>
        <v>Eva</v>
      </c>
      <c r="C280" s="3" t="str">
        <f>TRIM(Table1[[#This Row],[Last_Name]])</f>
        <v>Smith</v>
      </c>
      <c r="D280" s="3">
        <f>IF(Table1[[#This Row],[Age]]="",AVERAGE(Table1[Age]),Table1[[#This Row],[Age]])</f>
        <v>40</v>
      </c>
      <c r="E280" s="3" t="s">
        <v>196</v>
      </c>
      <c r="F280" s="3" t="s">
        <v>28</v>
      </c>
      <c r="G280" s="5">
        <f>IF(ISNUMBER('Main Project Raw Data'!G280),'Main Project Raw Data'!G280,IF(ISNUMBER(SEARCH("/",'Main Project Raw Data'!G280)),DATE(RIGHT('Main Project Raw Data'!G280,4),LEFT('Main Project Raw Data'!G280,FIND("/",'Main Project Raw Data'!G280)-1),MID('Main Project Raw Data'!G280,FIND("/",'Main Project Raw Data'!G280)+1,2)),DATE(RIGHT('Main Project Raw Data'!G280,4),MID('Main Project Raw Data'!G280,4,2),LEFT('Main Project Raw Data'!G280,2))))</f>
        <v>44446</v>
      </c>
      <c r="H280" s="3">
        <f>IF(Table1[[#This Row],[Salary]]="",AVERAGE(Table1[Salary]),Table1[[#This Row],[Salary]])</f>
        <v>115311.67999999999</v>
      </c>
      <c r="I280" s="3" t="s">
        <v>521</v>
      </c>
      <c r="J280" s="3">
        <f>ABS(Table1[[#This Row],[Phone]])</f>
        <v>5343961128</v>
      </c>
      <c r="K280" s="3" t="str">
        <f>PROPER(TRIM(Table1[[#This Row],[Performance_Score]]))</f>
        <v>Excellent</v>
      </c>
      <c r="L280" s="3" t="b">
        <f>Table1[[#This Row],[Remote_Work]]</f>
        <v>1</v>
      </c>
      <c r="M280" s="3" t="str">
        <f>PROPER(CONCATENATE(Table13[[#This Row],[First_Name]], Table13[[#This Row],[Last_Name]]))</f>
        <v>Evasmith</v>
      </c>
      <c r="N280" s="3" t="str">
        <f t="shared" si="4"/>
        <v>Sep</v>
      </c>
      <c r="O280" s="3" t="str">
        <f>TEXT(Table13[[#This Row],[Join_Date]],"yyyy")</f>
        <v>2021</v>
      </c>
      <c r="P280" s="3" t="str">
        <f>LEFT('Main Project Raw Data'!E280,FIND("-",'Main Project Raw Data'!E280)-1)</f>
        <v>Admin</v>
      </c>
      <c r="Q280" s="3" t="str">
        <f>RIGHT('Main Project Raw Data'!E280,LEN('Main Project Raw Data'!E280)-FIND("-",'Main Project Raw Data'!E280))</f>
        <v>New York</v>
      </c>
    </row>
    <row r="281" spans="1:17" x14ac:dyDescent="0.3">
      <c r="A281" s="3" t="str">
        <f>TRIM(Table1[[#This Row],[Employee_ID]])</f>
        <v>EMP1279</v>
      </c>
      <c r="B281" s="3" t="str">
        <f>TRIM(Table1[[#This Row],[First_Name]])</f>
        <v>Charlie</v>
      </c>
      <c r="C281" s="3" t="str">
        <f>TRIM(Table1[[#This Row],[Last_Name]])</f>
        <v>Johnson</v>
      </c>
      <c r="D281" s="3">
        <f>IF(Table1[[#This Row],[Age]]="",AVERAGE(Table1[Age]),Table1[[#This Row],[Age]])</f>
        <v>25</v>
      </c>
      <c r="E281" s="3" t="s">
        <v>219</v>
      </c>
      <c r="F281" s="3" t="s">
        <v>28</v>
      </c>
      <c r="G281" s="5">
        <f>IF(ISNUMBER('Main Project Raw Data'!G281),'Main Project Raw Data'!G281,IF(ISNUMBER(SEARCH("/",'Main Project Raw Data'!G281)),DATE(RIGHT('Main Project Raw Data'!G281,4),LEFT('Main Project Raw Data'!G281,FIND("/",'Main Project Raw Data'!G281)-1),MID('Main Project Raw Data'!G281,FIND("/",'Main Project Raw Data'!G281)+1,2)),DATE(RIGHT('Main Project Raw Data'!G281,4),MID('Main Project Raw Data'!G281,4,2),LEFT('Main Project Raw Data'!G281,2))))</f>
        <v>44321</v>
      </c>
      <c r="H281" s="3">
        <f>IF(Table1[[#This Row],[Salary]]="",AVERAGE(Table1[Salary]),Table1[[#This Row],[Salary]])</f>
        <v>66972.06</v>
      </c>
      <c r="I281" s="3" t="s">
        <v>57</v>
      </c>
      <c r="J281" s="3">
        <f>ABS(Table1[[#This Row],[Phone]])</f>
        <v>1093371188</v>
      </c>
      <c r="K281" s="3" t="str">
        <f>PROPER(TRIM(Table1[[#This Row],[Performance_Score]]))</f>
        <v>Good</v>
      </c>
      <c r="L281" s="3" t="b">
        <f>Table1[[#This Row],[Remote_Work]]</f>
        <v>1</v>
      </c>
      <c r="M281" s="3" t="str">
        <f>PROPER(CONCATENATE(Table13[[#This Row],[First_Name]], Table13[[#This Row],[Last_Name]]))</f>
        <v>Charliejohnson</v>
      </c>
      <c r="N281" s="3" t="str">
        <f t="shared" si="4"/>
        <v>May</v>
      </c>
      <c r="O281" s="3" t="str">
        <f>TEXT(Table13[[#This Row],[Join_Date]],"yyyy")</f>
        <v>2021</v>
      </c>
      <c r="P281" s="3" t="str">
        <f>LEFT('Main Project Raw Data'!E281,FIND("-",'Main Project Raw Data'!E281)-1)</f>
        <v>Sales</v>
      </c>
      <c r="Q281" s="3" t="str">
        <f>RIGHT('Main Project Raw Data'!E281,LEN('Main Project Raw Data'!E281)-FIND("-",'Main Project Raw Data'!E281))</f>
        <v>Nevada</v>
      </c>
    </row>
    <row r="282" spans="1:17" x14ac:dyDescent="0.3">
      <c r="A282" s="3" t="str">
        <f>TRIM(Table1[[#This Row],[Employee_ID]])</f>
        <v>EMP1280</v>
      </c>
      <c r="B282" s="3" t="str">
        <f>TRIM(Table1[[#This Row],[First_Name]])</f>
        <v>David</v>
      </c>
      <c r="C282" s="3" t="str">
        <f>TRIM(Table1[[#This Row],[Last_Name]])</f>
        <v>Brown</v>
      </c>
      <c r="D282" s="3">
        <f>IF(Table1[[#This Row],[Age]]="",AVERAGE(Table1[Age]),Table1[[#This Row],[Age]])</f>
        <v>30</v>
      </c>
      <c r="E282" s="3" t="s">
        <v>159</v>
      </c>
      <c r="F282" s="3" t="s">
        <v>33</v>
      </c>
      <c r="G282" s="5">
        <f>IF(ISNUMBER('Main Project Raw Data'!G282),'Main Project Raw Data'!G282,IF(ISNUMBER(SEARCH("/",'Main Project Raw Data'!G282)),DATE(RIGHT('Main Project Raw Data'!G282,4),LEFT('Main Project Raw Data'!G282,FIND("/",'Main Project Raw Data'!G282)-1),MID('Main Project Raw Data'!G282,FIND("/",'Main Project Raw Data'!G282)+1,2)),DATE(RIGHT('Main Project Raw Data'!G282,4),MID('Main Project Raw Data'!G282,4,2),LEFT('Main Project Raw Data'!G282,2))))</f>
        <v>44388</v>
      </c>
      <c r="H282" s="3">
        <f>IF(Table1[[#This Row],[Salary]]="",AVERAGE(Table1[Salary]),Table1[[#This Row],[Salary]])</f>
        <v>100215.06</v>
      </c>
      <c r="I282" s="3" t="s">
        <v>225</v>
      </c>
      <c r="J282" s="3">
        <f>ABS(Table1[[#This Row],[Phone]])</f>
        <v>5473820235</v>
      </c>
      <c r="K282" s="3" t="str">
        <f>PROPER(TRIM(Table1[[#This Row],[Performance_Score]]))</f>
        <v>Average</v>
      </c>
      <c r="L282" s="3" t="b">
        <f>Table1[[#This Row],[Remote_Work]]</f>
        <v>1</v>
      </c>
      <c r="M282" s="3" t="str">
        <f>PROPER(CONCATENATE(Table13[[#This Row],[First_Name]], Table13[[#This Row],[Last_Name]]))</f>
        <v>Davidbrown</v>
      </c>
      <c r="N282" s="3" t="str">
        <f t="shared" si="4"/>
        <v>Jul</v>
      </c>
      <c r="O282" s="3" t="str">
        <f>TEXT(Table13[[#This Row],[Join_Date]],"yyyy")</f>
        <v>2021</v>
      </c>
      <c r="P282" s="3" t="str">
        <f>LEFT('Main Project Raw Data'!E282,FIND("-",'Main Project Raw Data'!E282)-1)</f>
        <v>Cloud Tech</v>
      </c>
      <c r="Q282" s="3" t="str">
        <f>RIGHT('Main Project Raw Data'!E282,LEN('Main Project Raw Data'!E282)-FIND("-",'Main Project Raw Data'!E282))</f>
        <v>Texas</v>
      </c>
    </row>
    <row r="283" spans="1:17" x14ac:dyDescent="0.3">
      <c r="A283" s="3" t="str">
        <f>TRIM(Table1[[#This Row],[Employee_ID]])</f>
        <v>EMP1281</v>
      </c>
      <c r="B283" s="3" t="str">
        <f>TRIM(Table1[[#This Row],[First_Name]])</f>
        <v>Charlie</v>
      </c>
      <c r="C283" s="3" t="str">
        <f>TRIM(Table1[[#This Row],[Last_Name]])</f>
        <v>Brown</v>
      </c>
      <c r="D283" s="3">
        <f>IF(Table1[[#This Row],[Age]]="",AVERAGE(Table1[Age]),Table1[[#This Row],[Age]])</f>
        <v>25</v>
      </c>
      <c r="E283" s="3" t="s">
        <v>109</v>
      </c>
      <c r="F283" s="3" t="s">
        <v>33</v>
      </c>
      <c r="G283" s="5">
        <f>IF(ISNUMBER('Main Project Raw Data'!G283),'Main Project Raw Data'!G283,IF(ISNUMBER(SEARCH("/",'Main Project Raw Data'!G283)),DATE(RIGHT('Main Project Raw Data'!G283,4),LEFT('Main Project Raw Data'!G283,FIND("/",'Main Project Raw Data'!G283)-1),MID('Main Project Raw Data'!G283,FIND("/",'Main Project Raw Data'!G283)+1,2)),DATE(RIGHT('Main Project Raw Data'!G283,4),MID('Main Project Raw Data'!G283,4,2),LEFT('Main Project Raw Data'!G283,2))))</f>
        <v>45168</v>
      </c>
      <c r="H283" s="3">
        <f>IF(Table1[[#This Row],[Salary]]="",AVERAGE(Table1[Salary]),Table1[[#This Row],[Salary]])</f>
        <v>115452.25</v>
      </c>
      <c r="I283" s="3" t="s">
        <v>125</v>
      </c>
      <c r="J283" s="3">
        <f>ABS(Table1[[#This Row],[Phone]])</f>
        <v>8485571616</v>
      </c>
      <c r="K283" s="3" t="str">
        <f>PROPER(TRIM(Table1[[#This Row],[Performance_Score]]))</f>
        <v>Poor</v>
      </c>
      <c r="L283" s="3" t="b">
        <f>Table1[[#This Row],[Remote_Work]]</f>
        <v>0</v>
      </c>
      <c r="M283" s="3" t="str">
        <f>PROPER(CONCATENATE(Table13[[#This Row],[First_Name]], Table13[[#This Row],[Last_Name]]))</f>
        <v>Charliebrown</v>
      </c>
      <c r="N283" s="3" t="str">
        <f t="shared" si="4"/>
        <v>Aug</v>
      </c>
      <c r="O283" s="3" t="str">
        <f>TEXT(Table13[[#This Row],[Join_Date]],"yyyy")</f>
        <v>2023</v>
      </c>
      <c r="P283" s="3" t="str">
        <f>LEFT('Main Project Raw Data'!E283,FIND("-",'Main Project Raw Data'!E283)-1)</f>
        <v>Sales</v>
      </c>
      <c r="Q283" s="3" t="str">
        <f>RIGHT('Main Project Raw Data'!E283,LEN('Main Project Raw Data'!E283)-FIND("-",'Main Project Raw Data'!E283))</f>
        <v>New York</v>
      </c>
    </row>
    <row r="284" spans="1:17" x14ac:dyDescent="0.3">
      <c r="A284" s="3" t="str">
        <f>TRIM(Table1[[#This Row],[Employee_ID]])</f>
        <v>EMP1282</v>
      </c>
      <c r="B284" s="3" t="str">
        <f>TRIM(Table1[[#This Row],[First_Name]])</f>
        <v>Heidi</v>
      </c>
      <c r="C284" s="3" t="str">
        <f>TRIM(Table1[[#This Row],[Last_Name]])</f>
        <v>Miller</v>
      </c>
      <c r="D284" s="3">
        <f>IF(Table1[[#This Row],[Age]]="",AVERAGE(Table1[Age]),Table1[[#This Row],[Age]])</f>
        <v>30</v>
      </c>
      <c r="E284" s="3" t="s">
        <v>146</v>
      </c>
      <c r="F284" s="3" t="s">
        <v>33</v>
      </c>
      <c r="G284" s="5">
        <f>IF(ISNUMBER('Main Project Raw Data'!G284),'Main Project Raw Data'!G284,IF(ISNUMBER(SEARCH("/",'Main Project Raw Data'!G284)),DATE(RIGHT('Main Project Raw Data'!G284,4),LEFT('Main Project Raw Data'!G284,FIND("/",'Main Project Raw Data'!G284)-1),MID('Main Project Raw Data'!G284,FIND("/",'Main Project Raw Data'!G284)+1,2)),DATE(RIGHT('Main Project Raw Data'!G284,4),MID('Main Project Raw Data'!G284,4,2),LEFT('Main Project Raw Data'!G284,2))))</f>
        <v>45153</v>
      </c>
      <c r="H284" s="3">
        <f>IF(Table1[[#This Row],[Salary]]="",AVERAGE(Table1[Salary]),Table1[[#This Row],[Salary]])</f>
        <v>54141.38</v>
      </c>
      <c r="I284" s="3" t="s">
        <v>130</v>
      </c>
      <c r="J284" s="3">
        <f>ABS(Table1[[#This Row],[Phone]])</f>
        <v>6880294239</v>
      </c>
      <c r="K284" s="3" t="str">
        <f>PROPER(TRIM(Table1[[#This Row],[Performance_Score]]))</f>
        <v>Average</v>
      </c>
      <c r="L284" s="3" t="b">
        <f>Table1[[#This Row],[Remote_Work]]</f>
        <v>0</v>
      </c>
      <c r="M284" s="3" t="str">
        <f>PROPER(CONCATENATE(Table13[[#This Row],[First_Name]], Table13[[#This Row],[Last_Name]]))</f>
        <v>Heidimiller</v>
      </c>
      <c r="N284" s="3" t="str">
        <f t="shared" si="4"/>
        <v>Aug</v>
      </c>
      <c r="O284" s="3" t="str">
        <f>TEXT(Table13[[#This Row],[Join_Date]],"yyyy")</f>
        <v>2023</v>
      </c>
      <c r="P284" s="3" t="str">
        <f>LEFT('Main Project Raw Data'!E284,FIND("-",'Main Project Raw Data'!E284)-1)</f>
        <v>HR</v>
      </c>
      <c r="Q284" s="3" t="str">
        <f>RIGHT('Main Project Raw Data'!E284,LEN('Main Project Raw Data'!E284)-FIND("-",'Main Project Raw Data'!E284))</f>
        <v>California</v>
      </c>
    </row>
    <row r="285" spans="1:17" x14ac:dyDescent="0.3">
      <c r="A285" s="3" t="str">
        <f>TRIM(Table1[[#This Row],[Employee_ID]])</f>
        <v>EMP1283</v>
      </c>
      <c r="B285" s="3" t="str">
        <f>TRIM(Table1[[#This Row],[First_Name]])</f>
        <v>David</v>
      </c>
      <c r="C285" s="3" t="str">
        <f>TRIM(Table1[[#This Row],[Last_Name]])</f>
        <v>Davis</v>
      </c>
      <c r="D285" s="3">
        <f>IF(Table1[[#This Row],[Age]]="",AVERAGE(Table1[Age]),Table1[[#This Row],[Age]])</f>
        <v>32.484548825710753</v>
      </c>
      <c r="E285" s="3" t="s">
        <v>328</v>
      </c>
      <c r="F285" s="3" t="s">
        <v>16</v>
      </c>
      <c r="G285" s="5">
        <f>IF(ISNUMBER('Main Project Raw Data'!G285),'Main Project Raw Data'!G285,IF(ISNUMBER(SEARCH("/",'Main Project Raw Data'!G285)),DATE(RIGHT('Main Project Raw Data'!G285,4),LEFT('Main Project Raw Data'!G285,FIND("/",'Main Project Raw Data'!G285)-1),MID('Main Project Raw Data'!G285,FIND("/",'Main Project Raw Data'!G285)+1,2)),DATE(RIGHT('Main Project Raw Data'!G285,4),MID('Main Project Raw Data'!G285,4,2),LEFT('Main Project Raw Data'!G285,2))))</f>
        <v>44189</v>
      </c>
      <c r="H285" s="3">
        <f>IF(Table1[[#This Row],[Salary]]="",AVERAGE(Table1[Salary]),Table1[[#This Row],[Salary]])</f>
        <v>79251.95</v>
      </c>
      <c r="I285" s="3" t="s">
        <v>63</v>
      </c>
      <c r="J285" s="3">
        <f>ABS(Table1[[#This Row],[Phone]])</f>
        <v>9036788126</v>
      </c>
      <c r="K285" s="3" t="str">
        <f>PROPER(TRIM(Table1[[#This Row],[Performance_Score]]))</f>
        <v>Good</v>
      </c>
      <c r="L285" s="3" t="b">
        <f>Table1[[#This Row],[Remote_Work]]</f>
        <v>0</v>
      </c>
      <c r="M285" s="3" t="str">
        <f>PROPER(CONCATENATE(Table13[[#This Row],[First_Name]], Table13[[#This Row],[Last_Name]]))</f>
        <v>Daviddavis</v>
      </c>
      <c r="N285" s="3" t="str">
        <f t="shared" si="4"/>
        <v>Dec</v>
      </c>
      <c r="O285" s="3" t="str">
        <f>TEXT(Table13[[#This Row],[Join_Date]],"yyyy")</f>
        <v>2020</v>
      </c>
      <c r="P285" s="3" t="str">
        <f>LEFT('Main Project Raw Data'!E285,FIND("-",'Main Project Raw Data'!E285)-1)</f>
        <v>DevOps</v>
      </c>
      <c r="Q285" s="3" t="str">
        <f>RIGHT('Main Project Raw Data'!E285,LEN('Main Project Raw Data'!E285)-FIND("-",'Main Project Raw Data'!E285))</f>
        <v>Nevada</v>
      </c>
    </row>
    <row r="286" spans="1:17" x14ac:dyDescent="0.3">
      <c r="A286" s="3" t="str">
        <f>TRIM(Table1[[#This Row],[Employee_ID]])</f>
        <v>EMP1284</v>
      </c>
      <c r="B286" s="3" t="str">
        <f>TRIM(Table1[[#This Row],[First_Name]])</f>
        <v>Alice</v>
      </c>
      <c r="C286" s="3" t="str">
        <f>TRIM(Table1[[#This Row],[Last_Name]])</f>
        <v>Johnson</v>
      </c>
      <c r="D286" s="3">
        <f>IF(Table1[[#This Row],[Age]]="",AVERAGE(Table1[Age]),Table1[[#This Row],[Age]])</f>
        <v>40</v>
      </c>
      <c r="E286" s="3" t="s">
        <v>227</v>
      </c>
      <c r="F286" s="3" t="s">
        <v>28</v>
      </c>
      <c r="G286" s="5">
        <f>IF(ISNUMBER('Main Project Raw Data'!G286),'Main Project Raw Data'!G286,IF(ISNUMBER(SEARCH("/",'Main Project Raw Data'!G286)),DATE(RIGHT('Main Project Raw Data'!G286,4),LEFT('Main Project Raw Data'!G286,FIND("/",'Main Project Raw Data'!G286)-1),MID('Main Project Raw Data'!G286,FIND("/",'Main Project Raw Data'!G286)+1,2)),DATE(RIGHT('Main Project Raw Data'!G286,4),MID('Main Project Raw Data'!G286,4,2),LEFT('Main Project Raw Data'!G286,2))))</f>
        <v>45617</v>
      </c>
      <c r="H286" s="3">
        <f>IF(Table1[[#This Row],[Salary]]="",AVERAGE(Table1[Salary]),Table1[[#This Row],[Salary]])</f>
        <v>114822.78</v>
      </c>
      <c r="I286" s="3" t="s">
        <v>150</v>
      </c>
      <c r="J286" s="3">
        <f>ABS(Table1[[#This Row],[Phone]])</f>
        <v>8686694319</v>
      </c>
      <c r="K286" s="3" t="str">
        <f>PROPER(TRIM(Table1[[#This Row],[Performance_Score]]))</f>
        <v>Good</v>
      </c>
      <c r="L286" s="3" t="b">
        <f>Table1[[#This Row],[Remote_Work]]</f>
        <v>1</v>
      </c>
      <c r="M286" s="3" t="str">
        <f>PROPER(CONCATENATE(Table13[[#This Row],[First_Name]], Table13[[#This Row],[Last_Name]]))</f>
        <v>Alicejohnson</v>
      </c>
      <c r="N286" s="3" t="str">
        <f t="shared" si="4"/>
        <v>Nov</v>
      </c>
      <c r="O286" s="3" t="str">
        <f>TEXT(Table13[[#This Row],[Join_Date]],"yyyy")</f>
        <v>2024</v>
      </c>
      <c r="P286" s="3" t="str">
        <f>LEFT('Main Project Raw Data'!E286,FIND("-",'Main Project Raw Data'!E286)-1)</f>
        <v>Finance</v>
      </c>
      <c r="Q286" s="3" t="str">
        <f>RIGHT('Main Project Raw Data'!E286,LEN('Main Project Raw Data'!E286)-FIND("-",'Main Project Raw Data'!E286))</f>
        <v>New York</v>
      </c>
    </row>
    <row r="287" spans="1:17" x14ac:dyDescent="0.3">
      <c r="A287" s="3" t="str">
        <f>TRIM(Table1[[#This Row],[Employee_ID]])</f>
        <v>EMP1285</v>
      </c>
      <c r="B287" s="3" t="str">
        <f>TRIM(Table1[[#This Row],[First_Name]])</f>
        <v>Alice</v>
      </c>
      <c r="C287" s="3" t="str">
        <f>TRIM(Table1[[#This Row],[Last_Name]])</f>
        <v>Williams</v>
      </c>
      <c r="D287" s="3">
        <f>IF(Table1[[#This Row],[Age]]="",AVERAGE(Table1[Age]),Table1[[#This Row],[Age]])</f>
        <v>35</v>
      </c>
      <c r="E287" s="3" t="s">
        <v>98</v>
      </c>
      <c r="F287" s="3" t="s">
        <v>16</v>
      </c>
      <c r="G287" s="5">
        <f>IF(ISNUMBER('Main Project Raw Data'!G287),'Main Project Raw Data'!G287,IF(ISNUMBER(SEARCH("/",'Main Project Raw Data'!G287)),DATE(RIGHT('Main Project Raw Data'!G287,4),LEFT('Main Project Raw Data'!G287,FIND("/",'Main Project Raw Data'!G287)-1),MID('Main Project Raw Data'!G287,FIND("/",'Main Project Raw Data'!G287)+1,2)),DATE(RIGHT('Main Project Raw Data'!G287,4),MID('Main Project Raw Data'!G287,4,2),LEFT('Main Project Raw Data'!G287,2))))</f>
        <v>44517</v>
      </c>
      <c r="H287" s="3">
        <f>IF(Table1[[#This Row],[Salary]]="",AVERAGE(Table1[Salary]),Table1[[#This Row],[Salary]])</f>
        <v>69919.320000000007</v>
      </c>
      <c r="I287" s="3" t="s">
        <v>362</v>
      </c>
      <c r="J287" s="3">
        <f>ABS(Table1[[#This Row],[Phone]])</f>
        <v>2939087883</v>
      </c>
      <c r="K287" s="3" t="str">
        <f>PROPER(TRIM(Table1[[#This Row],[Performance_Score]]))</f>
        <v>Average</v>
      </c>
      <c r="L287" s="3" t="b">
        <f>Table1[[#This Row],[Remote_Work]]</f>
        <v>1</v>
      </c>
      <c r="M287" s="3" t="str">
        <f>PROPER(CONCATENATE(Table13[[#This Row],[First_Name]], Table13[[#This Row],[Last_Name]]))</f>
        <v>Alicewilliams</v>
      </c>
      <c r="N287" s="3" t="str">
        <f t="shared" si="4"/>
        <v>Nov</v>
      </c>
      <c r="O287" s="3" t="str">
        <f>TEXT(Table13[[#This Row],[Join_Date]],"yyyy")</f>
        <v>2021</v>
      </c>
      <c r="P287" s="3" t="str">
        <f>LEFT('Main Project Raw Data'!E287,FIND("-",'Main Project Raw Data'!E287)-1)</f>
        <v>Sales</v>
      </c>
      <c r="Q287" s="3" t="str">
        <f>RIGHT('Main Project Raw Data'!E287,LEN('Main Project Raw Data'!E287)-FIND("-",'Main Project Raw Data'!E287))</f>
        <v>Illinois</v>
      </c>
    </row>
    <row r="288" spans="1:17" x14ac:dyDescent="0.3">
      <c r="A288" s="3" t="str">
        <f>TRIM(Table1[[#This Row],[Employee_ID]])</f>
        <v>EMP1286</v>
      </c>
      <c r="B288" s="3" t="str">
        <f>TRIM(Table1[[#This Row],[First_Name]])</f>
        <v>Heidi</v>
      </c>
      <c r="C288" s="3" t="str">
        <f>TRIM(Table1[[#This Row],[Last_Name]])</f>
        <v>Smith</v>
      </c>
      <c r="D288" s="3">
        <f>IF(Table1[[#This Row],[Age]]="",AVERAGE(Table1[Age]),Table1[[#This Row],[Age]])</f>
        <v>30</v>
      </c>
      <c r="E288" s="3" t="s">
        <v>74</v>
      </c>
      <c r="F288" s="3" t="s">
        <v>33</v>
      </c>
      <c r="G288" s="5">
        <f>IF(ISNUMBER('Main Project Raw Data'!G288),'Main Project Raw Data'!G288,IF(ISNUMBER(SEARCH("/",'Main Project Raw Data'!G288)),DATE(RIGHT('Main Project Raw Data'!G288,4),LEFT('Main Project Raw Data'!G288,FIND("/",'Main Project Raw Data'!G288)-1),MID('Main Project Raw Data'!G288,FIND("/",'Main Project Raw Data'!G288)+1,2)),DATE(RIGHT('Main Project Raw Data'!G288,4),MID('Main Project Raw Data'!G288,4,2),LEFT('Main Project Raw Data'!G288,2))))</f>
        <v>44225</v>
      </c>
      <c r="H288" s="3">
        <f>IF(Table1[[#This Row],[Salary]]="",AVERAGE(Table1[Salary]),Table1[[#This Row],[Salary]])</f>
        <v>106616.97</v>
      </c>
      <c r="I288" s="3" t="s">
        <v>366</v>
      </c>
      <c r="J288" s="3">
        <f>ABS(Table1[[#This Row],[Phone]])</f>
        <v>4344812307</v>
      </c>
      <c r="K288" s="3" t="str">
        <f>PROPER(TRIM(Table1[[#This Row],[Performance_Score]]))</f>
        <v>Poor</v>
      </c>
      <c r="L288" s="3" t="b">
        <f>Table1[[#This Row],[Remote_Work]]</f>
        <v>0</v>
      </c>
      <c r="M288" s="3" t="str">
        <f>PROPER(CONCATENATE(Table13[[#This Row],[First_Name]], Table13[[#This Row],[Last_Name]]))</f>
        <v>Heidismith</v>
      </c>
      <c r="N288" s="3" t="str">
        <f t="shared" si="4"/>
        <v>Jan</v>
      </c>
      <c r="O288" s="3" t="str">
        <f>TEXT(Table13[[#This Row],[Join_Date]],"yyyy")</f>
        <v>2021</v>
      </c>
      <c r="P288" s="3" t="str">
        <f>LEFT('Main Project Raw Data'!E288,FIND("-",'Main Project Raw Data'!E288)-1)</f>
        <v>Sales</v>
      </c>
      <c r="Q288" s="3" t="str">
        <f>RIGHT('Main Project Raw Data'!E288,LEN('Main Project Raw Data'!E288)-FIND("-",'Main Project Raw Data'!E288))</f>
        <v>Florida</v>
      </c>
    </row>
    <row r="289" spans="1:17" x14ac:dyDescent="0.3">
      <c r="A289" s="3" t="str">
        <f>TRIM(Table1[[#This Row],[Employee_ID]])</f>
        <v>EMP1287</v>
      </c>
      <c r="B289" s="3" t="str">
        <f>TRIM(Table1[[#This Row],[First_Name]])</f>
        <v>Heidi</v>
      </c>
      <c r="C289" s="3" t="str">
        <f>TRIM(Table1[[#This Row],[Last_Name]])</f>
        <v>Jones</v>
      </c>
      <c r="D289" s="3">
        <f>IF(Table1[[#This Row],[Age]]="",AVERAGE(Table1[Age]),Table1[[#This Row],[Age]])</f>
        <v>35</v>
      </c>
      <c r="E289" s="3" t="s">
        <v>56</v>
      </c>
      <c r="F289" s="3" t="s">
        <v>16</v>
      </c>
      <c r="G289" s="5">
        <f>IF(ISNUMBER('Main Project Raw Data'!G289),'Main Project Raw Data'!G289,IF(ISNUMBER(SEARCH("/",'Main Project Raw Data'!G289)),DATE(RIGHT('Main Project Raw Data'!G289,4),LEFT('Main Project Raw Data'!G289,FIND("/",'Main Project Raw Data'!G289)-1),MID('Main Project Raw Data'!G289,FIND("/",'Main Project Raw Data'!G289)+1,2)),DATE(RIGHT('Main Project Raw Data'!G289,4),MID('Main Project Raw Data'!G289,4,2),LEFT('Main Project Raw Data'!G289,2))))</f>
        <v>45339</v>
      </c>
      <c r="H289" s="3">
        <f>IF(Table1[[#This Row],[Salary]]="",AVERAGE(Table1[Salary]),Table1[[#This Row],[Salary]])</f>
        <v>73597.850000000006</v>
      </c>
      <c r="I289" s="3" t="s">
        <v>319</v>
      </c>
      <c r="J289" s="3">
        <f>ABS(Table1[[#This Row],[Phone]])</f>
        <v>3402424032</v>
      </c>
      <c r="K289" s="3" t="str">
        <f>PROPER(TRIM(Table1[[#This Row],[Performance_Score]]))</f>
        <v>Poor</v>
      </c>
      <c r="L289" s="3" t="b">
        <f>Table1[[#This Row],[Remote_Work]]</f>
        <v>1</v>
      </c>
      <c r="M289" s="3" t="str">
        <f>PROPER(CONCATENATE(Table13[[#This Row],[First_Name]], Table13[[#This Row],[Last_Name]]))</f>
        <v>Heidijones</v>
      </c>
      <c r="N289" s="3" t="str">
        <f t="shared" si="4"/>
        <v>Feb</v>
      </c>
      <c r="O289" s="3" t="str">
        <f>TEXT(Table13[[#This Row],[Join_Date]],"yyyy")</f>
        <v>2024</v>
      </c>
      <c r="P289" s="3" t="str">
        <f>LEFT('Main Project Raw Data'!E289,FIND("-",'Main Project Raw Data'!E289)-1)</f>
        <v>DevOps</v>
      </c>
      <c r="Q289" s="3" t="str">
        <f>RIGHT('Main Project Raw Data'!E289,LEN('Main Project Raw Data'!E289)-FIND("-",'Main Project Raw Data'!E289))</f>
        <v>New York</v>
      </c>
    </row>
    <row r="290" spans="1:17" x14ac:dyDescent="0.3">
      <c r="A290" s="3" t="str">
        <f>TRIM(Table1[[#This Row],[Employee_ID]])</f>
        <v>EMP1288</v>
      </c>
      <c r="B290" s="3" t="str">
        <f>TRIM(Table1[[#This Row],[First_Name]])</f>
        <v>David</v>
      </c>
      <c r="C290" s="3" t="str">
        <f>TRIM(Table1[[#This Row],[Last_Name]])</f>
        <v>Smith</v>
      </c>
      <c r="D290" s="3">
        <f>IF(Table1[[#This Row],[Age]]="",AVERAGE(Table1[Age]),Table1[[#This Row],[Age]])</f>
        <v>30</v>
      </c>
      <c r="E290" s="3" t="s">
        <v>219</v>
      </c>
      <c r="F290" s="3" t="s">
        <v>33</v>
      </c>
      <c r="G290" s="5">
        <f>IF(ISNUMBER('Main Project Raw Data'!G290),'Main Project Raw Data'!G290,IF(ISNUMBER(SEARCH("/",'Main Project Raw Data'!G290)),DATE(RIGHT('Main Project Raw Data'!G290,4),LEFT('Main Project Raw Data'!G290,FIND("/",'Main Project Raw Data'!G290)-1),MID('Main Project Raw Data'!G290,FIND("/",'Main Project Raw Data'!G290)+1,2)),DATE(RIGHT('Main Project Raw Data'!G290,4),MID('Main Project Raw Data'!G290,4,2),LEFT('Main Project Raw Data'!G290,2))))</f>
        <v>45524</v>
      </c>
      <c r="H290" s="3">
        <f>IF(Table1[[#This Row],[Salary]]="",AVERAGE(Table1[Salary]),Table1[[#This Row],[Salary]])</f>
        <v>79939.23</v>
      </c>
      <c r="I290" s="3" t="s">
        <v>340</v>
      </c>
      <c r="J290" s="3">
        <f>ABS(Table1[[#This Row],[Phone]])</f>
        <v>8105955183</v>
      </c>
      <c r="K290" s="3" t="str">
        <f>PROPER(TRIM(Table1[[#This Row],[Performance_Score]]))</f>
        <v>Excellent</v>
      </c>
      <c r="L290" s="3" t="b">
        <f>Table1[[#This Row],[Remote_Work]]</f>
        <v>1</v>
      </c>
      <c r="M290" s="3" t="str">
        <f>PROPER(CONCATENATE(Table13[[#This Row],[First_Name]], Table13[[#This Row],[Last_Name]]))</f>
        <v>Davidsmith</v>
      </c>
      <c r="N290" s="3" t="str">
        <f t="shared" si="4"/>
        <v>Aug</v>
      </c>
      <c r="O290" s="3" t="str">
        <f>TEXT(Table13[[#This Row],[Join_Date]],"yyyy")</f>
        <v>2024</v>
      </c>
      <c r="P290" s="3" t="str">
        <f>LEFT('Main Project Raw Data'!E290,FIND("-",'Main Project Raw Data'!E290)-1)</f>
        <v>Sales</v>
      </c>
      <c r="Q290" s="3" t="str">
        <f>RIGHT('Main Project Raw Data'!E290,LEN('Main Project Raw Data'!E290)-FIND("-",'Main Project Raw Data'!E290))</f>
        <v>Nevada</v>
      </c>
    </row>
    <row r="291" spans="1:17" x14ac:dyDescent="0.3">
      <c r="A291" s="3" t="str">
        <f>TRIM(Table1[[#This Row],[Employee_ID]])</f>
        <v>EMP1289</v>
      </c>
      <c r="B291" s="3" t="str">
        <f>TRIM(Table1[[#This Row],[First_Name]])</f>
        <v>Grace</v>
      </c>
      <c r="C291" s="3" t="str">
        <f>TRIM(Table1[[#This Row],[Last_Name]])</f>
        <v>Garcia</v>
      </c>
      <c r="D291" s="3">
        <f>IF(Table1[[#This Row],[Age]]="",AVERAGE(Table1[Age]),Table1[[#This Row],[Age]])</f>
        <v>25</v>
      </c>
      <c r="E291" s="3" t="s">
        <v>196</v>
      </c>
      <c r="F291" s="3" t="s">
        <v>33</v>
      </c>
      <c r="G291" s="5">
        <f>IF(ISNUMBER('Main Project Raw Data'!G291),'Main Project Raw Data'!G291,IF(ISNUMBER(SEARCH("/",'Main Project Raw Data'!G291)),DATE(RIGHT('Main Project Raw Data'!G291,4),LEFT('Main Project Raw Data'!G291,FIND("/",'Main Project Raw Data'!G291)-1),MID('Main Project Raw Data'!G291,FIND("/",'Main Project Raw Data'!G291)+1,2)),DATE(RIGHT('Main Project Raw Data'!G291,4),MID('Main Project Raw Data'!G291,4,2),LEFT('Main Project Raw Data'!G291,2))))</f>
        <v>44493</v>
      </c>
      <c r="H291" s="3">
        <f>IF(Table1[[#This Row],[Salary]]="",AVERAGE(Table1[Salary]),Table1[[#This Row],[Salary]])</f>
        <v>85155.056395582287</v>
      </c>
      <c r="I291" s="3" t="s">
        <v>83</v>
      </c>
      <c r="J291" s="3">
        <f>ABS(Table1[[#This Row],[Phone]])</f>
        <v>2694500533</v>
      </c>
      <c r="K291" s="3" t="str">
        <f>PROPER(TRIM(Table1[[#This Row],[Performance_Score]]))</f>
        <v>Poor</v>
      </c>
      <c r="L291" s="3" t="b">
        <f>Table1[[#This Row],[Remote_Work]]</f>
        <v>0</v>
      </c>
      <c r="M291" s="3" t="str">
        <f>PROPER(CONCATENATE(Table13[[#This Row],[First_Name]], Table13[[#This Row],[Last_Name]]))</f>
        <v>Gracegarcia</v>
      </c>
      <c r="N291" s="3" t="str">
        <f t="shared" si="4"/>
        <v>Oct</v>
      </c>
      <c r="O291" s="3" t="str">
        <f>TEXT(Table13[[#This Row],[Join_Date]],"yyyy")</f>
        <v>2021</v>
      </c>
      <c r="P291" s="3" t="str">
        <f>LEFT('Main Project Raw Data'!E291,FIND("-",'Main Project Raw Data'!E291)-1)</f>
        <v>Admin</v>
      </c>
      <c r="Q291" s="3" t="str">
        <f>RIGHT('Main Project Raw Data'!E291,LEN('Main Project Raw Data'!E291)-FIND("-",'Main Project Raw Data'!E291))</f>
        <v>New York</v>
      </c>
    </row>
    <row r="292" spans="1:17" x14ac:dyDescent="0.3">
      <c r="A292" s="3" t="str">
        <f>TRIM(Table1[[#This Row],[Employee_ID]])</f>
        <v>EMP1290</v>
      </c>
      <c r="B292" s="3" t="str">
        <f>TRIM(Table1[[#This Row],[First_Name]])</f>
        <v>Grace</v>
      </c>
      <c r="C292" s="3" t="str">
        <f>TRIM(Table1[[#This Row],[Last_Name]])</f>
        <v>Smith</v>
      </c>
      <c r="D292" s="3">
        <f>IF(Table1[[#This Row],[Age]]="",AVERAGE(Table1[Age]),Table1[[#This Row],[Age]])</f>
        <v>30</v>
      </c>
      <c r="E292" s="3" t="s">
        <v>70</v>
      </c>
      <c r="F292" s="3" t="s">
        <v>33</v>
      </c>
      <c r="G292" s="5">
        <f>IF(ISNUMBER('Main Project Raw Data'!G292),'Main Project Raw Data'!G292,IF(ISNUMBER(SEARCH("/",'Main Project Raw Data'!G292)),DATE(RIGHT('Main Project Raw Data'!G292,4),LEFT('Main Project Raw Data'!G292,FIND("/",'Main Project Raw Data'!G292)-1),MID('Main Project Raw Data'!G292,FIND("/",'Main Project Raw Data'!G292)+1,2)),DATE(RIGHT('Main Project Raw Data'!G292,4),MID('Main Project Raw Data'!G292,4,2),LEFT('Main Project Raw Data'!G292,2))))</f>
        <v>44478</v>
      </c>
      <c r="H292" s="3">
        <f>IF(Table1[[#This Row],[Salary]]="",AVERAGE(Table1[Salary]),Table1[[#This Row],[Salary]])</f>
        <v>90772.25</v>
      </c>
      <c r="I292" s="3" t="s">
        <v>135</v>
      </c>
      <c r="J292" s="3">
        <f>ABS(Table1[[#This Row],[Phone]])</f>
        <v>2408916497</v>
      </c>
      <c r="K292" s="3" t="str">
        <f>PROPER(TRIM(Table1[[#This Row],[Performance_Score]]))</f>
        <v>Average</v>
      </c>
      <c r="L292" s="3" t="b">
        <f>Table1[[#This Row],[Remote_Work]]</f>
        <v>0</v>
      </c>
      <c r="M292" s="3" t="str">
        <f>PROPER(CONCATENATE(Table13[[#This Row],[First_Name]], Table13[[#This Row],[Last_Name]]))</f>
        <v>Gracesmith</v>
      </c>
      <c r="N292" s="3" t="str">
        <f t="shared" si="4"/>
        <v>Oct</v>
      </c>
      <c r="O292" s="3" t="str">
        <f>TEXT(Table13[[#This Row],[Join_Date]],"yyyy")</f>
        <v>2021</v>
      </c>
      <c r="P292" s="3" t="str">
        <f>LEFT('Main Project Raw Data'!E292,FIND("-",'Main Project Raw Data'!E292)-1)</f>
        <v>Finance</v>
      </c>
      <c r="Q292" s="3" t="str">
        <f>RIGHT('Main Project Raw Data'!E292,LEN('Main Project Raw Data'!E292)-FIND("-",'Main Project Raw Data'!E292))</f>
        <v>California</v>
      </c>
    </row>
    <row r="293" spans="1:17" x14ac:dyDescent="0.3">
      <c r="A293" s="3" t="str">
        <f>TRIM(Table1[[#This Row],[Employee_ID]])</f>
        <v>EMP1291</v>
      </c>
      <c r="B293" s="3" t="str">
        <f>TRIM(Table1[[#This Row],[First_Name]])</f>
        <v>Eva</v>
      </c>
      <c r="C293" s="3" t="str">
        <f>TRIM(Table1[[#This Row],[Last_Name]])</f>
        <v>Williams</v>
      </c>
      <c r="D293" s="3">
        <f>IF(Table1[[#This Row],[Age]]="",AVERAGE(Table1[Age]),Table1[[#This Row],[Age]])</f>
        <v>35</v>
      </c>
      <c r="E293" s="3" t="s">
        <v>56</v>
      </c>
      <c r="F293" s="3" t="s">
        <v>16</v>
      </c>
      <c r="G293" s="5">
        <f>IF(ISNUMBER('Main Project Raw Data'!G293),'Main Project Raw Data'!G293,IF(ISNUMBER(SEARCH("/",'Main Project Raw Data'!G293)),DATE(RIGHT('Main Project Raw Data'!G293,4),LEFT('Main Project Raw Data'!G293,FIND("/",'Main Project Raw Data'!G293)-1),MID('Main Project Raw Data'!G293,FIND("/",'Main Project Raw Data'!G293)+1,2)),DATE(RIGHT('Main Project Raw Data'!G293,4),MID('Main Project Raw Data'!G293,4,2),LEFT('Main Project Raw Data'!G293,2))))</f>
        <v>45198</v>
      </c>
      <c r="H293" s="3">
        <f>IF(Table1[[#This Row],[Salary]]="",AVERAGE(Table1[Salary]),Table1[[#This Row],[Salary]])</f>
        <v>58275.74</v>
      </c>
      <c r="I293" s="3" t="s">
        <v>141</v>
      </c>
      <c r="J293" s="3">
        <f>ABS(Table1[[#This Row],[Phone]])</f>
        <v>3735439626</v>
      </c>
      <c r="K293" s="3" t="str">
        <f>PROPER(TRIM(Table1[[#This Row],[Performance_Score]]))</f>
        <v>Good</v>
      </c>
      <c r="L293" s="3" t="b">
        <f>Table1[[#This Row],[Remote_Work]]</f>
        <v>0</v>
      </c>
      <c r="M293" s="3" t="str">
        <f>PROPER(CONCATENATE(Table13[[#This Row],[First_Name]], Table13[[#This Row],[Last_Name]]))</f>
        <v>Evawilliams</v>
      </c>
      <c r="N293" s="3" t="str">
        <f t="shared" si="4"/>
        <v>Sep</v>
      </c>
      <c r="O293" s="3" t="str">
        <f>TEXT(Table13[[#This Row],[Join_Date]],"yyyy")</f>
        <v>2023</v>
      </c>
      <c r="P293" s="3" t="str">
        <f>LEFT('Main Project Raw Data'!E293,FIND("-",'Main Project Raw Data'!E293)-1)</f>
        <v>DevOps</v>
      </c>
      <c r="Q293" s="3" t="str">
        <f>RIGHT('Main Project Raw Data'!E293,LEN('Main Project Raw Data'!E293)-FIND("-",'Main Project Raw Data'!E293))</f>
        <v>New York</v>
      </c>
    </row>
    <row r="294" spans="1:17" x14ac:dyDescent="0.3">
      <c r="A294" s="3" t="str">
        <f>TRIM(Table1[[#This Row],[Employee_ID]])</f>
        <v>EMP1292</v>
      </c>
      <c r="B294" s="3" t="str">
        <f>TRIM(Table1[[#This Row],[First_Name]])</f>
        <v>Grace</v>
      </c>
      <c r="C294" s="3" t="str">
        <f>TRIM(Table1[[#This Row],[Last_Name]])</f>
        <v>Smith</v>
      </c>
      <c r="D294" s="3">
        <f>IF(Table1[[#This Row],[Age]]="",AVERAGE(Table1[Age]),Table1[[#This Row],[Age]])</f>
        <v>32.484548825710753</v>
      </c>
      <c r="E294" s="3" t="s">
        <v>15</v>
      </c>
      <c r="F294" s="3" t="s">
        <v>28</v>
      </c>
      <c r="G294" s="5">
        <f>IF(ISNUMBER('Main Project Raw Data'!G294),'Main Project Raw Data'!G294,IF(ISNUMBER(SEARCH("/",'Main Project Raw Data'!G294)),DATE(RIGHT('Main Project Raw Data'!G294,4),LEFT('Main Project Raw Data'!G294,FIND("/",'Main Project Raw Data'!G294)-1),MID('Main Project Raw Data'!G294,FIND("/",'Main Project Raw Data'!G294)+1,2)),DATE(RIGHT('Main Project Raw Data'!G294,4),MID('Main Project Raw Data'!G294,4,2),LEFT('Main Project Raw Data'!G294,2))))</f>
        <v>44071</v>
      </c>
      <c r="H294" s="3">
        <f>IF(Table1[[#This Row],[Salary]]="",AVERAGE(Table1[Salary]),Table1[[#This Row],[Salary]])</f>
        <v>94709.79</v>
      </c>
      <c r="I294" s="3" t="s">
        <v>135</v>
      </c>
      <c r="J294" s="3">
        <f>ABS(Table1[[#This Row],[Phone]])</f>
        <v>3652717271</v>
      </c>
      <c r="K294" s="3" t="str">
        <f>PROPER(TRIM(Table1[[#This Row],[Performance_Score]]))</f>
        <v>Excellent</v>
      </c>
      <c r="L294" s="3" t="b">
        <f>Table1[[#This Row],[Remote_Work]]</f>
        <v>0</v>
      </c>
      <c r="M294" s="3" t="str">
        <f>PROPER(CONCATENATE(Table13[[#This Row],[First_Name]], Table13[[#This Row],[Last_Name]]))</f>
        <v>Gracesmith</v>
      </c>
      <c r="N294" s="3" t="str">
        <f t="shared" si="4"/>
        <v>Aug</v>
      </c>
      <c r="O294" s="3" t="str">
        <f>TEXT(Table13[[#This Row],[Join_Date]],"yyyy")</f>
        <v>2020</v>
      </c>
      <c r="P294" s="3" t="str">
        <f>LEFT('Main Project Raw Data'!E294,FIND("-",'Main Project Raw Data'!E294)-1)</f>
        <v>DevOps</v>
      </c>
      <c r="Q294" s="3" t="str">
        <f>RIGHT('Main Project Raw Data'!E294,LEN('Main Project Raw Data'!E294)-FIND("-",'Main Project Raw Data'!E294))</f>
        <v>California</v>
      </c>
    </row>
    <row r="295" spans="1:17" x14ac:dyDescent="0.3">
      <c r="A295" s="3" t="str">
        <f>TRIM(Table1[[#This Row],[Employee_ID]])</f>
        <v>EMP1293</v>
      </c>
      <c r="B295" s="3" t="str">
        <f>TRIM(Table1[[#This Row],[First_Name]])</f>
        <v>Frank</v>
      </c>
      <c r="C295" s="3" t="str">
        <f>TRIM(Table1[[#This Row],[Last_Name]])</f>
        <v>Johnson</v>
      </c>
      <c r="D295" s="3">
        <f>IF(Table1[[#This Row],[Age]]="",AVERAGE(Table1[Age]),Table1[[#This Row],[Age]])</f>
        <v>32.484548825710753</v>
      </c>
      <c r="E295" s="3" t="s">
        <v>196</v>
      </c>
      <c r="F295" s="3" t="s">
        <v>16</v>
      </c>
      <c r="G295" s="5">
        <f>IF(ISNUMBER('Main Project Raw Data'!G295),'Main Project Raw Data'!G295,IF(ISNUMBER(SEARCH("/",'Main Project Raw Data'!G295)),DATE(RIGHT('Main Project Raw Data'!G295,4),LEFT('Main Project Raw Data'!G295,FIND("/",'Main Project Raw Data'!G295)-1),MID('Main Project Raw Data'!G295,FIND("/",'Main Project Raw Data'!G295)+1,2)),DATE(RIGHT('Main Project Raw Data'!G295,4),MID('Main Project Raw Data'!G295,4,2),LEFT('Main Project Raw Data'!G295,2))))</f>
        <v>44721</v>
      </c>
      <c r="H295" s="3">
        <f>IF(Table1[[#This Row],[Salary]]="",AVERAGE(Table1[Salary]),Table1[[#This Row],[Salary]])</f>
        <v>60722.99</v>
      </c>
      <c r="I295" s="3" t="s">
        <v>271</v>
      </c>
      <c r="J295" s="3">
        <f>ABS(Table1[[#This Row],[Phone]])</f>
        <v>2397240421</v>
      </c>
      <c r="K295" s="3" t="str">
        <f>PROPER(TRIM(Table1[[#This Row],[Performance_Score]]))</f>
        <v>Excellent</v>
      </c>
      <c r="L295" s="3" t="b">
        <f>Table1[[#This Row],[Remote_Work]]</f>
        <v>1</v>
      </c>
      <c r="M295" s="3" t="str">
        <f>PROPER(CONCATENATE(Table13[[#This Row],[First_Name]], Table13[[#This Row],[Last_Name]]))</f>
        <v>Frankjohnson</v>
      </c>
      <c r="N295" s="3" t="str">
        <f t="shared" si="4"/>
        <v>Jun</v>
      </c>
      <c r="O295" s="3" t="str">
        <f>TEXT(Table13[[#This Row],[Join_Date]],"yyyy")</f>
        <v>2022</v>
      </c>
      <c r="P295" s="3" t="str">
        <f>LEFT('Main Project Raw Data'!E295,FIND("-",'Main Project Raw Data'!E295)-1)</f>
        <v>Admin</v>
      </c>
      <c r="Q295" s="3" t="str">
        <f>RIGHT('Main Project Raw Data'!E295,LEN('Main Project Raw Data'!E295)-FIND("-",'Main Project Raw Data'!E295))</f>
        <v>New York</v>
      </c>
    </row>
    <row r="296" spans="1:17" x14ac:dyDescent="0.3">
      <c r="A296" s="3" t="str">
        <f>TRIM(Table1[[#This Row],[Employee_ID]])</f>
        <v>EMP1294</v>
      </c>
      <c r="B296" s="3" t="str">
        <f>TRIM(Table1[[#This Row],[First_Name]])</f>
        <v>Frank</v>
      </c>
      <c r="C296" s="3" t="str">
        <f>TRIM(Table1[[#This Row],[Last_Name]])</f>
        <v>Johnson</v>
      </c>
      <c r="D296" s="3">
        <f>IF(Table1[[#This Row],[Age]]="",AVERAGE(Table1[Age]),Table1[[#This Row],[Age]])</f>
        <v>40</v>
      </c>
      <c r="E296" s="3" t="s">
        <v>78</v>
      </c>
      <c r="F296" s="3" t="s">
        <v>33</v>
      </c>
      <c r="G296" s="5">
        <f>IF(ISNUMBER('Main Project Raw Data'!G296),'Main Project Raw Data'!G296,IF(ISNUMBER(SEARCH("/",'Main Project Raw Data'!G296)),DATE(RIGHT('Main Project Raw Data'!G296,4),LEFT('Main Project Raw Data'!G296,FIND("/",'Main Project Raw Data'!G296)-1),MID('Main Project Raw Data'!G296,FIND("/",'Main Project Raw Data'!G296)+1,2)),DATE(RIGHT('Main Project Raw Data'!G296,4),MID('Main Project Raw Data'!G296,4,2),LEFT('Main Project Raw Data'!G296,2))))</f>
        <v>45382</v>
      </c>
      <c r="H296" s="3">
        <f>IF(Table1[[#This Row],[Salary]]="",AVERAGE(Table1[Salary]),Table1[[#This Row],[Salary]])</f>
        <v>87626.240000000005</v>
      </c>
      <c r="I296" s="3" t="s">
        <v>271</v>
      </c>
      <c r="J296" s="3">
        <f>ABS(Table1[[#This Row],[Phone]])</f>
        <v>6931216375</v>
      </c>
      <c r="K296" s="3" t="str">
        <f>PROPER(TRIM(Table1[[#This Row],[Performance_Score]]))</f>
        <v>Good</v>
      </c>
      <c r="L296" s="3" t="b">
        <f>Table1[[#This Row],[Remote_Work]]</f>
        <v>1</v>
      </c>
      <c r="M296" s="3" t="str">
        <f>PROPER(CONCATENATE(Table13[[#This Row],[First_Name]], Table13[[#This Row],[Last_Name]]))</f>
        <v>Frankjohnson</v>
      </c>
      <c r="N296" s="3" t="str">
        <f t="shared" si="4"/>
        <v>Mar</v>
      </c>
      <c r="O296" s="3" t="str">
        <f>TEXT(Table13[[#This Row],[Join_Date]],"yyyy")</f>
        <v>2024</v>
      </c>
      <c r="P296" s="3" t="str">
        <f>LEFT('Main Project Raw Data'!E296,FIND("-",'Main Project Raw Data'!E296)-1)</f>
        <v>DevOps</v>
      </c>
      <c r="Q296" s="3" t="str">
        <f>RIGHT('Main Project Raw Data'!E296,LEN('Main Project Raw Data'!E296)-FIND("-",'Main Project Raw Data'!E296))</f>
        <v>Illinois</v>
      </c>
    </row>
    <row r="297" spans="1:17" x14ac:dyDescent="0.3">
      <c r="A297" s="3" t="str">
        <f>TRIM(Table1[[#This Row],[Employee_ID]])</f>
        <v>EMP1295</v>
      </c>
      <c r="B297" s="3" t="str">
        <f>TRIM(Table1[[#This Row],[First_Name]])</f>
        <v>David</v>
      </c>
      <c r="C297" s="3" t="str">
        <f>TRIM(Table1[[#This Row],[Last_Name]])</f>
        <v>Brown</v>
      </c>
      <c r="D297" s="3">
        <f>IF(Table1[[#This Row],[Age]]="",AVERAGE(Table1[Age]),Table1[[#This Row],[Age]])</f>
        <v>30</v>
      </c>
      <c r="E297" s="3" t="s">
        <v>78</v>
      </c>
      <c r="F297" s="3" t="s">
        <v>16</v>
      </c>
      <c r="G297" s="5">
        <f>IF(ISNUMBER('Main Project Raw Data'!G297),'Main Project Raw Data'!G297,IF(ISNUMBER(SEARCH("/",'Main Project Raw Data'!G297)),DATE(RIGHT('Main Project Raw Data'!G297,4),LEFT('Main Project Raw Data'!G297,FIND("/",'Main Project Raw Data'!G297)-1),MID('Main Project Raw Data'!G297,FIND("/",'Main Project Raw Data'!G297)+1,2)),DATE(RIGHT('Main Project Raw Data'!G297,4),MID('Main Project Raw Data'!G297,4,2),LEFT('Main Project Raw Data'!G297,2))))</f>
        <v>44907</v>
      </c>
      <c r="H297" s="3">
        <f>IF(Table1[[#This Row],[Salary]]="",AVERAGE(Table1[Salary]),Table1[[#This Row],[Salary]])</f>
        <v>81272.36</v>
      </c>
      <c r="I297" s="3" t="s">
        <v>225</v>
      </c>
      <c r="J297" s="3">
        <f>ABS(Table1[[#This Row],[Phone]])</f>
        <v>1820916600</v>
      </c>
      <c r="K297" s="3" t="str">
        <f>PROPER(TRIM(Table1[[#This Row],[Performance_Score]]))</f>
        <v>Poor</v>
      </c>
      <c r="L297" s="3" t="b">
        <f>Table1[[#This Row],[Remote_Work]]</f>
        <v>0</v>
      </c>
      <c r="M297" s="3" t="str">
        <f>PROPER(CONCATENATE(Table13[[#This Row],[First_Name]], Table13[[#This Row],[Last_Name]]))</f>
        <v>Davidbrown</v>
      </c>
      <c r="N297" s="3" t="str">
        <f t="shared" si="4"/>
        <v>Dec</v>
      </c>
      <c r="O297" s="3" t="str">
        <f>TEXT(Table13[[#This Row],[Join_Date]],"yyyy")</f>
        <v>2022</v>
      </c>
      <c r="P297" s="3" t="str">
        <f>LEFT('Main Project Raw Data'!E297,FIND("-",'Main Project Raw Data'!E297)-1)</f>
        <v>DevOps</v>
      </c>
      <c r="Q297" s="3" t="str">
        <f>RIGHT('Main Project Raw Data'!E297,LEN('Main Project Raw Data'!E297)-FIND("-",'Main Project Raw Data'!E297))</f>
        <v>Illinois</v>
      </c>
    </row>
    <row r="298" spans="1:17" x14ac:dyDescent="0.3">
      <c r="A298" s="3" t="str">
        <f>TRIM(Table1[[#This Row],[Employee_ID]])</f>
        <v>EMP1296</v>
      </c>
      <c r="B298" s="3" t="str">
        <f>TRIM(Table1[[#This Row],[First_Name]])</f>
        <v>Bob</v>
      </c>
      <c r="C298" s="3" t="str">
        <f>TRIM(Table1[[#This Row],[Last_Name]])</f>
        <v>Miller</v>
      </c>
      <c r="D298" s="3">
        <f>IF(Table1[[#This Row],[Age]]="",AVERAGE(Table1[Age]),Table1[[#This Row],[Age]])</f>
        <v>32.484548825710753</v>
      </c>
      <c r="E298" s="3" t="s">
        <v>159</v>
      </c>
      <c r="F298" s="3" t="s">
        <v>28</v>
      </c>
      <c r="G298" s="5">
        <f>IF(ISNUMBER('Main Project Raw Data'!G298),'Main Project Raw Data'!G298,IF(ISNUMBER(SEARCH("/",'Main Project Raw Data'!G298)),DATE(RIGHT('Main Project Raw Data'!G298,4),LEFT('Main Project Raw Data'!G298,FIND("/",'Main Project Raw Data'!G298)-1),MID('Main Project Raw Data'!G298,FIND("/",'Main Project Raw Data'!G298)+1,2)),DATE(RIGHT('Main Project Raw Data'!G298,4),MID('Main Project Raw Data'!G298,4,2),LEFT('Main Project Raw Data'!G298,2))))</f>
        <v>44572</v>
      </c>
      <c r="H298" s="3">
        <f>IF(Table1[[#This Row],[Salary]]="",AVERAGE(Table1[Salary]),Table1[[#This Row],[Salary]])</f>
        <v>64150.97</v>
      </c>
      <c r="I298" s="3" t="s">
        <v>93</v>
      </c>
      <c r="J298" s="3">
        <f>ABS(Table1[[#This Row],[Phone]])</f>
        <v>23142899</v>
      </c>
      <c r="K298" s="3" t="str">
        <f>PROPER(TRIM(Table1[[#This Row],[Performance_Score]]))</f>
        <v>Good</v>
      </c>
      <c r="L298" s="3" t="b">
        <f>Table1[[#This Row],[Remote_Work]]</f>
        <v>1</v>
      </c>
      <c r="M298" s="3" t="str">
        <f>PROPER(CONCATENATE(Table13[[#This Row],[First_Name]], Table13[[#This Row],[Last_Name]]))</f>
        <v>Bobmiller</v>
      </c>
      <c r="N298" s="3" t="str">
        <f t="shared" si="4"/>
        <v>Jan</v>
      </c>
      <c r="O298" s="3" t="str">
        <f>TEXT(Table13[[#This Row],[Join_Date]],"yyyy")</f>
        <v>2022</v>
      </c>
      <c r="P298" s="3" t="str">
        <f>LEFT('Main Project Raw Data'!E298,FIND("-",'Main Project Raw Data'!E298)-1)</f>
        <v>Cloud Tech</v>
      </c>
      <c r="Q298" s="3" t="str">
        <f>RIGHT('Main Project Raw Data'!E298,LEN('Main Project Raw Data'!E298)-FIND("-",'Main Project Raw Data'!E298))</f>
        <v>Texas</v>
      </c>
    </row>
    <row r="299" spans="1:17" x14ac:dyDescent="0.3">
      <c r="A299" s="3" t="str">
        <f>TRIM(Table1[[#This Row],[Employee_ID]])</f>
        <v>EMP1297</v>
      </c>
      <c r="B299" s="3" t="str">
        <f>TRIM(Table1[[#This Row],[First_Name]])</f>
        <v>Charlie</v>
      </c>
      <c r="C299" s="3" t="str">
        <f>TRIM(Table1[[#This Row],[Last_Name]])</f>
        <v>Davis</v>
      </c>
      <c r="D299" s="3">
        <f>IF(Table1[[#This Row],[Age]]="",AVERAGE(Table1[Age]),Table1[[#This Row],[Age]])</f>
        <v>35</v>
      </c>
      <c r="E299" s="3" t="s">
        <v>74</v>
      </c>
      <c r="F299" s="3" t="s">
        <v>16</v>
      </c>
      <c r="G299" s="5">
        <f>IF(ISNUMBER('Main Project Raw Data'!G299),'Main Project Raw Data'!G299,IF(ISNUMBER(SEARCH("/",'Main Project Raw Data'!G299)),DATE(RIGHT('Main Project Raw Data'!G299,4),LEFT('Main Project Raw Data'!G299,FIND("/",'Main Project Raw Data'!G299)-1),MID('Main Project Raw Data'!G299,FIND("/",'Main Project Raw Data'!G299)+1,2)),DATE(RIGHT('Main Project Raw Data'!G299,4),MID('Main Project Raw Data'!G299,4,2),LEFT('Main Project Raw Data'!G299,2))))</f>
        <v>45224</v>
      </c>
      <c r="H299" s="3">
        <f>IF(Table1[[#This Row],[Salary]]="",AVERAGE(Table1[Salary]),Table1[[#This Row],[Salary]])</f>
        <v>64378.1</v>
      </c>
      <c r="I299" s="3" t="s">
        <v>170</v>
      </c>
      <c r="J299" s="3">
        <f>ABS(Table1[[#This Row],[Phone]])</f>
        <v>1851327971</v>
      </c>
      <c r="K299" s="3" t="str">
        <f>PROPER(TRIM(Table1[[#This Row],[Performance_Score]]))</f>
        <v>Poor</v>
      </c>
      <c r="L299" s="3" t="b">
        <f>Table1[[#This Row],[Remote_Work]]</f>
        <v>0</v>
      </c>
      <c r="M299" s="3" t="str">
        <f>PROPER(CONCATENATE(Table13[[#This Row],[First_Name]], Table13[[#This Row],[Last_Name]]))</f>
        <v>Charliedavis</v>
      </c>
      <c r="N299" s="3" t="str">
        <f t="shared" si="4"/>
        <v>Oct</v>
      </c>
      <c r="O299" s="3" t="str">
        <f>TEXT(Table13[[#This Row],[Join_Date]],"yyyy")</f>
        <v>2023</v>
      </c>
      <c r="P299" s="3" t="str">
        <f>LEFT('Main Project Raw Data'!E299,FIND("-",'Main Project Raw Data'!E299)-1)</f>
        <v>Sales</v>
      </c>
      <c r="Q299" s="3" t="str">
        <f>RIGHT('Main Project Raw Data'!E299,LEN('Main Project Raw Data'!E299)-FIND("-",'Main Project Raw Data'!E299))</f>
        <v>Florida</v>
      </c>
    </row>
    <row r="300" spans="1:17" x14ac:dyDescent="0.3">
      <c r="A300" s="3" t="str">
        <f>TRIM(Table1[[#This Row],[Employee_ID]])</f>
        <v>EMP1298</v>
      </c>
      <c r="B300" s="3" t="str">
        <f>TRIM(Table1[[#This Row],[First_Name]])</f>
        <v>Bob</v>
      </c>
      <c r="C300" s="3" t="str">
        <f>TRIM(Table1[[#This Row],[Last_Name]])</f>
        <v>Jones</v>
      </c>
      <c r="D300" s="3">
        <f>IF(Table1[[#This Row],[Age]]="",AVERAGE(Table1[Age]),Table1[[#This Row],[Age]])</f>
        <v>32.484548825710753</v>
      </c>
      <c r="E300" s="3" t="s">
        <v>21</v>
      </c>
      <c r="F300" s="3" t="s">
        <v>33</v>
      </c>
      <c r="G300" s="5">
        <f>IF(ISNUMBER('Main Project Raw Data'!G300),'Main Project Raw Data'!G300,IF(ISNUMBER(SEARCH("/",'Main Project Raw Data'!G300)),DATE(RIGHT('Main Project Raw Data'!G300,4),LEFT('Main Project Raw Data'!G300,FIND("/",'Main Project Raw Data'!G300)-1),MID('Main Project Raw Data'!G300,FIND("/",'Main Project Raw Data'!G300)+1,2)),DATE(RIGHT('Main Project Raw Data'!G300,4),MID('Main Project Raw Data'!G300,4,2),LEFT('Main Project Raw Data'!G300,2))))</f>
        <v>44101</v>
      </c>
      <c r="H300" s="3">
        <f>IF(Table1[[#This Row],[Salary]]="",AVERAGE(Table1[Salary]),Table1[[#This Row],[Salary]])</f>
        <v>85927.35</v>
      </c>
      <c r="I300" s="3" t="s">
        <v>50</v>
      </c>
      <c r="J300" s="3">
        <f>ABS(Table1[[#This Row],[Phone]])</f>
        <v>4572308480</v>
      </c>
      <c r="K300" s="3" t="str">
        <f>PROPER(TRIM(Table1[[#This Row],[Performance_Score]]))</f>
        <v>Good</v>
      </c>
      <c r="L300" s="3" t="b">
        <f>Table1[[#This Row],[Remote_Work]]</f>
        <v>0</v>
      </c>
      <c r="M300" s="3" t="str">
        <f>PROPER(CONCATENATE(Table13[[#This Row],[First_Name]], Table13[[#This Row],[Last_Name]]))</f>
        <v>Bobjones</v>
      </c>
      <c r="N300" s="3" t="str">
        <f t="shared" si="4"/>
        <v>Sep</v>
      </c>
      <c r="O300" s="3" t="str">
        <f>TEXT(Table13[[#This Row],[Join_Date]],"yyyy")</f>
        <v>2020</v>
      </c>
      <c r="P300" s="3" t="str">
        <f>LEFT('Main Project Raw Data'!E300,FIND("-",'Main Project Raw Data'!E300)-1)</f>
        <v>Finance</v>
      </c>
      <c r="Q300" s="3" t="str">
        <f>RIGHT('Main Project Raw Data'!E300,LEN('Main Project Raw Data'!E300)-FIND("-",'Main Project Raw Data'!E300))</f>
        <v>Texas</v>
      </c>
    </row>
    <row r="301" spans="1:17" x14ac:dyDescent="0.3">
      <c r="A301" s="3" t="str">
        <f>TRIM(Table1[[#This Row],[Employee_ID]])</f>
        <v>EMP1299</v>
      </c>
      <c r="B301" s="3" t="str">
        <f>TRIM(Table1[[#This Row],[First_Name]])</f>
        <v>Alice</v>
      </c>
      <c r="C301" s="3" t="str">
        <f>TRIM(Table1[[#This Row],[Last_Name]])</f>
        <v>Garcia</v>
      </c>
      <c r="D301" s="3">
        <f>IF(Table1[[#This Row],[Age]]="",AVERAGE(Table1[Age]),Table1[[#This Row],[Age]])</f>
        <v>32.484548825710753</v>
      </c>
      <c r="E301" s="3" t="s">
        <v>100</v>
      </c>
      <c r="F301" s="3" t="s">
        <v>33</v>
      </c>
      <c r="G301" s="5">
        <f>IF(ISNUMBER('Main Project Raw Data'!G301),'Main Project Raw Data'!G301,IF(ISNUMBER(SEARCH("/",'Main Project Raw Data'!G301)),DATE(RIGHT('Main Project Raw Data'!G301,4),LEFT('Main Project Raw Data'!G301,FIND("/",'Main Project Raw Data'!G301)-1),MID('Main Project Raw Data'!G301,FIND("/",'Main Project Raw Data'!G301)+1,2)),DATE(RIGHT('Main Project Raw Data'!G301,4),MID('Main Project Raw Data'!G301,4,2),LEFT('Main Project Raw Data'!G301,2))))</f>
        <v>45312</v>
      </c>
      <c r="H301" s="3">
        <f>IF(Table1[[#This Row],[Salary]]="",AVERAGE(Table1[Salary]),Table1[[#This Row],[Salary]])</f>
        <v>51523.93</v>
      </c>
      <c r="I301" s="3" t="s">
        <v>45</v>
      </c>
      <c r="J301" s="3">
        <f>ABS(Table1[[#This Row],[Phone]])</f>
        <v>18418619</v>
      </c>
      <c r="K301" s="3" t="str">
        <f>PROPER(TRIM(Table1[[#This Row],[Performance_Score]]))</f>
        <v>Average</v>
      </c>
      <c r="L301" s="3" t="b">
        <f>Table1[[#This Row],[Remote_Work]]</f>
        <v>1</v>
      </c>
      <c r="M301" s="3" t="str">
        <f>PROPER(CONCATENATE(Table13[[#This Row],[First_Name]], Table13[[#This Row],[Last_Name]]))</f>
        <v>Alicegarcia</v>
      </c>
      <c r="N301" s="3" t="str">
        <f t="shared" si="4"/>
        <v>Jan</v>
      </c>
      <c r="O301" s="3" t="str">
        <f>TEXT(Table13[[#This Row],[Join_Date]],"yyyy")</f>
        <v>2024</v>
      </c>
      <c r="P301" s="3" t="str">
        <f>LEFT('Main Project Raw Data'!E301,FIND("-",'Main Project Raw Data'!E301)-1)</f>
        <v>Finance</v>
      </c>
      <c r="Q301" s="3" t="str">
        <f>RIGHT('Main Project Raw Data'!E301,LEN('Main Project Raw Data'!E301)-FIND("-",'Main Project Raw Data'!E301))</f>
        <v>Nevada</v>
      </c>
    </row>
    <row r="302" spans="1:17" x14ac:dyDescent="0.3">
      <c r="A302" s="3" t="str">
        <f>TRIM(Table1[[#This Row],[Employee_ID]])</f>
        <v>EMP1300</v>
      </c>
      <c r="B302" s="3" t="str">
        <f>TRIM(Table1[[#This Row],[First_Name]])</f>
        <v>Alice</v>
      </c>
      <c r="C302" s="3" t="str">
        <f>TRIM(Table1[[#This Row],[Last_Name]])</f>
        <v>Smith</v>
      </c>
      <c r="D302" s="3">
        <f>IF(Table1[[#This Row],[Age]]="",AVERAGE(Table1[Age]),Table1[[#This Row],[Age]])</f>
        <v>30</v>
      </c>
      <c r="E302" s="3" t="s">
        <v>44</v>
      </c>
      <c r="F302" s="3" t="s">
        <v>16</v>
      </c>
      <c r="G302" s="5">
        <f>IF(ISNUMBER('Main Project Raw Data'!G302),'Main Project Raw Data'!G302,IF(ISNUMBER(SEARCH("/",'Main Project Raw Data'!G302)),DATE(RIGHT('Main Project Raw Data'!G302,4),LEFT('Main Project Raw Data'!G302,FIND("/",'Main Project Raw Data'!G302)-1),MID('Main Project Raw Data'!G302,FIND("/",'Main Project Raw Data'!G302)+1,2)),DATE(RIGHT('Main Project Raw Data'!G302,4),MID('Main Project Raw Data'!G302,4,2),LEFT('Main Project Raw Data'!G302,2))))</f>
        <v>44698</v>
      </c>
      <c r="H302" s="3">
        <f>IF(Table1[[#This Row],[Salary]]="",AVERAGE(Table1[Salary]),Table1[[#This Row],[Salary]])</f>
        <v>74117.02</v>
      </c>
      <c r="I302" s="3" t="s">
        <v>182</v>
      </c>
      <c r="J302" s="3">
        <f>ABS(Table1[[#This Row],[Phone]])</f>
        <v>3036625435</v>
      </c>
      <c r="K302" s="3" t="str">
        <f>PROPER(TRIM(Table1[[#This Row],[Performance_Score]]))</f>
        <v>Poor</v>
      </c>
      <c r="L302" s="3" t="b">
        <f>Table1[[#This Row],[Remote_Work]]</f>
        <v>0</v>
      </c>
      <c r="M302" s="3" t="str">
        <f>PROPER(CONCATENATE(Table13[[#This Row],[First_Name]], Table13[[#This Row],[Last_Name]]))</f>
        <v>Alicesmith</v>
      </c>
      <c r="N302" s="3" t="str">
        <f t="shared" si="4"/>
        <v>May</v>
      </c>
      <c r="O302" s="3" t="str">
        <f>TEXT(Table13[[#This Row],[Join_Date]],"yyyy")</f>
        <v>2022</v>
      </c>
      <c r="P302" s="3" t="str">
        <f>LEFT('Main Project Raw Data'!E302,FIND("-",'Main Project Raw Data'!E302)-1)</f>
        <v>Sales</v>
      </c>
      <c r="Q302" s="3" t="str">
        <f>RIGHT('Main Project Raw Data'!E302,LEN('Main Project Raw Data'!E302)-FIND("-",'Main Project Raw Data'!E302))</f>
        <v>Texas</v>
      </c>
    </row>
    <row r="303" spans="1:17" x14ac:dyDescent="0.3">
      <c r="A303" s="3" t="str">
        <f>TRIM(Table1[[#This Row],[Employee_ID]])</f>
        <v>EMP1301</v>
      </c>
      <c r="B303" s="3" t="str">
        <f>TRIM(Table1[[#This Row],[First_Name]])</f>
        <v>Alice</v>
      </c>
      <c r="C303" s="3" t="str">
        <f>TRIM(Table1[[#This Row],[Last_Name]])</f>
        <v>Smith</v>
      </c>
      <c r="D303" s="3">
        <f>IF(Table1[[#This Row],[Age]]="",AVERAGE(Table1[Age]),Table1[[#This Row],[Age]])</f>
        <v>25</v>
      </c>
      <c r="E303" s="3" t="s">
        <v>21</v>
      </c>
      <c r="F303" s="3" t="s">
        <v>33</v>
      </c>
      <c r="G303" s="5">
        <f>IF(ISNUMBER('Main Project Raw Data'!G303),'Main Project Raw Data'!G303,IF(ISNUMBER(SEARCH("/",'Main Project Raw Data'!G303)),DATE(RIGHT('Main Project Raw Data'!G303,4),LEFT('Main Project Raw Data'!G303,FIND("/",'Main Project Raw Data'!G303)-1),MID('Main Project Raw Data'!G303,FIND("/",'Main Project Raw Data'!G303)+1,2)),DATE(RIGHT('Main Project Raw Data'!G303,4),MID('Main Project Raw Data'!G303,4,2),LEFT('Main Project Raw Data'!G303,2))))</f>
        <v>44668</v>
      </c>
      <c r="H303" s="3">
        <f>IF(Table1[[#This Row],[Salary]]="",AVERAGE(Table1[Salary]),Table1[[#This Row],[Salary]])</f>
        <v>62598.69</v>
      </c>
      <c r="I303" s="3" t="s">
        <v>182</v>
      </c>
      <c r="J303" s="3">
        <f>ABS(Table1[[#This Row],[Phone]])</f>
        <v>1721314518</v>
      </c>
      <c r="K303" s="3" t="str">
        <f>PROPER(TRIM(Table1[[#This Row],[Performance_Score]]))</f>
        <v>Average</v>
      </c>
      <c r="L303" s="3" t="b">
        <f>Table1[[#This Row],[Remote_Work]]</f>
        <v>1</v>
      </c>
      <c r="M303" s="3" t="str">
        <f>PROPER(CONCATENATE(Table13[[#This Row],[First_Name]], Table13[[#This Row],[Last_Name]]))</f>
        <v>Alicesmith</v>
      </c>
      <c r="N303" s="3" t="str">
        <f t="shared" si="4"/>
        <v>Apr</v>
      </c>
      <c r="O303" s="3" t="str">
        <f>TEXT(Table13[[#This Row],[Join_Date]],"yyyy")</f>
        <v>2022</v>
      </c>
      <c r="P303" s="3" t="str">
        <f>LEFT('Main Project Raw Data'!E303,FIND("-",'Main Project Raw Data'!E303)-1)</f>
        <v>Finance</v>
      </c>
      <c r="Q303" s="3" t="str">
        <f>RIGHT('Main Project Raw Data'!E303,LEN('Main Project Raw Data'!E303)-FIND("-",'Main Project Raw Data'!E303))</f>
        <v>Texas</v>
      </c>
    </row>
    <row r="304" spans="1:17" x14ac:dyDescent="0.3">
      <c r="A304" s="3" t="str">
        <f>TRIM(Table1[[#This Row],[Employee_ID]])</f>
        <v>EMP1302</v>
      </c>
      <c r="B304" s="3" t="str">
        <f>TRIM(Table1[[#This Row],[First_Name]])</f>
        <v>Grace</v>
      </c>
      <c r="C304" s="3" t="str">
        <f>TRIM(Table1[[#This Row],[Last_Name]])</f>
        <v>Williams</v>
      </c>
      <c r="D304" s="3">
        <f>IF(Table1[[#This Row],[Age]]="",AVERAGE(Table1[Age]),Table1[[#This Row],[Age]])</f>
        <v>35</v>
      </c>
      <c r="E304" s="3" t="s">
        <v>112</v>
      </c>
      <c r="F304" s="3" t="s">
        <v>33</v>
      </c>
      <c r="G304" s="5">
        <f>IF(ISNUMBER('Main Project Raw Data'!G304),'Main Project Raw Data'!G304,IF(ISNUMBER(SEARCH("/",'Main Project Raw Data'!G304)),DATE(RIGHT('Main Project Raw Data'!G304,4),LEFT('Main Project Raw Data'!G304,FIND("/",'Main Project Raw Data'!G304)-1),MID('Main Project Raw Data'!G304,FIND("/",'Main Project Raw Data'!G304)+1,2)),DATE(RIGHT('Main Project Raw Data'!G304,4),MID('Main Project Raw Data'!G304,4,2),LEFT('Main Project Raw Data'!G304,2))))</f>
        <v>44775</v>
      </c>
      <c r="H304" s="3">
        <f>IF(Table1[[#This Row],[Salary]]="",AVERAGE(Table1[Salary]),Table1[[#This Row],[Salary]])</f>
        <v>55617.5</v>
      </c>
      <c r="I304" s="3" t="s">
        <v>71</v>
      </c>
      <c r="J304" s="3">
        <f>ABS(Table1[[#This Row],[Phone]])</f>
        <v>5151092267</v>
      </c>
      <c r="K304" s="3" t="str">
        <f>PROPER(TRIM(Table1[[#This Row],[Performance_Score]]))</f>
        <v>Excellent</v>
      </c>
      <c r="L304" s="3" t="b">
        <f>Table1[[#This Row],[Remote_Work]]</f>
        <v>1</v>
      </c>
      <c r="M304" s="3" t="str">
        <f>PROPER(CONCATENATE(Table13[[#This Row],[First_Name]], Table13[[#This Row],[Last_Name]]))</f>
        <v>Gracewilliams</v>
      </c>
      <c r="N304" s="3" t="str">
        <f t="shared" si="4"/>
        <v>Aug</v>
      </c>
      <c r="O304" s="3" t="str">
        <f>TEXT(Table13[[#This Row],[Join_Date]],"yyyy")</f>
        <v>2022</v>
      </c>
      <c r="P304" s="3" t="str">
        <f>LEFT('Main Project Raw Data'!E304,FIND("-",'Main Project Raw Data'!E304)-1)</f>
        <v>Finance</v>
      </c>
      <c r="Q304" s="3" t="str">
        <f>RIGHT('Main Project Raw Data'!E304,LEN('Main Project Raw Data'!E304)-FIND("-",'Main Project Raw Data'!E304))</f>
        <v>Florida</v>
      </c>
    </row>
    <row r="305" spans="1:17" x14ac:dyDescent="0.3">
      <c r="A305" s="3" t="str">
        <f>TRIM(Table1[[#This Row],[Employee_ID]])</f>
        <v>EMP1303</v>
      </c>
      <c r="B305" s="3" t="str">
        <f>TRIM(Table1[[#This Row],[First_Name]])</f>
        <v>Charlie</v>
      </c>
      <c r="C305" s="3" t="str">
        <f>TRIM(Table1[[#This Row],[Last_Name]])</f>
        <v>Miller</v>
      </c>
      <c r="D305" s="3">
        <f>IF(Table1[[#This Row],[Age]]="",AVERAGE(Table1[Age]),Table1[[#This Row],[Age]])</f>
        <v>35</v>
      </c>
      <c r="E305" s="3" t="s">
        <v>60</v>
      </c>
      <c r="F305" s="3" t="s">
        <v>28</v>
      </c>
      <c r="G305" s="5">
        <f>IF(ISNUMBER('Main Project Raw Data'!G305),'Main Project Raw Data'!G305,IF(ISNUMBER(SEARCH("/",'Main Project Raw Data'!G305)),DATE(RIGHT('Main Project Raw Data'!G305,4),LEFT('Main Project Raw Data'!G305,FIND("/",'Main Project Raw Data'!G305)-1),MID('Main Project Raw Data'!G305,FIND("/",'Main Project Raw Data'!G305)+1,2)),DATE(RIGHT('Main Project Raw Data'!G305,4),MID('Main Project Raw Data'!G305,4,2),LEFT('Main Project Raw Data'!G305,2))))</f>
        <v>44635</v>
      </c>
      <c r="H305" s="3">
        <f>IF(Table1[[#This Row],[Salary]]="",AVERAGE(Table1[Salary]),Table1[[#This Row],[Salary]])</f>
        <v>87018.98</v>
      </c>
      <c r="I305" s="3" t="s">
        <v>501</v>
      </c>
      <c r="J305" s="3">
        <f>ABS(Table1[[#This Row],[Phone]])</f>
        <v>5926249450</v>
      </c>
      <c r="K305" s="3" t="str">
        <f>PROPER(TRIM(Table1[[#This Row],[Performance_Score]]))</f>
        <v>Good</v>
      </c>
      <c r="L305" s="3" t="b">
        <f>Table1[[#This Row],[Remote_Work]]</f>
        <v>1</v>
      </c>
      <c r="M305" s="3" t="str">
        <f>PROPER(CONCATENATE(Table13[[#This Row],[First_Name]], Table13[[#This Row],[Last_Name]]))</f>
        <v>Charliemiller</v>
      </c>
      <c r="N305" s="3" t="str">
        <f t="shared" si="4"/>
        <v>Mar</v>
      </c>
      <c r="O305" s="3" t="str">
        <f>TEXT(Table13[[#This Row],[Join_Date]],"yyyy")</f>
        <v>2022</v>
      </c>
      <c r="P305" s="3" t="str">
        <f>LEFT('Main Project Raw Data'!E305,FIND("-",'Main Project Raw Data'!E305)-1)</f>
        <v>Cloud Tech</v>
      </c>
      <c r="Q305" s="3" t="str">
        <f>RIGHT('Main Project Raw Data'!E305,LEN('Main Project Raw Data'!E305)-FIND("-",'Main Project Raw Data'!E305))</f>
        <v>New York</v>
      </c>
    </row>
    <row r="306" spans="1:17" x14ac:dyDescent="0.3">
      <c r="A306" s="3" t="str">
        <f>TRIM(Table1[[#This Row],[Employee_ID]])</f>
        <v>EMP1304</v>
      </c>
      <c r="B306" s="3" t="str">
        <f>TRIM(Table1[[#This Row],[First_Name]])</f>
        <v>David</v>
      </c>
      <c r="C306" s="3" t="str">
        <f>TRIM(Table1[[#This Row],[Last_Name]])</f>
        <v>Johnson</v>
      </c>
      <c r="D306" s="3">
        <f>IF(Table1[[#This Row],[Age]]="",AVERAGE(Table1[Age]),Table1[[#This Row],[Age]])</f>
        <v>25</v>
      </c>
      <c r="E306" s="3" t="s">
        <v>268</v>
      </c>
      <c r="F306" s="3" t="s">
        <v>33</v>
      </c>
      <c r="G306" s="5">
        <f>IF(ISNUMBER('Main Project Raw Data'!G306),'Main Project Raw Data'!G306,IF(ISNUMBER(SEARCH("/",'Main Project Raw Data'!G306)),DATE(RIGHT('Main Project Raw Data'!G306,4),LEFT('Main Project Raw Data'!G306,FIND("/",'Main Project Raw Data'!G306)-1),MID('Main Project Raw Data'!G306,FIND("/",'Main Project Raw Data'!G306)+1,2)),DATE(RIGHT('Main Project Raw Data'!G306,4),MID('Main Project Raw Data'!G306,4,2),LEFT('Main Project Raw Data'!G306,2))))</f>
        <v>45240</v>
      </c>
      <c r="H306" s="3">
        <f>IF(Table1[[#This Row],[Salary]]="",AVERAGE(Table1[Salary]),Table1[[#This Row],[Salary]])</f>
        <v>100336.58</v>
      </c>
      <c r="I306" s="3" t="s">
        <v>217</v>
      </c>
      <c r="J306" s="3">
        <f>ABS(Table1[[#This Row],[Phone]])</f>
        <v>4754102251</v>
      </c>
      <c r="K306" s="3" t="str">
        <f>PROPER(TRIM(Table1[[#This Row],[Performance_Score]]))</f>
        <v>Excellent</v>
      </c>
      <c r="L306" s="3" t="b">
        <f>Table1[[#This Row],[Remote_Work]]</f>
        <v>1</v>
      </c>
      <c r="M306" s="3" t="str">
        <f>PROPER(CONCATENATE(Table13[[#This Row],[First_Name]], Table13[[#This Row],[Last_Name]]))</f>
        <v>Davidjohnson</v>
      </c>
      <c r="N306" s="3" t="str">
        <f t="shared" si="4"/>
        <v>Nov</v>
      </c>
      <c r="O306" s="3" t="str">
        <f>TEXT(Table13[[#This Row],[Join_Date]],"yyyy")</f>
        <v>2023</v>
      </c>
      <c r="P306" s="3" t="str">
        <f>LEFT('Main Project Raw Data'!E306,FIND("-",'Main Project Raw Data'!E306)-1)</f>
        <v>Cloud Tech</v>
      </c>
      <c r="Q306" s="3" t="str">
        <f>RIGHT('Main Project Raw Data'!E306,LEN('Main Project Raw Data'!E306)-FIND("-",'Main Project Raw Data'!E306))</f>
        <v>California</v>
      </c>
    </row>
    <row r="307" spans="1:17" x14ac:dyDescent="0.3">
      <c r="A307" s="3" t="str">
        <f>TRIM(Table1[[#This Row],[Employee_ID]])</f>
        <v>EMP1305</v>
      </c>
      <c r="B307" s="3" t="str">
        <f>TRIM(Table1[[#This Row],[First_Name]])</f>
        <v>Grace</v>
      </c>
      <c r="C307" s="3" t="str">
        <f>TRIM(Table1[[#This Row],[Last_Name]])</f>
        <v>Jones</v>
      </c>
      <c r="D307" s="3">
        <f>IF(Table1[[#This Row],[Age]]="",AVERAGE(Table1[Age]),Table1[[#This Row],[Age]])</f>
        <v>30</v>
      </c>
      <c r="E307" s="3" t="s">
        <v>205</v>
      </c>
      <c r="F307" s="3" t="s">
        <v>33</v>
      </c>
      <c r="G307" s="5">
        <f>IF(ISNUMBER('Main Project Raw Data'!G307),'Main Project Raw Data'!G307,IF(ISNUMBER(SEARCH("/",'Main Project Raw Data'!G307)),DATE(RIGHT('Main Project Raw Data'!G307,4),LEFT('Main Project Raw Data'!G307,FIND("/",'Main Project Raw Data'!G307)-1),MID('Main Project Raw Data'!G307,FIND("/",'Main Project Raw Data'!G307)+1,2)),DATE(RIGHT('Main Project Raw Data'!G307,4),MID('Main Project Raw Data'!G307,4,2),LEFT('Main Project Raw Data'!G307,2))))</f>
        <v>44148</v>
      </c>
      <c r="H307" s="3">
        <f>IF(Table1[[#This Row],[Salary]]="",AVERAGE(Table1[Salary]),Table1[[#This Row],[Salary]])</f>
        <v>69295.48</v>
      </c>
      <c r="I307" s="3" t="s">
        <v>76</v>
      </c>
      <c r="J307" s="3">
        <f>ABS(Table1[[#This Row],[Phone]])</f>
        <v>6771196420</v>
      </c>
      <c r="K307" s="3" t="str">
        <f>PROPER(TRIM(Table1[[#This Row],[Performance_Score]]))</f>
        <v>Excellent</v>
      </c>
      <c r="L307" s="3" t="b">
        <f>Table1[[#This Row],[Remote_Work]]</f>
        <v>0</v>
      </c>
      <c r="M307" s="3" t="str">
        <f>PROPER(CONCATENATE(Table13[[#This Row],[First_Name]], Table13[[#This Row],[Last_Name]]))</f>
        <v>Gracejones</v>
      </c>
      <c r="N307" s="3" t="str">
        <f t="shared" si="4"/>
        <v>Nov</v>
      </c>
      <c r="O307" s="3" t="str">
        <f>TEXT(Table13[[#This Row],[Join_Date]],"yyyy")</f>
        <v>2020</v>
      </c>
      <c r="P307" s="3" t="str">
        <f>LEFT('Main Project Raw Data'!E307,FIND("-",'Main Project Raw Data'!E307)-1)</f>
        <v>Admin</v>
      </c>
      <c r="Q307" s="3" t="str">
        <f>RIGHT('Main Project Raw Data'!E307,LEN('Main Project Raw Data'!E307)-FIND("-",'Main Project Raw Data'!E307))</f>
        <v>Florida</v>
      </c>
    </row>
    <row r="308" spans="1:17" x14ac:dyDescent="0.3">
      <c r="A308" s="3" t="str">
        <f>TRIM(Table1[[#This Row],[Employee_ID]])</f>
        <v>EMP1306</v>
      </c>
      <c r="B308" s="3" t="str">
        <f>TRIM(Table1[[#This Row],[First_Name]])</f>
        <v>Bob</v>
      </c>
      <c r="C308" s="3" t="str">
        <f>TRIM(Table1[[#This Row],[Last_Name]])</f>
        <v>Brown</v>
      </c>
      <c r="D308" s="3">
        <f>IF(Table1[[#This Row],[Age]]="",AVERAGE(Table1[Age]),Table1[[#This Row],[Age]])</f>
        <v>25</v>
      </c>
      <c r="E308" s="3" t="s">
        <v>230</v>
      </c>
      <c r="F308" s="3" t="s">
        <v>28</v>
      </c>
      <c r="G308" s="5">
        <f>IF(ISNUMBER('Main Project Raw Data'!G308),'Main Project Raw Data'!G308,IF(ISNUMBER(SEARCH("/",'Main Project Raw Data'!G308)),DATE(RIGHT('Main Project Raw Data'!G308,4),LEFT('Main Project Raw Data'!G308,FIND("/",'Main Project Raw Data'!G308)-1),MID('Main Project Raw Data'!G308,FIND("/",'Main Project Raw Data'!G308)+1,2)),DATE(RIGHT('Main Project Raw Data'!G308,4),MID('Main Project Raw Data'!G308,4,2),LEFT('Main Project Raw Data'!G308,2))))</f>
        <v>45399</v>
      </c>
      <c r="H308" s="3">
        <f>IF(Table1[[#This Row],[Salary]]="",AVERAGE(Table1[Salary]),Table1[[#This Row],[Salary]])</f>
        <v>115536.66</v>
      </c>
      <c r="I308" s="3" t="s">
        <v>22</v>
      </c>
      <c r="J308" s="3">
        <f>ABS(Table1[[#This Row],[Phone]])</f>
        <v>5226557675</v>
      </c>
      <c r="K308" s="3" t="str">
        <f>PROPER(TRIM(Table1[[#This Row],[Performance_Score]]))</f>
        <v>Excellent</v>
      </c>
      <c r="L308" s="3" t="b">
        <f>Table1[[#This Row],[Remote_Work]]</f>
        <v>1</v>
      </c>
      <c r="M308" s="3" t="str">
        <f>PROPER(CONCATENATE(Table13[[#This Row],[First_Name]], Table13[[#This Row],[Last_Name]]))</f>
        <v>Bobbrown</v>
      </c>
      <c r="N308" s="3" t="str">
        <f t="shared" si="4"/>
        <v>Apr</v>
      </c>
      <c r="O308" s="3" t="str">
        <f>TEXT(Table13[[#This Row],[Join_Date]],"yyyy")</f>
        <v>2024</v>
      </c>
      <c r="P308" s="3" t="str">
        <f>LEFT('Main Project Raw Data'!E308,FIND("-",'Main Project Raw Data'!E308)-1)</f>
        <v>DevOps</v>
      </c>
      <c r="Q308" s="3" t="str">
        <f>RIGHT('Main Project Raw Data'!E308,LEN('Main Project Raw Data'!E308)-FIND("-",'Main Project Raw Data'!E308))</f>
        <v>Florida</v>
      </c>
    </row>
    <row r="309" spans="1:17" x14ac:dyDescent="0.3">
      <c r="A309" s="3" t="str">
        <f>TRIM(Table1[[#This Row],[Employee_ID]])</f>
        <v>EMP1307</v>
      </c>
      <c r="B309" s="3" t="str">
        <f>TRIM(Table1[[#This Row],[First_Name]])</f>
        <v>David</v>
      </c>
      <c r="C309" s="3" t="str">
        <f>TRIM(Table1[[#This Row],[Last_Name]])</f>
        <v>Johnson</v>
      </c>
      <c r="D309" s="3">
        <f>IF(Table1[[#This Row],[Age]]="",AVERAGE(Table1[Age]),Table1[[#This Row],[Age]])</f>
        <v>30</v>
      </c>
      <c r="E309" s="3" t="s">
        <v>159</v>
      </c>
      <c r="F309" s="3" t="s">
        <v>28</v>
      </c>
      <c r="G309" s="5">
        <f>IF(ISNUMBER('Main Project Raw Data'!G309),'Main Project Raw Data'!G309,IF(ISNUMBER(SEARCH("/",'Main Project Raw Data'!G309)),DATE(RIGHT('Main Project Raw Data'!G309,4),LEFT('Main Project Raw Data'!G309,FIND("/",'Main Project Raw Data'!G309)-1),MID('Main Project Raw Data'!G309,FIND("/",'Main Project Raw Data'!G309)+1,2)),DATE(RIGHT('Main Project Raw Data'!G309,4),MID('Main Project Raw Data'!G309,4,2),LEFT('Main Project Raw Data'!G309,2))))</f>
        <v>44077</v>
      </c>
      <c r="H309" s="3">
        <f>IF(Table1[[#This Row],[Salary]]="",AVERAGE(Table1[Salary]),Table1[[#This Row],[Salary]])</f>
        <v>81250.87</v>
      </c>
      <c r="I309" s="3" t="s">
        <v>217</v>
      </c>
      <c r="J309" s="3">
        <f>ABS(Table1[[#This Row],[Phone]])</f>
        <v>9523668787</v>
      </c>
      <c r="K309" s="3" t="str">
        <f>PROPER(TRIM(Table1[[#This Row],[Performance_Score]]))</f>
        <v>Excellent</v>
      </c>
      <c r="L309" s="3" t="b">
        <f>Table1[[#This Row],[Remote_Work]]</f>
        <v>0</v>
      </c>
      <c r="M309" s="3" t="str">
        <f>PROPER(CONCATENATE(Table13[[#This Row],[First_Name]], Table13[[#This Row],[Last_Name]]))</f>
        <v>Davidjohnson</v>
      </c>
      <c r="N309" s="3" t="str">
        <f t="shared" si="4"/>
        <v>Sep</v>
      </c>
      <c r="O309" s="3" t="str">
        <f>TEXT(Table13[[#This Row],[Join_Date]],"yyyy")</f>
        <v>2020</v>
      </c>
      <c r="P309" s="3" t="str">
        <f>LEFT('Main Project Raw Data'!E309,FIND("-",'Main Project Raw Data'!E309)-1)</f>
        <v>Cloud Tech</v>
      </c>
      <c r="Q309" s="3" t="str">
        <f>RIGHT('Main Project Raw Data'!E309,LEN('Main Project Raw Data'!E309)-FIND("-",'Main Project Raw Data'!E309))</f>
        <v>Texas</v>
      </c>
    </row>
    <row r="310" spans="1:17" x14ac:dyDescent="0.3">
      <c r="A310" s="3" t="str">
        <f>TRIM(Table1[[#This Row],[Employee_ID]])</f>
        <v>EMP1308</v>
      </c>
      <c r="B310" s="3" t="str">
        <f>TRIM(Table1[[#This Row],[First_Name]])</f>
        <v>Alice</v>
      </c>
      <c r="C310" s="3" t="str">
        <f>TRIM(Table1[[#This Row],[Last_Name]])</f>
        <v>Garcia</v>
      </c>
      <c r="D310" s="3">
        <f>IF(Table1[[#This Row],[Age]]="",AVERAGE(Table1[Age]),Table1[[#This Row],[Age]])</f>
        <v>30</v>
      </c>
      <c r="E310" s="3" t="s">
        <v>237</v>
      </c>
      <c r="F310" s="3" t="s">
        <v>33</v>
      </c>
      <c r="G310" s="5">
        <f>IF(ISNUMBER('Main Project Raw Data'!G310),'Main Project Raw Data'!G310,IF(ISNUMBER(SEARCH("/",'Main Project Raw Data'!G310)),DATE(RIGHT('Main Project Raw Data'!G310,4),LEFT('Main Project Raw Data'!G310,FIND("/",'Main Project Raw Data'!G310)-1),MID('Main Project Raw Data'!G310,FIND("/",'Main Project Raw Data'!G310)+1,2)),DATE(RIGHT('Main Project Raw Data'!G310,4),MID('Main Project Raw Data'!G310,4,2),LEFT('Main Project Raw Data'!G310,2))))</f>
        <v>44729</v>
      </c>
      <c r="H310" s="3">
        <f>IF(Table1[[#This Row],[Salary]]="",AVERAGE(Table1[Salary]),Table1[[#This Row],[Salary]])</f>
        <v>66403.75</v>
      </c>
      <c r="I310" s="3" t="s">
        <v>45</v>
      </c>
      <c r="J310" s="3">
        <f>ABS(Table1[[#This Row],[Phone]])</f>
        <v>7883619688</v>
      </c>
      <c r="K310" s="3" t="str">
        <f>PROPER(TRIM(Table1[[#This Row],[Performance_Score]]))</f>
        <v>Good</v>
      </c>
      <c r="L310" s="3" t="b">
        <f>Table1[[#This Row],[Remote_Work]]</f>
        <v>0</v>
      </c>
      <c r="M310" s="3" t="str">
        <f>PROPER(CONCATENATE(Table13[[#This Row],[First_Name]], Table13[[#This Row],[Last_Name]]))</f>
        <v>Alicegarcia</v>
      </c>
      <c r="N310" s="3" t="str">
        <f t="shared" si="4"/>
        <v>Jun</v>
      </c>
      <c r="O310" s="3" t="str">
        <f>TEXT(Table13[[#This Row],[Join_Date]],"yyyy")</f>
        <v>2022</v>
      </c>
      <c r="P310" s="3" t="str">
        <f>LEFT('Main Project Raw Data'!E310,FIND("-",'Main Project Raw Data'!E310)-1)</f>
        <v>DevOps</v>
      </c>
      <c r="Q310" s="3" t="str">
        <f>RIGHT('Main Project Raw Data'!E310,LEN('Main Project Raw Data'!E310)-FIND("-",'Main Project Raw Data'!E310))</f>
        <v>Texas</v>
      </c>
    </row>
    <row r="311" spans="1:17" x14ac:dyDescent="0.3">
      <c r="A311" s="3" t="str">
        <f>TRIM(Table1[[#This Row],[Employee_ID]])</f>
        <v>EMP1309</v>
      </c>
      <c r="B311" s="3" t="str">
        <f>TRIM(Table1[[#This Row],[First_Name]])</f>
        <v>Alice</v>
      </c>
      <c r="C311" s="3" t="str">
        <f>TRIM(Table1[[#This Row],[Last_Name]])</f>
        <v>Miller</v>
      </c>
      <c r="D311" s="3">
        <f>IF(Table1[[#This Row],[Age]]="",AVERAGE(Table1[Age]),Table1[[#This Row],[Age]])</f>
        <v>30</v>
      </c>
      <c r="E311" s="3" t="s">
        <v>177</v>
      </c>
      <c r="F311" s="3" t="s">
        <v>16</v>
      </c>
      <c r="G311" s="5">
        <f>IF(ISNUMBER('Main Project Raw Data'!G311),'Main Project Raw Data'!G311,IF(ISNUMBER(SEARCH("/",'Main Project Raw Data'!G311)),DATE(RIGHT('Main Project Raw Data'!G311,4),LEFT('Main Project Raw Data'!G311,FIND("/",'Main Project Raw Data'!G311)-1),MID('Main Project Raw Data'!G311,FIND("/",'Main Project Raw Data'!G311)+1,2)),DATE(RIGHT('Main Project Raw Data'!G311,4),MID('Main Project Raw Data'!G311,4,2),LEFT('Main Project Raw Data'!G311,2))))</f>
        <v>45501</v>
      </c>
      <c r="H311" s="3">
        <f>IF(Table1[[#This Row],[Salary]]="",AVERAGE(Table1[Salary]),Table1[[#This Row],[Salary]])</f>
        <v>114147.79</v>
      </c>
      <c r="I311" s="3" t="s">
        <v>166</v>
      </c>
      <c r="J311" s="3">
        <f>ABS(Table1[[#This Row],[Phone]])</f>
        <v>3135030586</v>
      </c>
      <c r="K311" s="3" t="str">
        <f>PROPER(TRIM(Table1[[#This Row],[Performance_Score]]))</f>
        <v>Excellent</v>
      </c>
      <c r="L311" s="3" t="b">
        <f>Table1[[#This Row],[Remote_Work]]</f>
        <v>0</v>
      </c>
      <c r="M311" s="3" t="str">
        <f>PROPER(CONCATENATE(Table13[[#This Row],[First_Name]], Table13[[#This Row],[Last_Name]]))</f>
        <v>Alicemiller</v>
      </c>
      <c r="N311" s="3" t="str">
        <f t="shared" si="4"/>
        <v>Jul</v>
      </c>
      <c r="O311" s="3" t="str">
        <f>TEXT(Table13[[#This Row],[Join_Date]],"yyyy")</f>
        <v>2024</v>
      </c>
      <c r="P311" s="3" t="str">
        <f>LEFT('Main Project Raw Data'!E311,FIND("-",'Main Project Raw Data'!E311)-1)</f>
        <v>Sales</v>
      </c>
      <c r="Q311" s="3" t="str">
        <f>RIGHT('Main Project Raw Data'!E311,LEN('Main Project Raw Data'!E311)-FIND("-",'Main Project Raw Data'!E311))</f>
        <v>California</v>
      </c>
    </row>
    <row r="312" spans="1:17" x14ac:dyDescent="0.3">
      <c r="A312" s="3" t="str">
        <f>TRIM(Table1[[#This Row],[Employee_ID]])</f>
        <v>EMP1310</v>
      </c>
      <c r="B312" s="3" t="str">
        <f>TRIM(Table1[[#This Row],[First_Name]])</f>
        <v>Frank</v>
      </c>
      <c r="C312" s="3" t="str">
        <f>TRIM(Table1[[#This Row],[Last_Name]])</f>
        <v>Garcia</v>
      </c>
      <c r="D312" s="3">
        <f>IF(Table1[[#This Row],[Age]]="",AVERAGE(Table1[Age]),Table1[[#This Row],[Age]])</f>
        <v>30</v>
      </c>
      <c r="E312" s="3" t="s">
        <v>66</v>
      </c>
      <c r="F312" s="3" t="s">
        <v>28</v>
      </c>
      <c r="G312" s="5">
        <f>IF(ISNUMBER('Main Project Raw Data'!G312),'Main Project Raw Data'!G312,IF(ISNUMBER(SEARCH("/",'Main Project Raw Data'!G312)),DATE(RIGHT('Main Project Raw Data'!G312,4),LEFT('Main Project Raw Data'!G312,FIND("/",'Main Project Raw Data'!G312)-1),MID('Main Project Raw Data'!G312,FIND("/",'Main Project Raw Data'!G312)+1,2)),DATE(RIGHT('Main Project Raw Data'!G312,4),MID('Main Project Raw Data'!G312,4,2),LEFT('Main Project Raw Data'!G312,2))))</f>
        <v>44632</v>
      </c>
      <c r="H312" s="3">
        <f>IF(Table1[[#This Row],[Salary]]="",AVERAGE(Table1[Salary]),Table1[[#This Row],[Salary]])</f>
        <v>65472.99</v>
      </c>
      <c r="I312" s="3" t="s">
        <v>180</v>
      </c>
      <c r="J312" s="3">
        <f>ABS(Table1[[#This Row],[Phone]])</f>
        <v>2105524727</v>
      </c>
      <c r="K312" s="3" t="str">
        <f>PROPER(TRIM(Table1[[#This Row],[Performance_Score]]))</f>
        <v>Good</v>
      </c>
      <c r="L312" s="3" t="b">
        <f>Table1[[#This Row],[Remote_Work]]</f>
        <v>0</v>
      </c>
      <c r="M312" s="3" t="str">
        <f>PROPER(CONCATENATE(Table13[[#This Row],[First_Name]], Table13[[#This Row],[Last_Name]]))</f>
        <v>Frankgarcia</v>
      </c>
      <c r="N312" s="3" t="str">
        <f t="shared" si="4"/>
        <v>Mar</v>
      </c>
      <c r="O312" s="3" t="str">
        <f>TEXT(Table13[[#This Row],[Join_Date]],"yyyy")</f>
        <v>2022</v>
      </c>
      <c r="P312" s="3" t="str">
        <f>LEFT('Main Project Raw Data'!E312,FIND("-",'Main Project Raw Data'!E312)-1)</f>
        <v>HR</v>
      </c>
      <c r="Q312" s="3" t="str">
        <f>RIGHT('Main Project Raw Data'!E312,LEN('Main Project Raw Data'!E312)-FIND("-",'Main Project Raw Data'!E312))</f>
        <v>New York</v>
      </c>
    </row>
    <row r="313" spans="1:17" x14ac:dyDescent="0.3">
      <c r="A313" s="3" t="str">
        <f>TRIM(Table1[[#This Row],[Employee_ID]])</f>
        <v>EMP1311</v>
      </c>
      <c r="B313" s="3" t="str">
        <f>TRIM(Table1[[#This Row],[First_Name]])</f>
        <v>Alice</v>
      </c>
      <c r="C313" s="3" t="str">
        <f>TRIM(Table1[[#This Row],[Last_Name]])</f>
        <v>Davis</v>
      </c>
      <c r="D313" s="3">
        <f>IF(Table1[[#This Row],[Age]]="",AVERAGE(Table1[Age]),Table1[[#This Row],[Age]])</f>
        <v>32.484548825710753</v>
      </c>
      <c r="E313" s="3" t="s">
        <v>219</v>
      </c>
      <c r="F313" s="3" t="s">
        <v>16</v>
      </c>
      <c r="G313" s="5">
        <f>IF(ISNUMBER('Main Project Raw Data'!G313),'Main Project Raw Data'!G313,IF(ISNUMBER(SEARCH("/",'Main Project Raw Data'!G313)),DATE(RIGHT('Main Project Raw Data'!G313,4),LEFT('Main Project Raw Data'!G313,FIND("/",'Main Project Raw Data'!G313)-1),MID('Main Project Raw Data'!G313,FIND("/",'Main Project Raw Data'!G313)+1,2)),DATE(RIGHT('Main Project Raw Data'!G313,4),MID('Main Project Raw Data'!G313,4,2),LEFT('Main Project Raw Data'!G313,2))))</f>
        <v>45084</v>
      </c>
      <c r="H313" s="3">
        <f>IF(Table1[[#This Row],[Salary]]="",AVERAGE(Table1[Salary]),Table1[[#This Row],[Salary]])</f>
        <v>97512.51</v>
      </c>
      <c r="I313" s="3" t="s">
        <v>163</v>
      </c>
      <c r="J313" s="3">
        <f>ABS(Table1[[#This Row],[Phone]])</f>
        <v>6333021259</v>
      </c>
      <c r="K313" s="3" t="str">
        <f>PROPER(TRIM(Table1[[#This Row],[Performance_Score]]))</f>
        <v>Good</v>
      </c>
      <c r="L313" s="3" t="b">
        <f>Table1[[#This Row],[Remote_Work]]</f>
        <v>1</v>
      </c>
      <c r="M313" s="3" t="str">
        <f>PROPER(CONCATENATE(Table13[[#This Row],[First_Name]], Table13[[#This Row],[Last_Name]]))</f>
        <v>Alicedavis</v>
      </c>
      <c r="N313" s="3" t="str">
        <f t="shared" si="4"/>
        <v>Jun</v>
      </c>
      <c r="O313" s="3" t="str">
        <f>TEXT(Table13[[#This Row],[Join_Date]],"yyyy")</f>
        <v>2023</v>
      </c>
      <c r="P313" s="3" t="str">
        <f>LEFT('Main Project Raw Data'!E313,FIND("-",'Main Project Raw Data'!E313)-1)</f>
        <v>Sales</v>
      </c>
      <c r="Q313" s="3" t="str">
        <f>RIGHT('Main Project Raw Data'!E313,LEN('Main Project Raw Data'!E313)-FIND("-",'Main Project Raw Data'!E313))</f>
        <v>Nevada</v>
      </c>
    </row>
    <row r="314" spans="1:17" x14ac:dyDescent="0.3">
      <c r="A314" s="3" t="str">
        <f>TRIM(Table1[[#This Row],[Employee_ID]])</f>
        <v>EMP1312</v>
      </c>
      <c r="B314" s="3" t="str">
        <f>TRIM(Table1[[#This Row],[First_Name]])</f>
        <v>Alice</v>
      </c>
      <c r="C314" s="3" t="str">
        <f>TRIM(Table1[[#This Row],[Last_Name]])</f>
        <v>Brown</v>
      </c>
      <c r="D314" s="3">
        <f>IF(Table1[[#This Row],[Age]]="",AVERAGE(Table1[Age]),Table1[[#This Row],[Age]])</f>
        <v>35</v>
      </c>
      <c r="E314" s="3" t="s">
        <v>328</v>
      </c>
      <c r="F314" s="3" t="s">
        <v>33</v>
      </c>
      <c r="G314" s="5">
        <f>IF(ISNUMBER('Main Project Raw Data'!G314),'Main Project Raw Data'!G314,IF(ISNUMBER(SEARCH("/",'Main Project Raw Data'!G314)),DATE(RIGHT('Main Project Raw Data'!G314,4),LEFT('Main Project Raw Data'!G314,FIND("/",'Main Project Raw Data'!G314)-1),MID('Main Project Raw Data'!G314,FIND("/",'Main Project Raw Data'!G314)+1,2)),DATE(RIGHT('Main Project Raw Data'!G314,4),MID('Main Project Raw Data'!G314,4,2),LEFT('Main Project Raw Data'!G314,2))))</f>
        <v>45440</v>
      </c>
      <c r="H314" s="3">
        <f>IF(Table1[[#This Row],[Salary]]="",AVERAGE(Table1[Salary]),Table1[[#This Row],[Salary]])</f>
        <v>86712.41</v>
      </c>
      <c r="I314" s="3" t="s">
        <v>80</v>
      </c>
      <c r="J314" s="3">
        <f>ABS(Table1[[#This Row],[Phone]])</f>
        <v>6501917919</v>
      </c>
      <c r="K314" s="3" t="str">
        <f>PROPER(TRIM(Table1[[#This Row],[Performance_Score]]))</f>
        <v>Average</v>
      </c>
      <c r="L314" s="3" t="b">
        <f>Table1[[#This Row],[Remote_Work]]</f>
        <v>1</v>
      </c>
      <c r="M314" s="3" t="str">
        <f>PROPER(CONCATENATE(Table13[[#This Row],[First_Name]], Table13[[#This Row],[Last_Name]]))</f>
        <v>Alicebrown</v>
      </c>
      <c r="N314" s="3" t="str">
        <f t="shared" si="4"/>
        <v>May</v>
      </c>
      <c r="O314" s="3" t="str">
        <f>TEXT(Table13[[#This Row],[Join_Date]],"yyyy")</f>
        <v>2024</v>
      </c>
      <c r="P314" s="3" t="str">
        <f>LEFT('Main Project Raw Data'!E314,FIND("-",'Main Project Raw Data'!E314)-1)</f>
        <v>DevOps</v>
      </c>
      <c r="Q314" s="3" t="str">
        <f>RIGHT('Main Project Raw Data'!E314,LEN('Main Project Raw Data'!E314)-FIND("-",'Main Project Raw Data'!E314))</f>
        <v>Nevada</v>
      </c>
    </row>
    <row r="315" spans="1:17" x14ac:dyDescent="0.3">
      <c r="A315" s="3" t="str">
        <f>TRIM(Table1[[#This Row],[Employee_ID]])</f>
        <v>EMP1313</v>
      </c>
      <c r="B315" s="3" t="str">
        <f>TRIM(Table1[[#This Row],[First_Name]])</f>
        <v>Grace</v>
      </c>
      <c r="C315" s="3" t="str">
        <f>TRIM(Table1[[#This Row],[Last_Name]])</f>
        <v>Davis</v>
      </c>
      <c r="D315" s="3">
        <f>IF(Table1[[#This Row],[Age]]="",AVERAGE(Table1[Age]),Table1[[#This Row],[Age]])</f>
        <v>30</v>
      </c>
      <c r="E315" s="3" t="s">
        <v>212</v>
      </c>
      <c r="F315" s="3" t="s">
        <v>16</v>
      </c>
      <c r="G315" s="5">
        <f>IF(ISNUMBER('Main Project Raw Data'!G315),'Main Project Raw Data'!G315,IF(ISNUMBER(SEARCH("/",'Main Project Raw Data'!G315)),DATE(RIGHT('Main Project Raw Data'!G315,4),LEFT('Main Project Raw Data'!G315,FIND("/",'Main Project Raw Data'!G315)-1),MID('Main Project Raw Data'!G315,FIND("/",'Main Project Raw Data'!G315)+1,2)),DATE(RIGHT('Main Project Raw Data'!G315,4),MID('Main Project Raw Data'!G315,4,2),LEFT('Main Project Raw Data'!G315,2))))</f>
        <v>45376</v>
      </c>
      <c r="H315" s="3">
        <f>IF(Table1[[#This Row],[Salary]]="",AVERAGE(Table1[Salary]),Table1[[#This Row],[Salary]])</f>
        <v>87654.98</v>
      </c>
      <c r="I315" s="3" t="s">
        <v>235</v>
      </c>
      <c r="J315" s="3">
        <f>ABS(Table1[[#This Row],[Phone]])</f>
        <v>2521310961</v>
      </c>
      <c r="K315" s="3" t="str">
        <f>PROPER(TRIM(Table1[[#This Row],[Performance_Score]]))</f>
        <v>Poor</v>
      </c>
      <c r="L315" s="3" t="b">
        <f>Table1[[#This Row],[Remote_Work]]</f>
        <v>0</v>
      </c>
      <c r="M315" s="3" t="str">
        <f>PROPER(CONCATENATE(Table13[[#This Row],[First_Name]], Table13[[#This Row],[Last_Name]]))</f>
        <v>Gracedavis</v>
      </c>
      <c r="N315" s="3" t="str">
        <f t="shared" si="4"/>
        <v>Mar</v>
      </c>
      <c r="O315" s="3" t="str">
        <f>TEXT(Table13[[#This Row],[Join_Date]],"yyyy")</f>
        <v>2024</v>
      </c>
      <c r="P315" s="3" t="str">
        <f>LEFT('Main Project Raw Data'!E315,FIND("-",'Main Project Raw Data'!E315)-1)</f>
        <v>HR</v>
      </c>
      <c r="Q315" s="3" t="str">
        <f>RIGHT('Main Project Raw Data'!E315,LEN('Main Project Raw Data'!E315)-FIND("-",'Main Project Raw Data'!E315))</f>
        <v>Florida</v>
      </c>
    </row>
    <row r="316" spans="1:17" x14ac:dyDescent="0.3">
      <c r="A316" s="3" t="str">
        <f>TRIM(Table1[[#This Row],[Employee_ID]])</f>
        <v>EMP1314</v>
      </c>
      <c r="B316" s="3" t="str">
        <f>TRIM(Table1[[#This Row],[First_Name]])</f>
        <v>David</v>
      </c>
      <c r="C316" s="3" t="str">
        <f>TRIM(Table1[[#This Row],[Last_Name]])</f>
        <v>Williams</v>
      </c>
      <c r="D316" s="3">
        <f>IF(Table1[[#This Row],[Age]]="",AVERAGE(Table1[Age]),Table1[[#This Row],[Age]])</f>
        <v>35</v>
      </c>
      <c r="E316" s="3" t="s">
        <v>56</v>
      </c>
      <c r="F316" s="3" t="s">
        <v>33</v>
      </c>
      <c r="G316" s="5">
        <f>IF(ISNUMBER('Main Project Raw Data'!G316),'Main Project Raw Data'!G316,IF(ISNUMBER(SEARCH("/",'Main Project Raw Data'!G316)),DATE(RIGHT('Main Project Raw Data'!G316,4),LEFT('Main Project Raw Data'!G316,FIND("/",'Main Project Raw Data'!G316)-1),MID('Main Project Raw Data'!G316,FIND("/",'Main Project Raw Data'!G316)+1,2)),DATE(RIGHT('Main Project Raw Data'!G316,4),MID('Main Project Raw Data'!G316,4,2),LEFT('Main Project Raw Data'!G316,2))))</f>
        <v>43949</v>
      </c>
      <c r="H316" s="3">
        <f>IF(Table1[[#This Row],[Salary]]="",AVERAGE(Table1[Salary]),Table1[[#This Row],[Salary]])</f>
        <v>89367.02</v>
      </c>
      <c r="I316" s="3" t="s">
        <v>61</v>
      </c>
      <c r="J316" s="3">
        <f>ABS(Table1[[#This Row],[Phone]])</f>
        <v>2728476569</v>
      </c>
      <c r="K316" s="3" t="str">
        <f>PROPER(TRIM(Table1[[#This Row],[Performance_Score]]))</f>
        <v>Poor</v>
      </c>
      <c r="L316" s="3" t="b">
        <f>Table1[[#This Row],[Remote_Work]]</f>
        <v>0</v>
      </c>
      <c r="M316" s="3" t="str">
        <f>PROPER(CONCATENATE(Table13[[#This Row],[First_Name]], Table13[[#This Row],[Last_Name]]))</f>
        <v>Davidwilliams</v>
      </c>
      <c r="N316" s="3" t="str">
        <f t="shared" si="4"/>
        <v>Apr</v>
      </c>
      <c r="O316" s="3" t="str">
        <f>TEXT(Table13[[#This Row],[Join_Date]],"yyyy")</f>
        <v>2020</v>
      </c>
      <c r="P316" s="3" t="str">
        <f>LEFT('Main Project Raw Data'!E316,FIND("-",'Main Project Raw Data'!E316)-1)</f>
        <v>DevOps</v>
      </c>
      <c r="Q316" s="3" t="str">
        <f>RIGHT('Main Project Raw Data'!E316,LEN('Main Project Raw Data'!E316)-FIND("-",'Main Project Raw Data'!E316))</f>
        <v>New York</v>
      </c>
    </row>
    <row r="317" spans="1:17" x14ac:dyDescent="0.3">
      <c r="A317" s="3" t="str">
        <f>TRIM(Table1[[#This Row],[Employee_ID]])</f>
        <v>EMP1315</v>
      </c>
      <c r="B317" s="3" t="str">
        <f>TRIM(Table1[[#This Row],[First_Name]])</f>
        <v>Charlie</v>
      </c>
      <c r="C317" s="3" t="str">
        <f>TRIM(Table1[[#This Row],[Last_Name]])</f>
        <v>Garcia</v>
      </c>
      <c r="D317" s="3">
        <f>IF(Table1[[#This Row],[Age]]="",AVERAGE(Table1[Age]),Table1[[#This Row],[Age]])</f>
        <v>40</v>
      </c>
      <c r="E317" s="3" t="s">
        <v>118</v>
      </c>
      <c r="F317" s="3" t="s">
        <v>16</v>
      </c>
      <c r="G317" s="5">
        <f>IF(ISNUMBER('Main Project Raw Data'!G317),'Main Project Raw Data'!G317,IF(ISNUMBER(SEARCH("/",'Main Project Raw Data'!G317)),DATE(RIGHT('Main Project Raw Data'!G317,4),LEFT('Main Project Raw Data'!G317,FIND("/",'Main Project Raw Data'!G317)-1),MID('Main Project Raw Data'!G317,FIND("/",'Main Project Raw Data'!G317)+1,2)),DATE(RIGHT('Main Project Raw Data'!G317,4),MID('Main Project Raw Data'!G317,4,2),LEFT('Main Project Raw Data'!G317,2))))</f>
        <v>44388</v>
      </c>
      <c r="H317" s="3">
        <f>IF(Table1[[#This Row],[Salary]]="",AVERAGE(Table1[Salary]),Table1[[#This Row],[Salary]])</f>
        <v>95269.41</v>
      </c>
      <c r="I317" s="3" t="s">
        <v>87</v>
      </c>
      <c r="J317" s="3">
        <f>ABS(Table1[[#This Row],[Phone]])</f>
        <v>4120092819</v>
      </c>
      <c r="K317" s="3" t="str">
        <f>PROPER(TRIM(Table1[[#This Row],[Performance_Score]]))</f>
        <v>Good</v>
      </c>
      <c r="L317" s="3" t="b">
        <f>Table1[[#This Row],[Remote_Work]]</f>
        <v>1</v>
      </c>
      <c r="M317" s="3" t="str">
        <f>PROPER(CONCATENATE(Table13[[#This Row],[First_Name]], Table13[[#This Row],[Last_Name]]))</f>
        <v>Charliegarcia</v>
      </c>
      <c r="N317" s="3" t="str">
        <f t="shared" si="4"/>
        <v>Jul</v>
      </c>
      <c r="O317" s="3" t="str">
        <f>TEXT(Table13[[#This Row],[Join_Date]],"yyyy")</f>
        <v>2021</v>
      </c>
      <c r="P317" s="3" t="str">
        <f>LEFT('Main Project Raw Data'!E317,FIND("-",'Main Project Raw Data'!E317)-1)</f>
        <v>Admin</v>
      </c>
      <c r="Q317" s="3" t="str">
        <f>RIGHT('Main Project Raw Data'!E317,LEN('Main Project Raw Data'!E317)-FIND("-",'Main Project Raw Data'!E317))</f>
        <v>California</v>
      </c>
    </row>
    <row r="318" spans="1:17" x14ac:dyDescent="0.3">
      <c r="A318" s="3" t="str">
        <f>TRIM(Table1[[#This Row],[Employee_ID]])</f>
        <v>EMP1316</v>
      </c>
      <c r="B318" s="3" t="str">
        <f>TRIM(Table1[[#This Row],[First_Name]])</f>
        <v>Frank</v>
      </c>
      <c r="C318" s="3" t="str">
        <f>TRIM(Table1[[#This Row],[Last_Name]])</f>
        <v>Williams</v>
      </c>
      <c r="D318" s="3">
        <f>IF(Table1[[#This Row],[Age]]="",AVERAGE(Table1[Age]),Table1[[#This Row],[Age]])</f>
        <v>25</v>
      </c>
      <c r="E318" s="3" t="s">
        <v>219</v>
      </c>
      <c r="F318" s="3" t="s">
        <v>16</v>
      </c>
      <c r="G318" s="5">
        <f>IF(ISNUMBER('Main Project Raw Data'!G318),'Main Project Raw Data'!G318,IF(ISNUMBER(SEARCH("/",'Main Project Raw Data'!G318)),DATE(RIGHT('Main Project Raw Data'!G318,4),LEFT('Main Project Raw Data'!G318,FIND("/",'Main Project Raw Data'!G318)-1),MID('Main Project Raw Data'!G318,FIND("/",'Main Project Raw Data'!G318)+1,2)),DATE(RIGHT('Main Project Raw Data'!G318,4),MID('Main Project Raw Data'!G318,4,2),LEFT('Main Project Raw Data'!G318,2))))</f>
        <v>43936</v>
      </c>
      <c r="H318" s="3">
        <f>IF(Table1[[#This Row],[Salary]]="",AVERAGE(Table1[Salary]),Table1[[#This Row],[Salary]])</f>
        <v>68792.31</v>
      </c>
      <c r="I318" s="3" t="s">
        <v>40</v>
      </c>
      <c r="J318" s="3">
        <f>ABS(Table1[[#This Row],[Phone]])</f>
        <v>6678498435</v>
      </c>
      <c r="K318" s="3" t="str">
        <f>PROPER(TRIM(Table1[[#This Row],[Performance_Score]]))</f>
        <v>Average</v>
      </c>
      <c r="L318" s="3" t="b">
        <f>Table1[[#This Row],[Remote_Work]]</f>
        <v>0</v>
      </c>
      <c r="M318" s="3" t="str">
        <f>PROPER(CONCATENATE(Table13[[#This Row],[First_Name]], Table13[[#This Row],[Last_Name]]))</f>
        <v>Frankwilliams</v>
      </c>
      <c r="N318" s="3" t="str">
        <f t="shared" si="4"/>
        <v>Apr</v>
      </c>
      <c r="O318" s="3" t="str">
        <f>TEXT(Table13[[#This Row],[Join_Date]],"yyyy")</f>
        <v>2020</v>
      </c>
      <c r="P318" s="3" t="str">
        <f>LEFT('Main Project Raw Data'!E318,FIND("-",'Main Project Raw Data'!E318)-1)</f>
        <v>Sales</v>
      </c>
      <c r="Q318" s="3" t="str">
        <f>RIGHT('Main Project Raw Data'!E318,LEN('Main Project Raw Data'!E318)-FIND("-",'Main Project Raw Data'!E318))</f>
        <v>Nevada</v>
      </c>
    </row>
    <row r="319" spans="1:17" x14ac:dyDescent="0.3">
      <c r="A319" s="3" t="str">
        <f>TRIM(Table1[[#This Row],[Employee_ID]])</f>
        <v>EMP1317</v>
      </c>
      <c r="B319" s="3" t="str">
        <f>TRIM(Table1[[#This Row],[First_Name]])</f>
        <v>Alice</v>
      </c>
      <c r="C319" s="3" t="str">
        <f>TRIM(Table1[[#This Row],[Last_Name]])</f>
        <v>Smith</v>
      </c>
      <c r="D319" s="3">
        <f>IF(Table1[[#This Row],[Age]]="",AVERAGE(Table1[Age]),Table1[[#This Row],[Age]])</f>
        <v>25</v>
      </c>
      <c r="E319" s="3" t="s">
        <v>89</v>
      </c>
      <c r="F319" s="3" t="s">
        <v>28</v>
      </c>
      <c r="G319" s="5">
        <f>IF(ISNUMBER('Main Project Raw Data'!G319),'Main Project Raw Data'!G319,IF(ISNUMBER(SEARCH("/",'Main Project Raw Data'!G319)),DATE(RIGHT('Main Project Raw Data'!G319,4),LEFT('Main Project Raw Data'!G319,FIND("/",'Main Project Raw Data'!G319)-1),MID('Main Project Raw Data'!G319,FIND("/",'Main Project Raw Data'!G319)+1,2)),DATE(RIGHT('Main Project Raw Data'!G319,4),MID('Main Project Raw Data'!G319,4,2),LEFT('Main Project Raw Data'!G319,2))))</f>
        <v>45117</v>
      </c>
      <c r="H319" s="3">
        <f>IF(Table1[[#This Row],[Salary]]="",AVERAGE(Table1[Salary]),Table1[[#This Row],[Salary]])</f>
        <v>89119.53</v>
      </c>
      <c r="I319" s="3" t="s">
        <v>182</v>
      </c>
      <c r="J319" s="3">
        <f>ABS(Table1[[#This Row],[Phone]])</f>
        <v>2418623689</v>
      </c>
      <c r="K319" s="3" t="str">
        <f>PROPER(TRIM(Table1[[#This Row],[Performance_Score]]))</f>
        <v>Good</v>
      </c>
      <c r="L319" s="3" t="b">
        <f>Table1[[#This Row],[Remote_Work]]</f>
        <v>1</v>
      </c>
      <c r="M319" s="3" t="str">
        <f>PROPER(CONCATENATE(Table13[[#This Row],[First_Name]], Table13[[#This Row],[Last_Name]]))</f>
        <v>Alicesmith</v>
      </c>
      <c r="N319" s="3" t="str">
        <f t="shared" si="4"/>
        <v>Jul</v>
      </c>
      <c r="O319" s="3" t="str">
        <f>TEXT(Table13[[#This Row],[Join_Date]],"yyyy")</f>
        <v>2023</v>
      </c>
      <c r="P319" s="3" t="str">
        <f>LEFT('Main Project Raw Data'!E319,FIND("-",'Main Project Raw Data'!E319)-1)</f>
        <v>Admin</v>
      </c>
      <c r="Q319" s="3" t="str">
        <f>RIGHT('Main Project Raw Data'!E319,LEN('Main Project Raw Data'!E319)-FIND("-",'Main Project Raw Data'!E319))</f>
        <v>Illinois</v>
      </c>
    </row>
    <row r="320" spans="1:17" x14ac:dyDescent="0.3">
      <c r="A320" s="3" t="str">
        <f>TRIM(Table1[[#This Row],[Employee_ID]])</f>
        <v>EMP1318</v>
      </c>
      <c r="B320" s="3" t="str">
        <f>TRIM(Table1[[#This Row],[First_Name]])</f>
        <v>Frank</v>
      </c>
      <c r="C320" s="3" t="str">
        <f>TRIM(Table1[[#This Row],[Last_Name]])</f>
        <v>Davis</v>
      </c>
      <c r="D320" s="3">
        <f>IF(Table1[[#This Row],[Age]]="",AVERAGE(Table1[Age]),Table1[[#This Row],[Age]])</f>
        <v>35</v>
      </c>
      <c r="E320" s="3" t="s">
        <v>60</v>
      </c>
      <c r="F320" s="3" t="s">
        <v>16</v>
      </c>
      <c r="G320" s="5">
        <f>IF(ISNUMBER('Main Project Raw Data'!G320),'Main Project Raw Data'!G320,IF(ISNUMBER(SEARCH("/",'Main Project Raw Data'!G320)),DATE(RIGHT('Main Project Raw Data'!G320,4),LEFT('Main Project Raw Data'!G320,FIND("/",'Main Project Raw Data'!G320)-1),MID('Main Project Raw Data'!G320,FIND("/",'Main Project Raw Data'!G320)+1,2)),DATE(RIGHT('Main Project Raw Data'!G320,4),MID('Main Project Raw Data'!G320,4,2),LEFT('Main Project Raw Data'!G320,2))))</f>
        <v>45349</v>
      </c>
      <c r="H320" s="3">
        <f>IF(Table1[[#This Row],[Salary]]="",AVERAGE(Table1[Salary]),Table1[[#This Row],[Salary]])</f>
        <v>58212.13</v>
      </c>
      <c r="I320" s="3" t="s">
        <v>52</v>
      </c>
      <c r="J320" s="3">
        <f>ABS(Table1[[#This Row],[Phone]])</f>
        <v>3628917755</v>
      </c>
      <c r="K320" s="3" t="str">
        <f>PROPER(TRIM(Table1[[#This Row],[Performance_Score]]))</f>
        <v>Good</v>
      </c>
      <c r="L320" s="3" t="b">
        <f>Table1[[#This Row],[Remote_Work]]</f>
        <v>0</v>
      </c>
      <c r="M320" s="3" t="str">
        <f>PROPER(CONCATENATE(Table13[[#This Row],[First_Name]], Table13[[#This Row],[Last_Name]]))</f>
        <v>Frankdavis</v>
      </c>
      <c r="N320" s="3" t="str">
        <f t="shared" si="4"/>
        <v>Feb</v>
      </c>
      <c r="O320" s="3" t="str">
        <f>TEXT(Table13[[#This Row],[Join_Date]],"yyyy")</f>
        <v>2024</v>
      </c>
      <c r="P320" s="3" t="str">
        <f>LEFT('Main Project Raw Data'!E320,FIND("-",'Main Project Raw Data'!E320)-1)</f>
        <v>Cloud Tech</v>
      </c>
      <c r="Q320" s="3" t="str">
        <f>RIGHT('Main Project Raw Data'!E320,LEN('Main Project Raw Data'!E320)-FIND("-",'Main Project Raw Data'!E320))</f>
        <v>New York</v>
      </c>
    </row>
    <row r="321" spans="1:17" x14ac:dyDescent="0.3">
      <c r="A321" s="3" t="str">
        <f>TRIM(Table1[[#This Row],[Employee_ID]])</f>
        <v>EMP1319</v>
      </c>
      <c r="B321" s="3" t="str">
        <f>TRIM(Table1[[#This Row],[First_Name]])</f>
        <v>Heidi</v>
      </c>
      <c r="C321" s="3" t="str">
        <f>TRIM(Table1[[#This Row],[Last_Name]])</f>
        <v>Miller</v>
      </c>
      <c r="D321" s="3">
        <f>IF(Table1[[#This Row],[Age]]="",AVERAGE(Table1[Age]),Table1[[#This Row],[Age]])</f>
        <v>30</v>
      </c>
      <c r="E321" s="3" t="s">
        <v>78</v>
      </c>
      <c r="F321" s="3" t="s">
        <v>28</v>
      </c>
      <c r="G321" s="5">
        <f>IF(ISNUMBER('Main Project Raw Data'!G321),'Main Project Raw Data'!G321,IF(ISNUMBER(SEARCH("/",'Main Project Raw Data'!G321)),DATE(RIGHT('Main Project Raw Data'!G321,4),LEFT('Main Project Raw Data'!G321,FIND("/",'Main Project Raw Data'!G321)-1),MID('Main Project Raw Data'!G321,FIND("/",'Main Project Raw Data'!G321)+1,2)),DATE(RIGHT('Main Project Raw Data'!G321,4),MID('Main Project Raw Data'!G321,4,2),LEFT('Main Project Raw Data'!G321,2))))</f>
        <v>44249</v>
      </c>
      <c r="H321" s="3">
        <f>IF(Table1[[#This Row],[Salary]]="",AVERAGE(Table1[Salary]),Table1[[#This Row],[Salary]])</f>
        <v>77764.240000000005</v>
      </c>
      <c r="I321" s="3" t="s">
        <v>130</v>
      </c>
      <c r="J321" s="3">
        <f>ABS(Table1[[#This Row],[Phone]])</f>
        <v>6205634110</v>
      </c>
      <c r="K321" s="3" t="str">
        <f>PROPER(TRIM(Table1[[#This Row],[Performance_Score]]))</f>
        <v>Good</v>
      </c>
      <c r="L321" s="3" t="b">
        <f>Table1[[#This Row],[Remote_Work]]</f>
        <v>1</v>
      </c>
      <c r="M321" s="3" t="str">
        <f>PROPER(CONCATENATE(Table13[[#This Row],[First_Name]], Table13[[#This Row],[Last_Name]]))</f>
        <v>Heidimiller</v>
      </c>
      <c r="N321" s="3" t="str">
        <f t="shared" si="4"/>
        <v>Feb</v>
      </c>
      <c r="O321" s="3" t="str">
        <f>TEXT(Table13[[#This Row],[Join_Date]],"yyyy")</f>
        <v>2021</v>
      </c>
      <c r="P321" s="3" t="str">
        <f>LEFT('Main Project Raw Data'!E321,FIND("-",'Main Project Raw Data'!E321)-1)</f>
        <v>DevOps</v>
      </c>
      <c r="Q321" s="3" t="str">
        <f>RIGHT('Main Project Raw Data'!E321,LEN('Main Project Raw Data'!E321)-FIND("-",'Main Project Raw Data'!E321))</f>
        <v>Illinois</v>
      </c>
    </row>
    <row r="322" spans="1:17" x14ac:dyDescent="0.3">
      <c r="A322" s="3" t="str">
        <f>TRIM(Table1[[#This Row],[Employee_ID]])</f>
        <v>EMP1320</v>
      </c>
      <c r="B322" s="3" t="str">
        <f>TRIM(Table1[[#This Row],[First_Name]])</f>
        <v>Frank</v>
      </c>
      <c r="C322" s="3" t="str">
        <f>TRIM(Table1[[#This Row],[Last_Name]])</f>
        <v>Garcia</v>
      </c>
      <c r="D322" s="3">
        <f>IF(Table1[[#This Row],[Age]]="",AVERAGE(Table1[Age]),Table1[[#This Row],[Age]])</f>
        <v>35</v>
      </c>
      <c r="E322" s="3" t="s">
        <v>112</v>
      </c>
      <c r="F322" s="3" t="s">
        <v>28</v>
      </c>
      <c r="G322" s="5">
        <f>IF(ISNUMBER('Main Project Raw Data'!G322),'Main Project Raw Data'!G322,IF(ISNUMBER(SEARCH("/",'Main Project Raw Data'!G322)),DATE(RIGHT('Main Project Raw Data'!G322,4),LEFT('Main Project Raw Data'!G322,FIND("/",'Main Project Raw Data'!G322)-1),MID('Main Project Raw Data'!G322,FIND("/",'Main Project Raw Data'!G322)+1,2)),DATE(RIGHT('Main Project Raw Data'!G322,4),MID('Main Project Raw Data'!G322,4,2),LEFT('Main Project Raw Data'!G322,2))))</f>
        <v>45159</v>
      </c>
      <c r="H322" s="3">
        <f>IF(Table1[[#This Row],[Salary]]="",AVERAGE(Table1[Salary]),Table1[[#This Row],[Salary]])</f>
        <v>75148.17</v>
      </c>
      <c r="I322" s="3" t="s">
        <v>180</v>
      </c>
      <c r="J322" s="3">
        <f>ABS(Table1[[#This Row],[Phone]])</f>
        <v>5950342810</v>
      </c>
      <c r="K322" s="3" t="str">
        <f>PROPER(TRIM(Table1[[#This Row],[Performance_Score]]))</f>
        <v>Average</v>
      </c>
      <c r="L322" s="3" t="b">
        <f>Table1[[#This Row],[Remote_Work]]</f>
        <v>0</v>
      </c>
      <c r="M322" s="3" t="str">
        <f>PROPER(CONCATENATE(Table13[[#This Row],[First_Name]], Table13[[#This Row],[Last_Name]]))</f>
        <v>Frankgarcia</v>
      </c>
      <c r="N322" s="3" t="str">
        <f t="shared" ref="N322:N385" si="5">TEXT(G322,"mmm")</f>
        <v>Aug</v>
      </c>
      <c r="O322" s="3" t="str">
        <f>TEXT(Table13[[#This Row],[Join_Date]],"yyyy")</f>
        <v>2023</v>
      </c>
      <c r="P322" s="3" t="str">
        <f>LEFT('Main Project Raw Data'!E322,FIND("-",'Main Project Raw Data'!E322)-1)</f>
        <v>Finance</v>
      </c>
      <c r="Q322" s="3" t="str">
        <f>RIGHT('Main Project Raw Data'!E322,LEN('Main Project Raw Data'!E322)-FIND("-",'Main Project Raw Data'!E322))</f>
        <v>Florida</v>
      </c>
    </row>
    <row r="323" spans="1:17" x14ac:dyDescent="0.3">
      <c r="A323" s="3" t="str">
        <f>TRIM(Table1[[#This Row],[Employee_ID]])</f>
        <v>EMP1321</v>
      </c>
      <c r="B323" s="3" t="str">
        <f>TRIM(Table1[[#This Row],[First_Name]])</f>
        <v>Heidi</v>
      </c>
      <c r="C323" s="3" t="str">
        <f>TRIM(Table1[[#This Row],[Last_Name]])</f>
        <v>Jones</v>
      </c>
      <c r="D323" s="3">
        <f>IF(Table1[[#This Row],[Age]]="",AVERAGE(Table1[Age]),Table1[[#This Row],[Age]])</f>
        <v>40</v>
      </c>
      <c r="E323" s="3" t="s">
        <v>85</v>
      </c>
      <c r="F323" s="3" t="s">
        <v>33</v>
      </c>
      <c r="G323" s="5">
        <f>IF(ISNUMBER('Main Project Raw Data'!G323),'Main Project Raw Data'!G323,IF(ISNUMBER(SEARCH("/",'Main Project Raw Data'!G323)),DATE(RIGHT('Main Project Raw Data'!G323,4),LEFT('Main Project Raw Data'!G323,FIND("/",'Main Project Raw Data'!G323)-1),MID('Main Project Raw Data'!G323,FIND("/",'Main Project Raw Data'!G323)+1,2)),DATE(RIGHT('Main Project Raw Data'!G323,4),MID('Main Project Raw Data'!G323,4,2),LEFT('Main Project Raw Data'!G323,2))))</f>
        <v>45508</v>
      </c>
      <c r="H323" s="3">
        <f>IF(Table1[[#This Row],[Salary]]="",AVERAGE(Table1[Salary]),Table1[[#This Row],[Salary]])</f>
        <v>108781.18</v>
      </c>
      <c r="I323" s="3" t="s">
        <v>319</v>
      </c>
      <c r="J323" s="3">
        <f>ABS(Table1[[#This Row],[Phone]])</f>
        <v>3904383033</v>
      </c>
      <c r="K323" s="3" t="str">
        <f>PROPER(TRIM(Table1[[#This Row],[Performance_Score]]))</f>
        <v>Poor</v>
      </c>
      <c r="L323" s="3" t="b">
        <f>Table1[[#This Row],[Remote_Work]]</f>
        <v>0</v>
      </c>
      <c r="M323" s="3" t="str">
        <f>PROPER(CONCATENATE(Table13[[#This Row],[First_Name]], Table13[[#This Row],[Last_Name]]))</f>
        <v>Heidijones</v>
      </c>
      <c r="N323" s="3" t="str">
        <f t="shared" si="5"/>
        <v>Aug</v>
      </c>
      <c r="O323" s="3" t="str">
        <f>TEXT(Table13[[#This Row],[Join_Date]],"yyyy")</f>
        <v>2024</v>
      </c>
      <c r="P323" s="3" t="str">
        <f>LEFT('Main Project Raw Data'!E323,FIND("-",'Main Project Raw Data'!E323)-1)</f>
        <v>Cloud Tech</v>
      </c>
      <c r="Q323" s="3" t="str">
        <f>RIGHT('Main Project Raw Data'!E323,LEN('Main Project Raw Data'!E323)-FIND("-",'Main Project Raw Data'!E323))</f>
        <v>Nevada</v>
      </c>
    </row>
    <row r="324" spans="1:17" x14ac:dyDescent="0.3">
      <c r="A324" s="3" t="str">
        <f>TRIM(Table1[[#This Row],[Employee_ID]])</f>
        <v>EMP1322</v>
      </c>
      <c r="B324" s="3" t="str">
        <f>TRIM(Table1[[#This Row],[First_Name]])</f>
        <v>Frank</v>
      </c>
      <c r="C324" s="3" t="str">
        <f>TRIM(Table1[[#This Row],[Last_Name]])</f>
        <v>Brown</v>
      </c>
      <c r="D324" s="3">
        <f>IF(Table1[[#This Row],[Age]]="",AVERAGE(Table1[Age]),Table1[[#This Row],[Age]])</f>
        <v>35</v>
      </c>
      <c r="E324" s="3" t="s">
        <v>21</v>
      </c>
      <c r="F324" s="3" t="s">
        <v>28</v>
      </c>
      <c r="G324" s="5">
        <f>IF(ISNUMBER('Main Project Raw Data'!G324),'Main Project Raw Data'!G324,IF(ISNUMBER(SEARCH("/",'Main Project Raw Data'!G324)),DATE(RIGHT('Main Project Raw Data'!G324,4),LEFT('Main Project Raw Data'!G324,FIND("/",'Main Project Raw Data'!G324)-1),MID('Main Project Raw Data'!G324,FIND("/",'Main Project Raw Data'!G324)+1,2)),DATE(RIGHT('Main Project Raw Data'!G324,4),MID('Main Project Raw Data'!G324,4,2),LEFT('Main Project Raw Data'!G324,2))))</f>
        <v>45393</v>
      </c>
      <c r="H324" s="3">
        <f>IF(Table1[[#This Row],[Salary]]="",AVERAGE(Table1[Salary]),Table1[[#This Row],[Salary]])</f>
        <v>65489.19</v>
      </c>
      <c r="I324" s="3" t="s">
        <v>239</v>
      </c>
      <c r="J324" s="3">
        <f>ABS(Table1[[#This Row],[Phone]])</f>
        <v>1990970050</v>
      </c>
      <c r="K324" s="3" t="str">
        <f>PROPER(TRIM(Table1[[#This Row],[Performance_Score]]))</f>
        <v>Average</v>
      </c>
      <c r="L324" s="3" t="b">
        <f>Table1[[#This Row],[Remote_Work]]</f>
        <v>1</v>
      </c>
      <c r="M324" s="3" t="str">
        <f>PROPER(CONCATENATE(Table13[[#This Row],[First_Name]], Table13[[#This Row],[Last_Name]]))</f>
        <v>Frankbrown</v>
      </c>
      <c r="N324" s="3" t="str">
        <f t="shared" si="5"/>
        <v>Apr</v>
      </c>
      <c r="O324" s="3" t="str">
        <f>TEXT(Table13[[#This Row],[Join_Date]],"yyyy")</f>
        <v>2024</v>
      </c>
      <c r="P324" s="3" t="str">
        <f>LEFT('Main Project Raw Data'!E324,FIND("-",'Main Project Raw Data'!E324)-1)</f>
        <v>Finance</v>
      </c>
      <c r="Q324" s="3" t="str">
        <f>RIGHT('Main Project Raw Data'!E324,LEN('Main Project Raw Data'!E324)-FIND("-",'Main Project Raw Data'!E324))</f>
        <v>Texas</v>
      </c>
    </row>
    <row r="325" spans="1:17" x14ac:dyDescent="0.3">
      <c r="A325" s="3" t="str">
        <f>TRIM(Table1[[#This Row],[Employee_ID]])</f>
        <v>EMP1323</v>
      </c>
      <c r="B325" s="3" t="str">
        <f>TRIM(Table1[[#This Row],[First_Name]])</f>
        <v>Eva</v>
      </c>
      <c r="C325" s="3" t="str">
        <f>TRIM(Table1[[#This Row],[Last_Name]])</f>
        <v>Johnson</v>
      </c>
      <c r="D325" s="3">
        <f>IF(Table1[[#This Row],[Age]]="",AVERAGE(Table1[Age]),Table1[[#This Row],[Age]])</f>
        <v>32.484548825710753</v>
      </c>
      <c r="E325" s="3" t="s">
        <v>98</v>
      </c>
      <c r="F325" s="3" t="s">
        <v>28</v>
      </c>
      <c r="G325" s="5">
        <f>IF(ISNUMBER('Main Project Raw Data'!G325),'Main Project Raw Data'!G325,IF(ISNUMBER(SEARCH("/",'Main Project Raw Data'!G325)),DATE(RIGHT('Main Project Raw Data'!G325,4),LEFT('Main Project Raw Data'!G325,FIND("/",'Main Project Raw Data'!G325)-1),MID('Main Project Raw Data'!G325,FIND("/",'Main Project Raw Data'!G325)+1,2)),DATE(RIGHT('Main Project Raw Data'!G325,4),MID('Main Project Raw Data'!G325,4,2),LEFT('Main Project Raw Data'!G325,2))))</f>
        <v>44686</v>
      </c>
      <c r="H325" s="3">
        <f>IF(Table1[[#This Row],[Salary]]="",AVERAGE(Table1[Salary]),Table1[[#This Row],[Salary]])</f>
        <v>70663.460000000006</v>
      </c>
      <c r="I325" s="3" t="s">
        <v>322</v>
      </c>
      <c r="J325" s="3">
        <f>ABS(Table1[[#This Row],[Phone]])</f>
        <v>4054683564</v>
      </c>
      <c r="K325" s="3" t="str">
        <f>PROPER(TRIM(Table1[[#This Row],[Performance_Score]]))</f>
        <v>Excellent</v>
      </c>
      <c r="L325" s="3" t="b">
        <f>Table1[[#This Row],[Remote_Work]]</f>
        <v>0</v>
      </c>
      <c r="M325" s="3" t="str">
        <f>PROPER(CONCATENATE(Table13[[#This Row],[First_Name]], Table13[[#This Row],[Last_Name]]))</f>
        <v>Evajohnson</v>
      </c>
      <c r="N325" s="3" t="str">
        <f t="shared" si="5"/>
        <v>May</v>
      </c>
      <c r="O325" s="3" t="str">
        <f>TEXT(Table13[[#This Row],[Join_Date]],"yyyy")</f>
        <v>2022</v>
      </c>
      <c r="P325" s="3" t="str">
        <f>LEFT('Main Project Raw Data'!E325,FIND("-",'Main Project Raw Data'!E325)-1)</f>
        <v>Sales</v>
      </c>
      <c r="Q325" s="3" t="str">
        <f>RIGHT('Main Project Raw Data'!E325,LEN('Main Project Raw Data'!E325)-FIND("-",'Main Project Raw Data'!E325))</f>
        <v>Illinois</v>
      </c>
    </row>
    <row r="326" spans="1:17" x14ac:dyDescent="0.3">
      <c r="A326" s="3" t="str">
        <f>TRIM(Table1[[#This Row],[Employee_ID]])</f>
        <v>EMP1324</v>
      </c>
      <c r="B326" s="3" t="str">
        <f>TRIM(Table1[[#This Row],[First_Name]])</f>
        <v>David</v>
      </c>
      <c r="C326" s="3" t="str">
        <f>TRIM(Table1[[#This Row],[Last_Name]])</f>
        <v>Miller</v>
      </c>
      <c r="D326" s="3">
        <f>IF(Table1[[#This Row],[Age]]="",AVERAGE(Table1[Age]),Table1[[#This Row],[Age]])</f>
        <v>40</v>
      </c>
      <c r="E326" s="3" t="s">
        <v>109</v>
      </c>
      <c r="F326" s="3" t="s">
        <v>33</v>
      </c>
      <c r="G326" s="5">
        <f>IF(ISNUMBER('Main Project Raw Data'!G326),'Main Project Raw Data'!G326,IF(ISNUMBER(SEARCH("/",'Main Project Raw Data'!G326)),DATE(RIGHT('Main Project Raw Data'!G326,4),LEFT('Main Project Raw Data'!G326,FIND("/",'Main Project Raw Data'!G326)-1),MID('Main Project Raw Data'!G326,FIND("/",'Main Project Raw Data'!G326)+1,2)),DATE(RIGHT('Main Project Raw Data'!G326,4),MID('Main Project Raw Data'!G326,4,2),LEFT('Main Project Raw Data'!G326,2))))</f>
        <v>44928</v>
      </c>
      <c r="H326" s="3">
        <f>IF(Table1[[#This Row],[Salary]]="",AVERAGE(Table1[Salary]),Table1[[#This Row],[Salary]])</f>
        <v>95822.56</v>
      </c>
      <c r="I326" s="3" t="s">
        <v>107</v>
      </c>
      <c r="J326" s="3">
        <f>ABS(Table1[[#This Row],[Phone]])</f>
        <v>2156818208</v>
      </c>
      <c r="K326" s="3" t="str">
        <f>PROPER(TRIM(Table1[[#This Row],[Performance_Score]]))</f>
        <v>Average</v>
      </c>
      <c r="L326" s="3" t="b">
        <f>Table1[[#This Row],[Remote_Work]]</f>
        <v>0</v>
      </c>
      <c r="M326" s="3" t="str">
        <f>PROPER(CONCATENATE(Table13[[#This Row],[First_Name]], Table13[[#This Row],[Last_Name]]))</f>
        <v>Davidmiller</v>
      </c>
      <c r="N326" s="3" t="str">
        <f t="shared" si="5"/>
        <v>Jan</v>
      </c>
      <c r="O326" s="3" t="str">
        <f>TEXT(Table13[[#This Row],[Join_Date]],"yyyy")</f>
        <v>2023</v>
      </c>
      <c r="P326" s="3" t="str">
        <f>LEFT('Main Project Raw Data'!E326,FIND("-",'Main Project Raw Data'!E326)-1)</f>
        <v>Sales</v>
      </c>
      <c r="Q326" s="3" t="str">
        <f>RIGHT('Main Project Raw Data'!E326,LEN('Main Project Raw Data'!E326)-FIND("-",'Main Project Raw Data'!E326))</f>
        <v>New York</v>
      </c>
    </row>
    <row r="327" spans="1:17" x14ac:dyDescent="0.3">
      <c r="A327" s="3" t="str">
        <f>TRIM(Table1[[#This Row],[Employee_ID]])</f>
        <v>EMP1325</v>
      </c>
      <c r="B327" s="3" t="str">
        <f>TRIM(Table1[[#This Row],[First_Name]])</f>
        <v>Eva</v>
      </c>
      <c r="C327" s="3" t="str">
        <f>TRIM(Table1[[#This Row],[Last_Name]])</f>
        <v>Miller</v>
      </c>
      <c r="D327" s="3">
        <f>IF(Table1[[#This Row],[Age]]="",AVERAGE(Table1[Age]),Table1[[#This Row],[Age]])</f>
        <v>40</v>
      </c>
      <c r="E327" s="3" t="s">
        <v>328</v>
      </c>
      <c r="F327" s="3" t="s">
        <v>28</v>
      </c>
      <c r="G327" s="5">
        <f>IF(ISNUMBER('Main Project Raw Data'!G327),'Main Project Raw Data'!G327,IF(ISNUMBER(SEARCH("/",'Main Project Raw Data'!G327)),DATE(RIGHT('Main Project Raw Data'!G327,4),LEFT('Main Project Raw Data'!G327,FIND("/",'Main Project Raw Data'!G327)-1),MID('Main Project Raw Data'!G327,FIND("/",'Main Project Raw Data'!G327)+1,2)),DATE(RIGHT('Main Project Raw Data'!G327,4),MID('Main Project Raw Data'!G327,4,2),LEFT('Main Project Raw Data'!G327,2))))</f>
        <v>44571</v>
      </c>
      <c r="H327" s="3">
        <f>IF(Table1[[#This Row],[Salary]]="",AVERAGE(Table1[Salary]),Table1[[#This Row],[Salary]])</f>
        <v>82258.03</v>
      </c>
      <c r="I327" s="3" t="s">
        <v>263</v>
      </c>
      <c r="J327" s="3">
        <f>ABS(Table1[[#This Row],[Phone]])</f>
        <v>6790422710</v>
      </c>
      <c r="K327" s="3" t="str">
        <f>PROPER(TRIM(Table1[[#This Row],[Performance_Score]]))</f>
        <v>Average</v>
      </c>
      <c r="L327" s="3" t="b">
        <f>Table1[[#This Row],[Remote_Work]]</f>
        <v>1</v>
      </c>
      <c r="M327" s="3" t="str">
        <f>PROPER(CONCATENATE(Table13[[#This Row],[First_Name]], Table13[[#This Row],[Last_Name]]))</f>
        <v>Evamiller</v>
      </c>
      <c r="N327" s="3" t="str">
        <f t="shared" si="5"/>
        <v>Jan</v>
      </c>
      <c r="O327" s="3" t="str">
        <f>TEXT(Table13[[#This Row],[Join_Date]],"yyyy")</f>
        <v>2022</v>
      </c>
      <c r="P327" s="3" t="str">
        <f>LEFT('Main Project Raw Data'!E327,FIND("-",'Main Project Raw Data'!E327)-1)</f>
        <v>DevOps</v>
      </c>
      <c r="Q327" s="3" t="str">
        <f>RIGHT('Main Project Raw Data'!E327,LEN('Main Project Raw Data'!E327)-FIND("-",'Main Project Raw Data'!E327))</f>
        <v>Nevada</v>
      </c>
    </row>
    <row r="328" spans="1:17" x14ac:dyDescent="0.3">
      <c r="A328" s="3" t="str">
        <f>TRIM(Table1[[#This Row],[Employee_ID]])</f>
        <v>EMP1326</v>
      </c>
      <c r="B328" s="3" t="str">
        <f>TRIM(Table1[[#This Row],[First_Name]])</f>
        <v>Frank</v>
      </c>
      <c r="C328" s="3" t="str">
        <f>TRIM(Table1[[#This Row],[Last_Name]])</f>
        <v>Williams</v>
      </c>
      <c r="D328" s="3">
        <f>IF(Table1[[#This Row],[Age]]="",AVERAGE(Table1[Age]),Table1[[#This Row],[Age]])</f>
        <v>30</v>
      </c>
      <c r="E328" s="3" t="s">
        <v>27</v>
      </c>
      <c r="F328" s="3" t="s">
        <v>28</v>
      </c>
      <c r="G328" s="5">
        <f>IF(ISNUMBER('Main Project Raw Data'!G328),'Main Project Raw Data'!G328,IF(ISNUMBER(SEARCH("/",'Main Project Raw Data'!G328)),DATE(RIGHT('Main Project Raw Data'!G328,4),LEFT('Main Project Raw Data'!G328,FIND("/",'Main Project Raw Data'!G328)-1),MID('Main Project Raw Data'!G328,FIND("/",'Main Project Raw Data'!G328)+1,2)),DATE(RIGHT('Main Project Raw Data'!G328,4),MID('Main Project Raw Data'!G328,4,2),LEFT('Main Project Raw Data'!G328,2))))</f>
        <v>44831</v>
      </c>
      <c r="H328" s="3">
        <f>IF(Table1[[#This Row],[Salary]]="",AVERAGE(Table1[Salary]),Table1[[#This Row],[Salary]])</f>
        <v>62883.34</v>
      </c>
      <c r="I328" s="3" t="s">
        <v>40</v>
      </c>
      <c r="J328" s="3">
        <f>ABS(Table1[[#This Row],[Phone]])</f>
        <v>3322889856</v>
      </c>
      <c r="K328" s="3" t="str">
        <f>PROPER(TRIM(Table1[[#This Row],[Performance_Score]]))</f>
        <v>Average</v>
      </c>
      <c r="L328" s="3" t="b">
        <f>Table1[[#This Row],[Remote_Work]]</f>
        <v>0</v>
      </c>
      <c r="M328" s="3" t="str">
        <f>PROPER(CONCATENATE(Table13[[#This Row],[First_Name]], Table13[[#This Row],[Last_Name]]))</f>
        <v>Frankwilliams</v>
      </c>
      <c r="N328" s="3" t="str">
        <f t="shared" si="5"/>
        <v>Sep</v>
      </c>
      <c r="O328" s="3" t="str">
        <f>TEXT(Table13[[#This Row],[Join_Date]],"yyyy")</f>
        <v>2022</v>
      </c>
      <c r="P328" s="3" t="str">
        <f>LEFT('Main Project Raw Data'!E328,FIND("-",'Main Project Raw Data'!E328)-1)</f>
        <v>Admin</v>
      </c>
      <c r="Q328" s="3" t="str">
        <f>RIGHT('Main Project Raw Data'!E328,LEN('Main Project Raw Data'!E328)-FIND("-",'Main Project Raw Data'!E328))</f>
        <v>Nevada</v>
      </c>
    </row>
    <row r="329" spans="1:17" x14ac:dyDescent="0.3">
      <c r="A329" s="3" t="str">
        <f>TRIM(Table1[[#This Row],[Employee_ID]])</f>
        <v>EMP1327</v>
      </c>
      <c r="B329" s="3" t="str">
        <f>TRIM(Table1[[#This Row],[First_Name]])</f>
        <v>Alice</v>
      </c>
      <c r="C329" s="3" t="str">
        <f>TRIM(Table1[[#This Row],[Last_Name]])</f>
        <v>Davis</v>
      </c>
      <c r="D329" s="3">
        <f>IF(Table1[[#This Row],[Age]]="",AVERAGE(Table1[Age]),Table1[[#This Row],[Age]])</f>
        <v>32.484548825710753</v>
      </c>
      <c r="E329" s="3" t="s">
        <v>159</v>
      </c>
      <c r="F329" s="3" t="s">
        <v>28</v>
      </c>
      <c r="G329" s="5">
        <f>IF(ISNUMBER('Main Project Raw Data'!G329),'Main Project Raw Data'!G329,IF(ISNUMBER(SEARCH("/",'Main Project Raw Data'!G329)),DATE(RIGHT('Main Project Raw Data'!G329,4),LEFT('Main Project Raw Data'!G329,FIND("/",'Main Project Raw Data'!G329)-1),MID('Main Project Raw Data'!G329,FIND("/",'Main Project Raw Data'!G329)+1,2)),DATE(RIGHT('Main Project Raw Data'!G329,4),MID('Main Project Raw Data'!G329,4,2),LEFT('Main Project Raw Data'!G329,2))))</f>
        <v>44078</v>
      </c>
      <c r="H329" s="3">
        <f>IF(Table1[[#This Row],[Salary]]="",AVERAGE(Table1[Salary]),Table1[[#This Row],[Salary]])</f>
        <v>103503.72</v>
      </c>
      <c r="I329" s="3" t="s">
        <v>163</v>
      </c>
      <c r="J329" s="3">
        <f>ABS(Table1[[#This Row],[Phone]])</f>
        <v>2545960632</v>
      </c>
      <c r="K329" s="3" t="str">
        <f>PROPER(TRIM(Table1[[#This Row],[Performance_Score]]))</f>
        <v>Average</v>
      </c>
      <c r="L329" s="3" t="b">
        <f>Table1[[#This Row],[Remote_Work]]</f>
        <v>1</v>
      </c>
      <c r="M329" s="3" t="str">
        <f>PROPER(CONCATENATE(Table13[[#This Row],[First_Name]], Table13[[#This Row],[Last_Name]]))</f>
        <v>Alicedavis</v>
      </c>
      <c r="N329" s="3" t="str">
        <f t="shared" si="5"/>
        <v>Sep</v>
      </c>
      <c r="O329" s="3" t="str">
        <f>TEXT(Table13[[#This Row],[Join_Date]],"yyyy")</f>
        <v>2020</v>
      </c>
      <c r="P329" s="3" t="str">
        <f>LEFT('Main Project Raw Data'!E329,FIND("-",'Main Project Raw Data'!E329)-1)</f>
        <v>Cloud Tech</v>
      </c>
      <c r="Q329" s="3" t="str">
        <f>RIGHT('Main Project Raw Data'!E329,LEN('Main Project Raw Data'!E329)-FIND("-",'Main Project Raw Data'!E329))</f>
        <v>Texas</v>
      </c>
    </row>
    <row r="330" spans="1:17" x14ac:dyDescent="0.3">
      <c r="A330" s="3" t="str">
        <f>TRIM(Table1[[#This Row],[Employee_ID]])</f>
        <v>EMP1328</v>
      </c>
      <c r="B330" s="3" t="str">
        <f>TRIM(Table1[[#This Row],[First_Name]])</f>
        <v>David</v>
      </c>
      <c r="C330" s="3" t="str">
        <f>TRIM(Table1[[#This Row],[Last_Name]])</f>
        <v>Garcia</v>
      </c>
      <c r="D330" s="3">
        <f>IF(Table1[[#This Row],[Age]]="",AVERAGE(Table1[Age]),Table1[[#This Row],[Age]])</f>
        <v>25</v>
      </c>
      <c r="E330" s="3" t="s">
        <v>56</v>
      </c>
      <c r="F330" s="3" t="s">
        <v>16</v>
      </c>
      <c r="G330" s="5">
        <f>IF(ISNUMBER('Main Project Raw Data'!G330),'Main Project Raw Data'!G330,IF(ISNUMBER(SEARCH("/",'Main Project Raw Data'!G330)),DATE(RIGHT('Main Project Raw Data'!G330,4),LEFT('Main Project Raw Data'!G330,FIND("/",'Main Project Raw Data'!G330)-1),MID('Main Project Raw Data'!G330,FIND("/",'Main Project Raw Data'!G330)+1,2)),DATE(RIGHT('Main Project Raw Data'!G330,4),MID('Main Project Raw Data'!G330,4,2),LEFT('Main Project Raw Data'!G330,2))))</f>
        <v>44278</v>
      </c>
      <c r="H330" s="3">
        <f>IF(Table1[[#This Row],[Salary]]="",AVERAGE(Table1[Salary]),Table1[[#This Row],[Salary]])</f>
        <v>85401.3</v>
      </c>
      <c r="I330" s="3" t="s">
        <v>101</v>
      </c>
      <c r="J330" s="3">
        <f>ABS(Table1[[#This Row],[Phone]])</f>
        <v>9912971023</v>
      </c>
      <c r="K330" s="3" t="str">
        <f>PROPER(TRIM(Table1[[#This Row],[Performance_Score]]))</f>
        <v>Poor</v>
      </c>
      <c r="L330" s="3" t="b">
        <f>Table1[[#This Row],[Remote_Work]]</f>
        <v>1</v>
      </c>
      <c r="M330" s="3" t="str">
        <f>PROPER(CONCATENATE(Table13[[#This Row],[First_Name]], Table13[[#This Row],[Last_Name]]))</f>
        <v>Davidgarcia</v>
      </c>
      <c r="N330" s="3" t="str">
        <f t="shared" si="5"/>
        <v>Mar</v>
      </c>
      <c r="O330" s="3" t="str">
        <f>TEXT(Table13[[#This Row],[Join_Date]],"yyyy")</f>
        <v>2021</v>
      </c>
      <c r="P330" s="3" t="str">
        <f>LEFT('Main Project Raw Data'!E330,FIND("-",'Main Project Raw Data'!E330)-1)</f>
        <v>DevOps</v>
      </c>
      <c r="Q330" s="3" t="str">
        <f>RIGHT('Main Project Raw Data'!E330,LEN('Main Project Raw Data'!E330)-FIND("-",'Main Project Raw Data'!E330))</f>
        <v>New York</v>
      </c>
    </row>
    <row r="331" spans="1:17" x14ac:dyDescent="0.3">
      <c r="A331" s="3" t="str">
        <f>TRIM(Table1[[#This Row],[Employee_ID]])</f>
        <v>EMP1329</v>
      </c>
      <c r="B331" s="3" t="str">
        <f>TRIM(Table1[[#This Row],[First_Name]])</f>
        <v>Heidi</v>
      </c>
      <c r="C331" s="3" t="str">
        <f>TRIM(Table1[[#This Row],[Last_Name]])</f>
        <v>Garcia</v>
      </c>
      <c r="D331" s="3">
        <f>IF(Table1[[#This Row],[Age]]="",AVERAGE(Table1[Age]),Table1[[#This Row],[Age]])</f>
        <v>40</v>
      </c>
      <c r="E331" s="3" t="s">
        <v>159</v>
      </c>
      <c r="F331" s="3" t="s">
        <v>28</v>
      </c>
      <c r="G331" s="5">
        <f>IF(ISNUMBER('Main Project Raw Data'!G331),'Main Project Raw Data'!G331,IF(ISNUMBER(SEARCH("/",'Main Project Raw Data'!G331)),DATE(RIGHT('Main Project Raw Data'!G331,4),LEFT('Main Project Raw Data'!G331,FIND("/",'Main Project Raw Data'!G331)-1),MID('Main Project Raw Data'!G331,FIND("/",'Main Project Raw Data'!G331)+1,2)),DATE(RIGHT('Main Project Raw Data'!G331,4),MID('Main Project Raw Data'!G331,4,2),LEFT('Main Project Raw Data'!G331,2))))</f>
        <v>44987</v>
      </c>
      <c r="H331" s="3">
        <f>IF(Table1[[#This Row],[Salary]]="",AVERAGE(Table1[Salary]),Table1[[#This Row],[Salary]])</f>
        <v>85155.056395582287</v>
      </c>
      <c r="I331" s="3" t="s">
        <v>257</v>
      </c>
      <c r="J331" s="3">
        <f>ABS(Table1[[#This Row],[Phone]])</f>
        <v>8171752420</v>
      </c>
      <c r="K331" s="3" t="str">
        <f>PROPER(TRIM(Table1[[#This Row],[Performance_Score]]))</f>
        <v>Excellent</v>
      </c>
      <c r="L331" s="3" t="b">
        <f>Table1[[#This Row],[Remote_Work]]</f>
        <v>0</v>
      </c>
      <c r="M331" s="3" t="str">
        <f>PROPER(CONCATENATE(Table13[[#This Row],[First_Name]], Table13[[#This Row],[Last_Name]]))</f>
        <v>Heidigarcia</v>
      </c>
      <c r="N331" s="3" t="str">
        <f t="shared" si="5"/>
        <v>Mar</v>
      </c>
      <c r="O331" s="3" t="str">
        <f>TEXT(Table13[[#This Row],[Join_Date]],"yyyy")</f>
        <v>2023</v>
      </c>
      <c r="P331" s="3" t="str">
        <f>LEFT('Main Project Raw Data'!E331,FIND("-",'Main Project Raw Data'!E331)-1)</f>
        <v>Cloud Tech</v>
      </c>
      <c r="Q331" s="3" t="str">
        <f>RIGHT('Main Project Raw Data'!E331,LEN('Main Project Raw Data'!E331)-FIND("-",'Main Project Raw Data'!E331))</f>
        <v>Texas</v>
      </c>
    </row>
    <row r="332" spans="1:17" x14ac:dyDescent="0.3">
      <c r="A332" s="3" t="str">
        <f>TRIM(Table1[[#This Row],[Employee_ID]])</f>
        <v>EMP1330</v>
      </c>
      <c r="B332" s="3" t="str">
        <f>TRIM(Table1[[#This Row],[First_Name]])</f>
        <v>Eva</v>
      </c>
      <c r="C332" s="3" t="str">
        <f>TRIM(Table1[[#This Row],[Last_Name]])</f>
        <v>Smith</v>
      </c>
      <c r="D332" s="3">
        <f>IF(Table1[[#This Row],[Age]]="",AVERAGE(Table1[Age]),Table1[[#This Row],[Age]])</f>
        <v>32.484548825710753</v>
      </c>
      <c r="E332" s="3" t="s">
        <v>139</v>
      </c>
      <c r="F332" s="3" t="s">
        <v>28</v>
      </c>
      <c r="G332" s="5">
        <f>IF(ISNUMBER('Main Project Raw Data'!G332),'Main Project Raw Data'!G332,IF(ISNUMBER(SEARCH("/",'Main Project Raw Data'!G332)),DATE(RIGHT('Main Project Raw Data'!G332,4),LEFT('Main Project Raw Data'!G332,FIND("/",'Main Project Raw Data'!G332)-1),MID('Main Project Raw Data'!G332,FIND("/",'Main Project Raw Data'!G332)+1,2)),DATE(RIGHT('Main Project Raw Data'!G332,4),MID('Main Project Raw Data'!G332,4,2),LEFT('Main Project Raw Data'!G332,2))))</f>
        <v>45496</v>
      </c>
      <c r="H332" s="3">
        <f>IF(Table1[[#This Row],[Salary]]="",AVERAGE(Table1[Salary]),Table1[[#This Row],[Salary]])</f>
        <v>98850.14</v>
      </c>
      <c r="I332" s="3" t="s">
        <v>521</v>
      </c>
      <c r="J332" s="3">
        <f>ABS(Table1[[#This Row],[Phone]])</f>
        <v>4955112746</v>
      </c>
      <c r="K332" s="3" t="str">
        <f>PROPER(TRIM(Table1[[#This Row],[Performance_Score]]))</f>
        <v>Poor</v>
      </c>
      <c r="L332" s="3" t="b">
        <f>Table1[[#This Row],[Remote_Work]]</f>
        <v>0</v>
      </c>
      <c r="M332" s="3" t="str">
        <f>PROPER(CONCATENATE(Table13[[#This Row],[First_Name]], Table13[[#This Row],[Last_Name]]))</f>
        <v>Evasmith</v>
      </c>
      <c r="N332" s="3" t="str">
        <f t="shared" si="5"/>
        <v>Jul</v>
      </c>
      <c r="O332" s="3" t="str">
        <f>TEXT(Table13[[#This Row],[Join_Date]],"yyyy")</f>
        <v>2024</v>
      </c>
      <c r="P332" s="3" t="str">
        <f>LEFT('Main Project Raw Data'!E332,FIND("-",'Main Project Raw Data'!E332)-1)</f>
        <v>HR</v>
      </c>
      <c r="Q332" s="3" t="str">
        <f>RIGHT('Main Project Raw Data'!E332,LEN('Main Project Raw Data'!E332)-FIND("-",'Main Project Raw Data'!E332))</f>
        <v>Texas</v>
      </c>
    </row>
    <row r="333" spans="1:17" x14ac:dyDescent="0.3">
      <c r="A333" s="3" t="str">
        <f>TRIM(Table1[[#This Row],[Employee_ID]])</f>
        <v>EMP1331</v>
      </c>
      <c r="B333" s="3" t="str">
        <f>TRIM(Table1[[#This Row],[First_Name]])</f>
        <v>Charlie</v>
      </c>
      <c r="C333" s="3" t="str">
        <f>TRIM(Table1[[#This Row],[Last_Name]])</f>
        <v>Smith</v>
      </c>
      <c r="D333" s="3">
        <f>IF(Table1[[#This Row],[Age]]="",AVERAGE(Table1[Age]),Table1[[#This Row],[Age]])</f>
        <v>25</v>
      </c>
      <c r="E333" s="3" t="s">
        <v>95</v>
      </c>
      <c r="F333" s="3" t="s">
        <v>16</v>
      </c>
      <c r="G333" s="5">
        <f>IF(ISNUMBER('Main Project Raw Data'!G333),'Main Project Raw Data'!G333,IF(ISNUMBER(SEARCH("/",'Main Project Raw Data'!G333)),DATE(RIGHT('Main Project Raw Data'!G333,4),LEFT('Main Project Raw Data'!G333,FIND("/",'Main Project Raw Data'!G333)-1),MID('Main Project Raw Data'!G333,FIND("/",'Main Project Raw Data'!G333)+1,2)),DATE(RIGHT('Main Project Raw Data'!G333,4),MID('Main Project Raw Data'!G333,4,2),LEFT('Main Project Raw Data'!G333,2))))</f>
        <v>44413</v>
      </c>
      <c r="H333" s="3">
        <f>IF(Table1[[#This Row],[Salary]]="",AVERAGE(Table1[Salary]),Table1[[#This Row],[Salary]])</f>
        <v>63435.24</v>
      </c>
      <c r="I333" s="3" t="s">
        <v>194</v>
      </c>
      <c r="J333" s="3">
        <f>ABS(Table1[[#This Row],[Phone]])</f>
        <v>4721970545</v>
      </c>
      <c r="K333" s="3" t="str">
        <f>PROPER(TRIM(Table1[[#This Row],[Performance_Score]]))</f>
        <v>Poor</v>
      </c>
      <c r="L333" s="3" t="b">
        <f>Table1[[#This Row],[Remote_Work]]</f>
        <v>0</v>
      </c>
      <c r="M333" s="3" t="str">
        <f>PROPER(CONCATENATE(Table13[[#This Row],[First_Name]], Table13[[#This Row],[Last_Name]]))</f>
        <v>Charliesmith</v>
      </c>
      <c r="N333" s="3" t="str">
        <f t="shared" si="5"/>
        <v>Aug</v>
      </c>
      <c r="O333" s="3" t="str">
        <f>TEXT(Table13[[#This Row],[Join_Date]],"yyyy")</f>
        <v>2021</v>
      </c>
      <c r="P333" s="3" t="str">
        <f>LEFT('Main Project Raw Data'!E333,FIND("-",'Main Project Raw Data'!E333)-1)</f>
        <v>Cloud Tech</v>
      </c>
      <c r="Q333" s="3" t="str">
        <f>RIGHT('Main Project Raw Data'!E333,LEN('Main Project Raw Data'!E333)-FIND("-",'Main Project Raw Data'!E333))</f>
        <v>Illinois</v>
      </c>
    </row>
    <row r="334" spans="1:17" x14ac:dyDescent="0.3">
      <c r="A334" s="3" t="str">
        <f>TRIM(Table1[[#This Row],[Employee_ID]])</f>
        <v>EMP1332</v>
      </c>
      <c r="B334" s="3" t="str">
        <f>TRIM(Table1[[#This Row],[First_Name]])</f>
        <v>Frank</v>
      </c>
      <c r="C334" s="3" t="str">
        <f>TRIM(Table1[[#This Row],[Last_Name]])</f>
        <v>Brown</v>
      </c>
      <c r="D334" s="3">
        <f>IF(Table1[[#This Row],[Age]]="",AVERAGE(Table1[Age]),Table1[[#This Row],[Age]])</f>
        <v>35</v>
      </c>
      <c r="E334" s="3" t="s">
        <v>21</v>
      </c>
      <c r="F334" s="3" t="s">
        <v>33</v>
      </c>
      <c r="G334" s="5">
        <f>IF(ISNUMBER('Main Project Raw Data'!G334),'Main Project Raw Data'!G334,IF(ISNUMBER(SEARCH("/",'Main Project Raw Data'!G334)),DATE(RIGHT('Main Project Raw Data'!G334,4),LEFT('Main Project Raw Data'!G334,FIND("/",'Main Project Raw Data'!G334)-1),MID('Main Project Raw Data'!G334,FIND("/",'Main Project Raw Data'!G334)+1,2)),DATE(RIGHT('Main Project Raw Data'!G334,4),MID('Main Project Raw Data'!G334,4,2),LEFT('Main Project Raw Data'!G334,2))))</f>
        <v>44869</v>
      </c>
      <c r="H334" s="3">
        <f>IF(Table1[[#This Row],[Salary]]="",AVERAGE(Table1[Salary]),Table1[[#This Row],[Salary]])</f>
        <v>82129.84</v>
      </c>
      <c r="I334" s="3" t="s">
        <v>239</v>
      </c>
      <c r="J334" s="3">
        <f>ABS(Table1[[#This Row],[Phone]])</f>
        <v>6927589550</v>
      </c>
      <c r="K334" s="3" t="str">
        <f>PROPER(TRIM(Table1[[#This Row],[Performance_Score]]))</f>
        <v>Average</v>
      </c>
      <c r="L334" s="3" t="b">
        <f>Table1[[#This Row],[Remote_Work]]</f>
        <v>0</v>
      </c>
      <c r="M334" s="3" t="str">
        <f>PROPER(CONCATENATE(Table13[[#This Row],[First_Name]], Table13[[#This Row],[Last_Name]]))</f>
        <v>Frankbrown</v>
      </c>
      <c r="N334" s="3" t="str">
        <f t="shared" si="5"/>
        <v>Nov</v>
      </c>
      <c r="O334" s="3" t="str">
        <f>TEXT(Table13[[#This Row],[Join_Date]],"yyyy")</f>
        <v>2022</v>
      </c>
      <c r="P334" s="3" t="str">
        <f>LEFT('Main Project Raw Data'!E334,FIND("-",'Main Project Raw Data'!E334)-1)</f>
        <v>Finance</v>
      </c>
      <c r="Q334" s="3" t="str">
        <f>RIGHT('Main Project Raw Data'!E334,LEN('Main Project Raw Data'!E334)-FIND("-",'Main Project Raw Data'!E334))</f>
        <v>Texas</v>
      </c>
    </row>
    <row r="335" spans="1:17" x14ac:dyDescent="0.3">
      <c r="A335" s="3" t="str">
        <f>TRIM(Table1[[#This Row],[Employee_ID]])</f>
        <v>EMP1333</v>
      </c>
      <c r="B335" s="3" t="str">
        <f>TRIM(Table1[[#This Row],[First_Name]])</f>
        <v>David</v>
      </c>
      <c r="C335" s="3" t="str">
        <f>TRIM(Table1[[#This Row],[Last_Name]])</f>
        <v>Williams</v>
      </c>
      <c r="D335" s="3">
        <f>IF(Table1[[#This Row],[Age]]="",AVERAGE(Table1[Age]),Table1[[#This Row],[Age]])</f>
        <v>35</v>
      </c>
      <c r="E335" s="3" t="s">
        <v>237</v>
      </c>
      <c r="F335" s="3" t="s">
        <v>28</v>
      </c>
      <c r="G335" s="5">
        <f>IF(ISNUMBER('Main Project Raw Data'!G335),'Main Project Raw Data'!G335,IF(ISNUMBER(SEARCH("/",'Main Project Raw Data'!G335)),DATE(RIGHT('Main Project Raw Data'!G335,4),LEFT('Main Project Raw Data'!G335,FIND("/",'Main Project Raw Data'!G335)-1),MID('Main Project Raw Data'!G335,FIND("/",'Main Project Raw Data'!G335)+1,2)),DATE(RIGHT('Main Project Raw Data'!G335,4),MID('Main Project Raw Data'!G335,4,2),LEFT('Main Project Raw Data'!G335,2))))</f>
        <v>45588</v>
      </c>
      <c r="H335" s="3">
        <f>IF(Table1[[#This Row],[Salary]]="",AVERAGE(Table1[Salary]),Table1[[#This Row],[Salary]])</f>
        <v>95492.61</v>
      </c>
      <c r="I335" s="3" t="s">
        <v>61</v>
      </c>
      <c r="J335" s="3">
        <f>ABS(Table1[[#This Row],[Phone]])</f>
        <v>6874090379</v>
      </c>
      <c r="K335" s="3" t="str">
        <f>PROPER(TRIM(Table1[[#This Row],[Performance_Score]]))</f>
        <v>Good</v>
      </c>
      <c r="L335" s="3" t="b">
        <f>Table1[[#This Row],[Remote_Work]]</f>
        <v>0</v>
      </c>
      <c r="M335" s="3" t="str">
        <f>PROPER(CONCATENATE(Table13[[#This Row],[First_Name]], Table13[[#This Row],[Last_Name]]))</f>
        <v>Davidwilliams</v>
      </c>
      <c r="N335" s="3" t="str">
        <f t="shared" si="5"/>
        <v>Oct</v>
      </c>
      <c r="O335" s="3" t="str">
        <f>TEXT(Table13[[#This Row],[Join_Date]],"yyyy")</f>
        <v>2024</v>
      </c>
      <c r="P335" s="3" t="str">
        <f>LEFT('Main Project Raw Data'!E335,FIND("-",'Main Project Raw Data'!E335)-1)</f>
        <v>DevOps</v>
      </c>
      <c r="Q335" s="3" t="str">
        <f>RIGHT('Main Project Raw Data'!E335,LEN('Main Project Raw Data'!E335)-FIND("-",'Main Project Raw Data'!E335))</f>
        <v>Texas</v>
      </c>
    </row>
    <row r="336" spans="1:17" x14ac:dyDescent="0.3">
      <c r="A336" s="3" t="str">
        <f>TRIM(Table1[[#This Row],[Employee_ID]])</f>
        <v>EMP1334</v>
      </c>
      <c r="B336" s="3" t="str">
        <f>TRIM(Table1[[#This Row],[First_Name]])</f>
        <v>Grace</v>
      </c>
      <c r="C336" s="3" t="str">
        <f>TRIM(Table1[[#This Row],[Last_Name]])</f>
        <v>Miller</v>
      </c>
      <c r="D336" s="3">
        <f>IF(Table1[[#This Row],[Age]]="",AVERAGE(Table1[Age]),Table1[[#This Row],[Age]])</f>
        <v>40</v>
      </c>
      <c r="E336" s="3" t="s">
        <v>265</v>
      </c>
      <c r="F336" s="3" t="s">
        <v>33</v>
      </c>
      <c r="G336" s="5">
        <f>IF(ISNUMBER('Main Project Raw Data'!G336),'Main Project Raw Data'!G336,IF(ISNUMBER(SEARCH("/",'Main Project Raw Data'!G336)),DATE(RIGHT('Main Project Raw Data'!G336,4),LEFT('Main Project Raw Data'!G336,FIND("/",'Main Project Raw Data'!G336)-1),MID('Main Project Raw Data'!G336,FIND("/",'Main Project Raw Data'!G336)+1,2)),DATE(RIGHT('Main Project Raw Data'!G336,4),MID('Main Project Raw Data'!G336,4,2),LEFT('Main Project Raw Data'!G336,2))))</f>
        <v>43945</v>
      </c>
      <c r="H336" s="3">
        <f>IF(Table1[[#This Row],[Salary]]="",AVERAGE(Table1[Salary]),Table1[[#This Row],[Salary]])</f>
        <v>94572.37</v>
      </c>
      <c r="I336" s="3" t="s">
        <v>168</v>
      </c>
      <c r="J336" s="3">
        <f>ABS(Table1[[#This Row],[Phone]])</f>
        <v>2146296135</v>
      </c>
      <c r="K336" s="3" t="str">
        <f>PROPER(TRIM(Table1[[#This Row],[Performance_Score]]))</f>
        <v>Good</v>
      </c>
      <c r="L336" s="3" t="b">
        <f>Table1[[#This Row],[Remote_Work]]</f>
        <v>0</v>
      </c>
      <c r="M336" s="3" t="str">
        <f>PROPER(CONCATENATE(Table13[[#This Row],[First_Name]], Table13[[#This Row],[Last_Name]]))</f>
        <v>Gracemiller</v>
      </c>
      <c r="N336" s="3" t="str">
        <f t="shared" si="5"/>
        <v>Apr</v>
      </c>
      <c r="O336" s="3" t="str">
        <f>TEXT(Table13[[#This Row],[Join_Date]],"yyyy")</f>
        <v>2020</v>
      </c>
      <c r="P336" s="3" t="str">
        <f>LEFT('Main Project Raw Data'!E336,FIND("-",'Main Project Raw Data'!E336)-1)</f>
        <v>Finance</v>
      </c>
      <c r="Q336" s="3" t="str">
        <f>RIGHT('Main Project Raw Data'!E336,LEN('Main Project Raw Data'!E336)-FIND("-",'Main Project Raw Data'!E336))</f>
        <v>Illinois</v>
      </c>
    </row>
    <row r="337" spans="1:17" x14ac:dyDescent="0.3">
      <c r="A337" s="3" t="str">
        <f>TRIM(Table1[[#This Row],[Employee_ID]])</f>
        <v>EMP1335</v>
      </c>
      <c r="B337" s="3" t="str">
        <f>TRIM(Table1[[#This Row],[First_Name]])</f>
        <v>Bob</v>
      </c>
      <c r="C337" s="3" t="str">
        <f>TRIM(Table1[[#This Row],[Last_Name]])</f>
        <v>Garcia</v>
      </c>
      <c r="D337" s="3">
        <f>IF(Table1[[#This Row],[Age]]="",AVERAGE(Table1[Age]),Table1[[#This Row],[Age]])</f>
        <v>40</v>
      </c>
      <c r="E337" s="3" t="s">
        <v>100</v>
      </c>
      <c r="F337" s="3" t="s">
        <v>33</v>
      </c>
      <c r="G337" s="5">
        <f>IF(ISNUMBER('Main Project Raw Data'!G337),'Main Project Raw Data'!G337,IF(ISNUMBER(SEARCH("/",'Main Project Raw Data'!G337)),DATE(RIGHT('Main Project Raw Data'!G337,4),LEFT('Main Project Raw Data'!G337,FIND("/",'Main Project Raw Data'!G337)-1),MID('Main Project Raw Data'!G337,FIND("/",'Main Project Raw Data'!G337)+1,2)),DATE(RIGHT('Main Project Raw Data'!G337,4),MID('Main Project Raw Data'!G337,4,2),LEFT('Main Project Raw Data'!G337,2))))</f>
        <v>45019</v>
      </c>
      <c r="H337" s="3">
        <f>IF(Table1[[#This Row],[Salary]]="",AVERAGE(Table1[Salary]),Table1[[#This Row],[Salary]])</f>
        <v>118413.05</v>
      </c>
      <c r="I337" s="3" t="s">
        <v>153</v>
      </c>
      <c r="J337" s="3">
        <f>ABS(Table1[[#This Row],[Phone]])</f>
        <v>7157787111</v>
      </c>
      <c r="K337" s="3" t="str">
        <f>PROPER(TRIM(Table1[[#This Row],[Performance_Score]]))</f>
        <v>Poor</v>
      </c>
      <c r="L337" s="3" t="b">
        <f>Table1[[#This Row],[Remote_Work]]</f>
        <v>0</v>
      </c>
      <c r="M337" s="3" t="str">
        <f>PROPER(CONCATENATE(Table13[[#This Row],[First_Name]], Table13[[#This Row],[Last_Name]]))</f>
        <v>Bobgarcia</v>
      </c>
      <c r="N337" s="3" t="str">
        <f t="shared" si="5"/>
        <v>Apr</v>
      </c>
      <c r="O337" s="3" t="str">
        <f>TEXT(Table13[[#This Row],[Join_Date]],"yyyy")</f>
        <v>2023</v>
      </c>
      <c r="P337" s="3" t="str">
        <f>LEFT('Main Project Raw Data'!E337,FIND("-",'Main Project Raw Data'!E337)-1)</f>
        <v>Finance</v>
      </c>
      <c r="Q337" s="3" t="str">
        <f>RIGHT('Main Project Raw Data'!E337,LEN('Main Project Raw Data'!E337)-FIND("-",'Main Project Raw Data'!E337))</f>
        <v>Nevada</v>
      </c>
    </row>
    <row r="338" spans="1:17" x14ac:dyDescent="0.3">
      <c r="A338" s="3" t="str">
        <f>TRIM(Table1[[#This Row],[Employee_ID]])</f>
        <v>EMP1336</v>
      </c>
      <c r="B338" s="3" t="str">
        <f>TRIM(Table1[[#This Row],[First_Name]])</f>
        <v>Alice</v>
      </c>
      <c r="C338" s="3" t="str">
        <f>TRIM(Table1[[#This Row],[Last_Name]])</f>
        <v>Jones</v>
      </c>
      <c r="D338" s="3">
        <f>IF(Table1[[#This Row],[Age]]="",AVERAGE(Table1[Age]),Table1[[#This Row],[Age]])</f>
        <v>30</v>
      </c>
      <c r="E338" s="3" t="s">
        <v>27</v>
      </c>
      <c r="F338" s="3" t="s">
        <v>28</v>
      </c>
      <c r="G338" s="5">
        <f>IF(ISNUMBER('Main Project Raw Data'!G338),'Main Project Raw Data'!G338,IF(ISNUMBER(SEARCH("/",'Main Project Raw Data'!G338)),DATE(RIGHT('Main Project Raw Data'!G338,4),LEFT('Main Project Raw Data'!G338,FIND("/",'Main Project Raw Data'!G338)-1),MID('Main Project Raw Data'!G338,FIND("/",'Main Project Raw Data'!G338)+1,2)),DATE(RIGHT('Main Project Raw Data'!G338,4),MID('Main Project Raw Data'!G338,4,2),LEFT('Main Project Raw Data'!G338,2))))</f>
        <v>44804</v>
      </c>
      <c r="H338" s="3">
        <f>IF(Table1[[#This Row],[Salary]]="",AVERAGE(Table1[Salary]),Table1[[#This Row],[Salary]])</f>
        <v>68976.649999999994</v>
      </c>
      <c r="I338" s="3" t="s">
        <v>29</v>
      </c>
      <c r="J338" s="3">
        <f>ABS(Table1[[#This Row],[Phone]])</f>
        <v>1663651558</v>
      </c>
      <c r="K338" s="3" t="str">
        <f>PROPER(TRIM(Table1[[#This Row],[Performance_Score]]))</f>
        <v>Poor</v>
      </c>
      <c r="L338" s="3" t="b">
        <f>Table1[[#This Row],[Remote_Work]]</f>
        <v>1</v>
      </c>
      <c r="M338" s="3" t="str">
        <f>PROPER(CONCATENATE(Table13[[#This Row],[First_Name]], Table13[[#This Row],[Last_Name]]))</f>
        <v>Alicejones</v>
      </c>
      <c r="N338" s="3" t="str">
        <f t="shared" si="5"/>
        <v>Aug</v>
      </c>
      <c r="O338" s="3" t="str">
        <f>TEXT(Table13[[#This Row],[Join_Date]],"yyyy")</f>
        <v>2022</v>
      </c>
      <c r="P338" s="3" t="str">
        <f>LEFT('Main Project Raw Data'!E338,FIND("-",'Main Project Raw Data'!E338)-1)</f>
        <v>Admin</v>
      </c>
      <c r="Q338" s="3" t="str">
        <f>RIGHT('Main Project Raw Data'!E338,LEN('Main Project Raw Data'!E338)-FIND("-",'Main Project Raw Data'!E338))</f>
        <v>Nevada</v>
      </c>
    </row>
    <row r="339" spans="1:17" x14ac:dyDescent="0.3">
      <c r="A339" s="3" t="str">
        <f>TRIM(Table1[[#This Row],[Employee_ID]])</f>
        <v>EMP1337</v>
      </c>
      <c r="B339" s="3" t="str">
        <f>TRIM(Table1[[#This Row],[First_Name]])</f>
        <v>Eva</v>
      </c>
      <c r="C339" s="3" t="str">
        <f>TRIM(Table1[[#This Row],[Last_Name]])</f>
        <v>Williams</v>
      </c>
      <c r="D339" s="3">
        <f>IF(Table1[[#This Row],[Age]]="",AVERAGE(Table1[Age]),Table1[[#This Row],[Age]])</f>
        <v>32.484548825710753</v>
      </c>
      <c r="E339" s="3" t="s">
        <v>219</v>
      </c>
      <c r="F339" s="3" t="s">
        <v>16</v>
      </c>
      <c r="G339" s="5">
        <f>IF(ISNUMBER('Main Project Raw Data'!G339),'Main Project Raw Data'!G339,IF(ISNUMBER(SEARCH("/",'Main Project Raw Data'!G339)),DATE(RIGHT('Main Project Raw Data'!G339,4),LEFT('Main Project Raw Data'!G339,FIND("/",'Main Project Raw Data'!G339)-1),MID('Main Project Raw Data'!G339,FIND("/",'Main Project Raw Data'!G339)+1,2)),DATE(RIGHT('Main Project Raw Data'!G339,4),MID('Main Project Raw Data'!G339,4,2),LEFT('Main Project Raw Data'!G339,2))))</f>
        <v>44228</v>
      </c>
      <c r="H339" s="3">
        <f>IF(Table1[[#This Row],[Salary]]="",AVERAGE(Table1[Salary]),Table1[[#This Row],[Salary]])</f>
        <v>115013.65</v>
      </c>
      <c r="I339" s="3" t="s">
        <v>141</v>
      </c>
      <c r="J339" s="3">
        <f>ABS(Table1[[#This Row],[Phone]])</f>
        <v>7371470826</v>
      </c>
      <c r="K339" s="3" t="str">
        <f>PROPER(TRIM(Table1[[#This Row],[Performance_Score]]))</f>
        <v>Average</v>
      </c>
      <c r="L339" s="3" t="b">
        <f>Table1[[#This Row],[Remote_Work]]</f>
        <v>0</v>
      </c>
      <c r="M339" s="3" t="str">
        <f>PROPER(CONCATENATE(Table13[[#This Row],[First_Name]], Table13[[#This Row],[Last_Name]]))</f>
        <v>Evawilliams</v>
      </c>
      <c r="N339" s="3" t="str">
        <f t="shared" si="5"/>
        <v>Feb</v>
      </c>
      <c r="O339" s="3" t="str">
        <f>TEXT(Table13[[#This Row],[Join_Date]],"yyyy")</f>
        <v>2021</v>
      </c>
      <c r="P339" s="3" t="str">
        <f>LEFT('Main Project Raw Data'!E339,FIND("-",'Main Project Raw Data'!E339)-1)</f>
        <v>Sales</v>
      </c>
      <c r="Q339" s="3" t="str">
        <f>RIGHT('Main Project Raw Data'!E339,LEN('Main Project Raw Data'!E339)-FIND("-",'Main Project Raw Data'!E339))</f>
        <v>Nevada</v>
      </c>
    </row>
    <row r="340" spans="1:17" x14ac:dyDescent="0.3">
      <c r="A340" s="3" t="str">
        <f>TRIM(Table1[[#This Row],[Employee_ID]])</f>
        <v>EMP1338</v>
      </c>
      <c r="B340" s="3" t="str">
        <f>TRIM(Table1[[#This Row],[First_Name]])</f>
        <v>David</v>
      </c>
      <c r="C340" s="3" t="str">
        <f>TRIM(Table1[[#This Row],[Last_Name]])</f>
        <v>Brown</v>
      </c>
      <c r="D340" s="3">
        <f>IF(Table1[[#This Row],[Age]]="",AVERAGE(Table1[Age]),Table1[[#This Row],[Age]])</f>
        <v>32.484548825710753</v>
      </c>
      <c r="E340" s="3" t="s">
        <v>27</v>
      </c>
      <c r="F340" s="3" t="s">
        <v>33</v>
      </c>
      <c r="G340" s="5">
        <f>IF(ISNUMBER('Main Project Raw Data'!G340),'Main Project Raw Data'!G340,IF(ISNUMBER(SEARCH("/",'Main Project Raw Data'!G340)),DATE(RIGHT('Main Project Raw Data'!G340,4),LEFT('Main Project Raw Data'!G340,FIND("/",'Main Project Raw Data'!G340)-1),MID('Main Project Raw Data'!G340,FIND("/",'Main Project Raw Data'!G340)+1,2)),DATE(RIGHT('Main Project Raw Data'!G340,4),MID('Main Project Raw Data'!G340,4,2),LEFT('Main Project Raw Data'!G340,2))))</f>
        <v>43988</v>
      </c>
      <c r="H340" s="3">
        <f>IF(Table1[[#This Row],[Salary]]="",AVERAGE(Table1[Salary]),Table1[[#This Row],[Salary]])</f>
        <v>70949.38</v>
      </c>
      <c r="I340" s="3" t="s">
        <v>225</v>
      </c>
      <c r="J340" s="3">
        <f>ABS(Table1[[#This Row],[Phone]])</f>
        <v>2359096055</v>
      </c>
      <c r="K340" s="3" t="str">
        <f>PROPER(TRIM(Table1[[#This Row],[Performance_Score]]))</f>
        <v>Poor</v>
      </c>
      <c r="L340" s="3" t="b">
        <f>Table1[[#This Row],[Remote_Work]]</f>
        <v>1</v>
      </c>
      <c r="M340" s="3" t="str">
        <f>PROPER(CONCATENATE(Table13[[#This Row],[First_Name]], Table13[[#This Row],[Last_Name]]))</f>
        <v>Davidbrown</v>
      </c>
      <c r="N340" s="3" t="str">
        <f t="shared" si="5"/>
        <v>Jun</v>
      </c>
      <c r="O340" s="3" t="str">
        <f>TEXT(Table13[[#This Row],[Join_Date]],"yyyy")</f>
        <v>2020</v>
      </c>
      <c r="P340" s="3" t="str">
        <f>LEFT('Main Project Raw Data'!E340,FIND("-",'Main Project Raw Data'!E340)-1)</f>
        <v>Admin</v>
      </c>
      <c r="Q340" s="3" t="str">
        <f>RIGHT('Main Project Raw Data'!E340,LEN('Main Project Raw Data'!E340)-FIND("-",'Main Project Raw Data'!E340))</f>
        <v>Nevada</v>
      </c>
    </row>
    <row r="341" spans="1:17" x14ac:dyDescent="0.3">
      <c r="A341" s="3" t="str">
        <f>TRIM(Table1[[#This Row],[Employee_ID]])</f>
        <v>EMP1339</v>
      </c>
      <c r="B341" s="3" t="str">
        <f>TRIM(Table1[[#This Row],[First_Name]])</f>
        <v>Grace</v>
      </c>
      <c r="C341" s="3" t="str">
        <f>TRIM(Table1[[#This Row],[Last_Name]])</f>
        <v>Brown</v>
      </c>
      <c r="D341" s="3">
        <f>IF(Table1[[#This Row],[Age]]="",AVERAGE(Table1[Age]),Table1[[#This Row],[Age]])</f>
        <v>32.484548825710753</v>
      </c>
      <c r="E341" s="3" t="s">
        <v>212</v>
      </c>
      <c r="F341" s="3" t="s">
        <v>28</v>
      </c>
      <c r="G341" s="5">
        <f>IF(ISNUMBER('Main Project Raw Data'!G341),'Main Project Raw Data'!G341,IF(ISNUMBER(SEARCH("/",'Main Project Raw Data'!G341)),DATE(RIGHT('Main Project Raw Data'!G341,4),LEFT('Main Project Raw Data'!G341,FIND("/",'Main Project Raw Data'!G341)-1),MID('Main Project Raw Data'!G341,FIND("/",'Main Project Raw Data'!G341)+1,2)),DATE(RIGHT('Main Project Raw Data'!G341,4),MID('Main Project Raw Data'!G341,4,2),LEFT('Main Project Raw Data'!G341,2))))</f>
        <v>44117</v>
      </c>
      <c r="H341" s="3">
        <f>IF(Table1[[#This Row],[Salary]]="",AVERAGE(Table1[Salary]),Table1[[#This Row],[Salary]])</f>
        <v>105334.87</v>
      </c>
      <c r="I341" s="3" t="s">
        <v>201</v>
      </c>
      <c r="J341" s="3">
        <f>ABS(Table1[[#This Row],[Phone]])</f>
        <v>7303064420</v>
      </c>
      <c r="K341" s="3" t="str">
        <f>PROPER(TRIM(Table1[[#This Row],[Performance_Score]]))</f>
        <v>Average</v>
      </c>
      <c r="L341" s="3" t="b">
        <f>Table1[[#This Row],[Remote_Work]]</f>
        <v>0</v>
      </c>
      <c r="M341" s="3" t="str">
        <f>PROPER(CONCATENATE(Table13[[#This Row],[First_Name]], Table13[[#This Row],[Last_Name]]))</f>
        <v>Gracebrown</v>
      </c>
      <c r="N341" s="3" t="str">
        <f t="shared" si="5"/>
        <v>Oct</v>
      </c>
      <c r="O341" s="3" t="str">
        <f>TEXT(Table13[[#This Row],[Join_Date]],"yyyy")</f>
        <v>2020</v>
      </c>
      <c r="P341" s="3" t="str">
        <f>LEFT('Main Project Raw Data'!E341,FIND("-",'Main Project Raw Data'!E341)-1)</f>
        <v>HR</v>
      </c>
      <c r="Q341" s="3" t="str">
        <f>RIGHT('Main Project Raw Data'!E341,LEN('Main Project Raw Data'!E341)-FIND("-",'Main Project Raw Data'!E341))</f>
        <v>Florida</v>
      </c>
    </row>
    <row r="342" spans="1:17" x14ac:dyDescent="0.3">
      <c r="A342" s="3" t="str">
        <f>TRIM(Table1[[#This Row],[Employee_ID]])</f>
        <v>EMP1340</v>
      </c>
      <c r="B342" s="3" t="str">
        <f>TRIM(Table1[[#This Row],[First_Name]])</f>
        <v>Bob</v>
      </c>
      <c r="C342" s="3" t="str">
        <f>TRIM(Table1[[#This Row],[Last_Name]])</f>
        <v>Williams</v>
      </c>
      <c r="D342" s="3">
        <f>IF(Table1[[#This Row],[Age]]="",AVERAGE(Table1[Age]),Table1[[#This Row],[Age]])</f>
        <v>32.484548825710753</v>
      </c>
      <c r="E342" s="3" t="s">
        <v>15</v>
      </c>
      <c r="F342" s="3" t="s">
        <v>16</v>
      </c>
      <c r="G342" s="5">
        <f>IF(ISNUMBER('Main Project Raw Data'!G342),'Main Project Raw Data'!G342,IF(ISNUMBER(SEARCH("/",'Main Project Raw Data'!G342)),DATE(RIGHT('Main Project Raw Data'!G342,4),LEFT('Main Project Raw Data'!G342,FIND("/",'Main Project Raw Data'!G342)-1),MID('Main Project Raw Data'!G342,FIND("/",'Main Project Raw Data'!G342)+1,2)),DATE(RIGHT('Main Project Raw Data'!G342,4),MID('Main Project Raw Data'!G342,4,2),LEFT('Main Project Raw Data'!G342,2))))</f>
        <v>44031</v>
      </c>
      <c r="H342" s="3">
        <f>IF(Table1[[#This Row],[Salary]]="",AVERAGE(Table1[Salary]),Table1[[#This Row],[Salary]])</f>
        <v>80596.179999999993</v>
      </c>
      <c r="I342" s="3" t="s">
        <v>144</v>
      </c>
      <c r="J342" s="3">
        <f>ABS(Table1[[#This Row],[Phone]])</f>
        <v>2146147682</v>
      </c>
      <c r="K342" s="3" t="str">
        <f>PROPER(TRIM(Table1[[#This Row],[Performance_Score]]))</f>
        <v>Good</v>
      </c>
      <c r="L342" s="3" t="b">
        <f>Table1[[#This Row],[Remote_Work]]</f>
        <v>0</v>
      </c>
      <c r="M342" s="3" t="str">
        <f>PROPER(CONCATENATE(Table13[[#This Row],[First_Name]], Table13[[#This Row],[Last_Name]]))</f>
        <v>Bobwilliams</v>
      </c>
      <c r="N342" s="3" t="str">
        <f t="shared" si="5"/>
        <v>Jul</v>
      </c>
      <c r="O342" s="3" t="str">
        <f>TEXT(Table13[[#This Row],[Join_Date]],"yyyy")</f>
        <v>2020</v>
      </c>
      <c r="P342" s="3" t="str">
        <f>LEFT('Main Project Raw Data'!E342,FIND("-",'Main Project Raw Data'!E342)-1)</f>
        <v>DevOps</v>
      </c>
      <c r="Q342" s="3" t="str">
        <f>RIGHT('Main Project Raw Data'!E342,LEN('Main Project Raw Data'!E342)-FIND("-",'Main Project Raw Data'!E342))</f>
        <v>California</v>
      </c>
    </row>
    <row r="343" spans="1:17" x14ac:dyDescent="0.3">
      <c r="A343" s="3" t="str">
        <f>TRIM(Table1[[#This Row],[Employee_ID]])</f>
        <v>EMP1341</v>
      </c>
      <c r="B343" s="3" t="str">
        <f>TRIM(Table1[[#This Row],[First_Name]])</f>
        <v>Frank</v>
      </c>
      <c r="C343" s="3" t="str">
        <f>TRIM(Table1[[#This Row],[Last_Name]])</f>
        <v>Brown</v>
      </c>
      <c r="D343" s="3">
        <f>IF(Table1[[#This Row],[Age]]="",AVERAGE(Table1[Age]),Table1[[#This Row],[Age]])</f>
        <v>32.484548825710753</v>
      </c>
      <c r="E343" s="3" t="s">
        <v>98</v>
      </c>
      <c r="F343" s="3" t="s">
        <v>33</v>
      </c>
      <c r="G343" s="5">
        <f>IF(ISNUMBER('Main Project Raw Data'!G343),'Main Project Raw Data'!G343,IF(ISNUMBER(SEARCH("/",'Main Project Raw Data'!G343)),DATE(RIGHT('Main Project Raw Data'!G343,4),LEFT('Main Project Raw Data'!G343,FIND("/",'Main Project Raw Data'!G343)-1),MID('Main Project Raw Data'!G343,FIND("/",'Main Project Raw Data'!G343)+1,2)),DATE(RIGHT('Main Project Raw Data'!G343,4),MID('Main Project Raw Data'!G343,4,2),LEFT('Main Project Raw Data'!G343,2))))</f>
        <v>45356</v>
      </c>
      <c r="H343" s="3">
        <f>IF(Table1[[#This Row],[Salary]]="",AVERAGE(Table1[Salary]),Table1[[#This Row],[Salary]])</f>
        <v>72846.37</v>
      </c>
      <c r="I343" s="3" t="s">
        <v>239</v>
      </c>
      <c r="J343" s="3">
        <f>ABS(Table1[[#This Row],[Phone]])</f>
        <v>4201654234</v>
      </c>
      <c r="K343" s="3" t="str">
        <f>PROPER(TRIM(Table1[[#This Row],[Performance_Score]]))</f>
        <v>Good</v>
      </c>
      <c r="L343" s="3" t="b">
        <f>Table1[[#This Row],[Remote_Work]]</f>
        <v>1</v>
      </c>
      <c r="M343" s="3" t="str">
        <f>PROPER(CONCATENATE(Table13[[#This Row],[First_Name]], Table13[[#This Row],[Last_Name]]))</f>
        <v>Frankbrown</v>
      </c>
      <c r="N343" s="3" t="str">
        <f t="shared" si="5"/>
        <v>Mar</v>
      </c>
      <c r="O343" s="3" t="str">
        <f>TEXT(Table13[[#This Row],[Join_Date]],"yyyy")</f>
        <v>2024</v>
      </c>
      <c r="P343" s="3" t="str">
        <f>LEFT('Main Project Raw Data'!E343,FIND("-",'Main Project Raw Data'!E343)-1)</f>
        <v>Sales</v>
      </c>
      <c r="Q343" s="3" t="str">
        <f>RIGHT('Main Project Raw Data'!E343,LEN('Main Project Raw Data'!E343)-FIND("-",'Main Project Raw Data'!E343))</f>
        <v>Illinois</v>
      </c>
    </row>
    <row r="344" spans="1:17" x14ac:dyDescent="0.3">
      <c r="A344" s="3" t="str">
        <f>TRIM(Table1[[#This Row],[Employee_ID]])</f>
        <v>EMP1342</v>
      </c>
      <c r="B344" s="3" t="str">
        <f>TRIM(Table1[[#This Row],[First_Name]])</f>
        <v>Heidi</v>
      </c>
      <c r="C344" s="3" t="str">
        <f>TRIM(Table1[[#This Row],[Last_Name]])</f>
        <v>Williams</v>
      </c>
      <c r="D344" s="3">
        <f>IF(Table1[[#This Row],[Age]]="",AVERAGE(Table1[Age]),Table1[[#This Row],[Age]])</f>
        <v>40</v>
      </c>
      <c r="E344" s="3" t="s">
        <v>118</v>
      </c>
      <c r="F344" s="3" t="s">
        <v>28</v>
      </c>
      <c r="G344" s="5">
        <f>IF(ISNUMBER('Main Project Raw Data'!G344),'Main Project Raw Data'!G344,IF(ISNUMBER(SEARCH("/",'Main Project Raw Data'!G344)),DATE(RIGHT('Main Project Raw Data'!G344,4),LEFT('Main Project Raw Data'!G344,FIND("/",'Main Project Raw Data'!G344)-1),MID('Main Project Raw Data'!G344,FIND("/",'Main Project Raw Data'!G344)+1,2)),DATE(RIGHT('Main Project Raw Data'!G344,4),MID('Main Project Raw Data'!G344,4,2),LEFT('Main Project Raw Data'!G344,2))))</f>
        <v>44744</v>
      </c>
      <c r="H344" s="3">
        <f>IF(Table1[[#This Row],[Salary]]="",AVERAGE(Table1[Salary]),Table1[[#This Row],[Salary]])</f>
        <v>80229.36</v>
      </c>
      <c r="I344" s="3" t="s">
        <v>67</v>
      </c>
      <c r="J344" s="3">
        <f>ABS(Table1[[#This Row],[Phone]])</f>
        <v>6778265959</v>
      </c>
      <c r="K344" s="3" t="str">
        <f>PROPER(TRIM(Table1[[#This Row],[Performance_Score]]))</f>
        <v>Excellent</v>
      </c>
      <c r="L344" s="3" t="b">
        <f>Table1[[#This Row],[Remote_Work]]</f>
        <v>0</v>
      </c>
      <c r="M344" s="3" t="str">
        <f>PROPER(CONCATENATE(Table13[[#This Row],[First_Name]], Table13[[#This Row],[Last_Name]]))</f>
        <v>Heidiwilliams</v>
      </c>
      <c r="N344" s="3" t="str">
        <f t="shared" si="5"/>
        <v>Jul</v>
      </c>
      <c r="O344" s="3" t="str">
        <f>TEXT(Table13[[#This Row],[Join_Date]],"yyyy")</f>
        <v>2022</v>
      </c>
      <c r="P344" s="3" t="str">
        <f>LEFT('Main Project Raw Data'!E344,FIND("-",'Main Project Raw Data'!E344)-1)</f>
        <v>Admin</v>
      </c>
      <c r="Q344" s="3" t="str">
        <f>RIGHT('Main Project Raw Data'!E344,LEN('Main Project Raw Data'!E344)-FIND("-",'Main Project Raw Data'!E344))</f>
        <v>California</v>
      </c>
    </row>
    <row r="345" spans="1:17" x14ac:dyDescent="0.3">
      <c r="A345" s="3" t="str">
        <f>TRIM(Table1[[#This Row],[Employee_ID]])</f>
        <v>EMP1343</v>
      </c>
      <c r="B345" s="3" t="str">
        <f>TRIM(Table1[[#This Row],[First_Name]])</f>
        <v>Grace</v>
      </c>
      <c r="C345" s="3" t="str">
        <f>TRIM(Table1[[#This Row],[Last_Name]])</f>
        <v>Johnson</v>
      </c>
      <c r="D345" s="3">
        <f>IF(Table1[[#This Row],[Age]]="",AVERAGE(Table1[Age]),Table1[[#This Row],[Age]])</f>
        <v>25</v>
      </c>
      <c r="E345" s="3" t="s">
        <v>177</v>
      </c>
      <c r="F345" s="3" t="s">
        <v>16</v>
      </c>
      <c r="G345" s="5">
        <f>IF(ISNUMBER('Main Project Raw Data'!G345),'Main Project Raw Data'!G345,IF(ISNUMBER(SEARCH("/",'Main Project Raw Data'!G345)),DATE(RIGHT('Main Project Raw Data'!G345,4),LEFT('Main Project Raw Data'!G345,FIND("/",'Main Project Raw Data'!G345)-1),MID('Main Project Raw Data'!G345,FIND("/",'Main Project Raw Data'!G345)+1,2)),DATE(RIGHT('Main Project Raw Data'!G345,4),MID('Main Project Raw Data'!G345,4,2),LEFT('Main Project Raw Data'!G345,2))))</f>
        <v>45291</v>
      </c>
      <c r="H345" s="3">
        <f>IF(Table1[[#This Row],[Salary]]="",AVERAGE(Table1[Salary]),Table1[[#This Row],[Salary]])</f>
        <v>55145.47</v>
      </c>
      <c r="I345" s="3" t="s">
        <v>127</v>
      </c>
      <c r="J345" s="3">
        <f>ABS(Table1[[#This Row],[Phone]])</f>
        <v>8931992549</v>
      </c>
      <c r="K345" s="3" t="str">
        <f>PROPER(TRIM(Table1[[#This Row],[Performance_Score]]))</f>
        <v>Good</v>
      </c>
      <c r="L345" s="3" t="b">
        <f>Table1[[#This Row],[Remote_Work]]</f>
        <v>0</v>
      </c>
      <c r="M345" s="3" t="str">
        <f>PROPER(CONCATENATE(Table13[[#This Row],[First_Name]], Table13[[#This Row],[Last_Name]]))</f>
        <v>Gracejohnson</v>
      </c>
      <c r="N345" s="3" t="str">
        <f t="shared" si="5"/>
        <v>Dec</v>
      </c>
      <c r="O345" s="3" t="str">
        <f>TEXT(Table13[[#This Row],[Join_Date]],"yyyy")</f>
        <v>2023</v>
      </c>
      <c r="P345" s="3" t="str">
        <f>LEFT('Main Project Raw Data'!E345,FIND("-",'Main Project Raw Data'!E345)-1)</f>
        <v>Sales</v>
      </c>
      <c r="Q345" s="3" t="str">
        <f>RIGHT('Main Project Raw Data'!E345,LEN('Main Project Raw Data'!E345)-FIND("-",'Main Project Raw Data'!E345))</f>
        <v>California</v>
      </c>
    </row>
    <row r="346" spans="1:17" x14ac:dyDescent="0.3">
      <c r="A346" s="3" t="str">
        <f>TRIM(Table1[[#This Row],[Employee_ID]])</f>
        <v>EMP1344</v>
      </c>
      <c r="B346" s="3" t="str">
        <f>TRIM(Table1[[#This Row],[First_Name]])</f>
        <v>Grace</v>
      </c>
      <c r="C346" s="3" t="str">
        <f>TRIM(Table1[[#This Row],[Last_Name]])</f>
        <v>Williams</v>
      </c>
      <c r="D346" s="3">
        <f>IF(Table1[[#This Row],[Age]]="",AVERAGE(Table1[Age]),Table1[[#This Row],[Age]])</f>
        <v>30</v>
      </c>
      <c r="E346" s="3" t="s">
        <v>230</v>
      </c>
      <c r="F346" s="3" t="s">
        <v>33</v>
      </c>
      <c r="G346" s="5">
        <f>IF(ISNUMBER('Main Project Raw Data'!G346),'Main Project Raw Data'!G346,IF(ISNUMBER(SEARCH("/",'Main Project Raw Data'!G346)),DATE(RIGHT('Main Project Raw Data'!G346,4),LEFT('Main Project Raw Data'!G346,FIND("/",'Main Project Raw Data'!G346)-1),MID('Main Project Raw Data'!G346,FIND("/",'Main Project Raw Data'!G346)+1,2)),DATE(RIGHT('Main Project Raw Data'!G346,4),MID('Main Project Raw Data'!G346,4,2),LEFT('Main Project Raw Data'!G346,2))))</f>
        <v>44774</v>
      </c>
      <c r="H346" s="3">
        <f>IF(Table1[[#This Row],[Salary]]="",AVERAGE(Table1[Salary]),Table1[[#This Row],[Salary]])</f>
        <v>85155.056395582287</v>
      </c>
      <c r="I346" s="3" t="s">
        <v>71</v>
      </c>
      <c r="J346" s="3">
        <f>ABS(Table1[[#This Row],[Phone]])</f>
        <v>2727516479</v>
      </c>
      <c r="K346" s="3" t="str">
        <f>PROPER(TRIM(Table1[[#This Row],[Performance_Score]]))</f>
        <v>Poor</v>
      </c>
      <c r="L346" s="3" t="b">
        <f>Table1[[#This Row],[Remote_Work]]</f>
        <v>1</v>
      </c>
      <c r="M346" s="3" t="str">
        <f>PROPER(CONCATENATE(Table13[[#This Row],[First_Name]], Table13[[#This Row],[Last_Name]]))</f>
        <v>Gracewilliams</v>
      </c>
      <c r="N346" s="3" t="str">
        <f t="shared" si="5"/>
        <v>Aug</v>
      </c>
      <c r="O346" s="3" t="str">
        <f>TEXT(Table13[[#This Row],[Join_Date]],"yyyy")</f>
        <v>2022</v>
      </c>
      <c r="P346" s="3" t="str">
        <f>LEFT('Main Project Raw Data'!E346,FIND("-",'Main Project Raw Data'!E346)-1)</f>
        <v>DevOps</v>
      </c>
      <c r="Q346" s="3" t="str">
        <f>RIGHT('Main Project Raw Data'!E346,LEN('Main Project Raw Data'!E346)-FIND("-",'Main Project Raw Data'!E346))</f>
        <v>Florida</v>
      </c>
    </row>
    <row r="347" spans="1:17" x14ac:dyDescent="0.3">
      <c r="A347" s="3" t="str">
        <f>TRIM(Table1[[#This Row],[Employee_ID]])</f>
        <v>EMP1345</v>
      </c>
      <c r="B347" s="3" t="str">
        <f>TRIM(Table1[[#This Row],[First_Name]])</f>
        <v>Eva</v>
      </c>
      <c r="C347" s="3" t="str">
        <f>TRIM(Table1[[#This Row],[Last_Name]])</f>
        <v>Davis</v>
      </c>
      <c r="D347" s="3">
        <f>IF(Table1[[#This Row],[Age]]="",AVERAGE(Table1[Age]),Table1[[#This Row],[Age]])</f>
        <v>40</v>
      </c>
      <c r="E347" s="3" t="s">
        <v>146</v>
      </c>
      <c r="F347" s="3" t="s">
        <v>16</v>
      </c>
      <c r="G347" s="5">
        <f>IF(ISNUMBER('Main Project Raw Data'!G347),'Main Project Raw Data'!G347,IF(ISNUMBER(SEARCH("/",'Main Project Raw Data'!G347)),DATE(RIGHT('Main Project Raw Data'!G347,4),LEFT('Main Project Raw Data'!G347,FIND("/",'Main Project Raw Data'!G347)-1),MID('Main Project Raw Data'!G347,FIND("/",'Main Project Raw Data'!G347)+1,2)),DATE(RIGHT('Main Project Raw Data'!G347,4),MID('Main Project Raw Data'!G347,4,2),LEFT('Main Project Raw Data'!G347,2))))</f>
        <v>44102</v>
      </c>
      <c r="H347" s="3">
        <f>IF(Table1[[#This Row],[Salary]]="",AVERAGE(Table1[Salary]),Table1[[#This Row],[Salary]])</f>
        <v>56110.81</v>
      </c>
      <c r="I347" s="3" t="s">
        <v>35</v>
      </c>
      <c r="J347" s="3">
        <f>ABS(Table1[[#This Row],[Phone]])</f>
        <v>7279103367</v>
      </c>
      <c r="K347" s="3" t="str">
        <f>PROPER(TRIM(Table1[[#This Row],[Performance_Score]]))</f>
        <v>Good</v>
      </c>
      <c r="L347" s="3" t="b">
        <f>Table1[[#This Row],[Remote_Work]]</f>
        <v>0</v>
      </c>
      <c r="M347" s="3" t="str">
        <f>PROPER(CONCATENATE(Table13[[#This Row],[First_Name]], Table13[[#This Row],[Last_Name]]))</f>
        <v>Evadavis</v>
      </c>
      <c r="N347" s="3" t="str">
        <f t="shared" si="5"/>
        <v>Sep</v>
      </c>
      <c r="O347" s="3" t="str">
        <f>TEXT(Table13[[#This Row],[Join_Date]],"yyyy")</f>
        <v>2020</v>
      </c>
      <c r="P347" s="3" t="str">
        <f>LEFT('Main Project Raw Data'!E347,FIND("-",'Main Project Raw Data'!E347)-1)</f>
        <v>HR</v>
      </c>
      <c r="Q347" s="3" t="str">
        <f>RIGHT('Main Project Raw Data'!E347,LEN('Main Project Raw Data'!E347)-FIND("-",'Main Project Raw Data'!E347))</f>
        <v>California</v>
      </c>
    </row>
    <row r="348" spans="1:17" x14ac:dyDescent="0.3">
      <c r="A348" s="3" t="str">
        <f>TRIM(Table1[[#This Row],[Employee_ID]])</f>
        <v>EMP1346</v>
      </c>
      <c r="B348" s="3" t="str">
        <f>TRIM(Table1[[#This Row],[First_Name]])</f>
        <v>Grace</v>
      </c>
      <c r="C348" s="3" t="str">
        <f>TRIM(Table1[[#This Row],[Last_Name]])</f>
        <v>Williams</v>
      </c>
      <c r="D348" s="3">
        <f>IF(Table1[[#This Row],[Age]]="",AVERAGE(Table1[Age]),Table1[[#This Row],[Age]])</f>
        <v>25</v>
      </c>
      <c r="E348" s="3" t="s">
        <v>159</v>
      </c>
      <c r="F348" s="3" t="s">
        <v>33</v>
      </c>
      <c r="G348" s="5">
        <f>IF(ISNUMBER('Main Project Raw Data'!G348),'Main Project Raw Data'!G348,IF(ISNUMBER(SEARCH("/",'Main Project Raw Data'!G348)),DATE(RIGHT('Main Project Raw Data'!G348,4),LEFT('Main Project Raw Data'!G348,FIND("/",'Main Project Raw Data'!G348)-1),MID('Main Project Raw Data'!G348,FIND("/",'Main Project Raw Data'!G348)+1,2)),DATE(RIGHT('Main Project Raw Data'!G348,4),MID('Main Project Raw Data'!G348,4,2),LEFT('Main Project Raw Data'!G348,2))))</f>
        <v>45171</v>
      </c>
      <c r="H348" s="3">
        <f>IF(Table1[[#This Row],[Salary]]="",AVERAGE(Table1[Salary]),Table1[[#This Row],[Salary]])</f>
        <v>56514.5</v>
      </c>
      <c r="I348" s="3" t="s">
        <v>71</v>
      </c>
      <c r="J348" s="3">
        <f>ABS(Table1[[#This Row],[Phone]])</f>
        <v>2963533904</v>
      </c>
      <c r="K348" s="3" t="str">
        <f>PROPER(TRIM(Table1[[#This Row],[Performance_Score]]))</f>
        <v>Average</v>
      </c>
      <c r="L348" s="3" t="b">
        <f>Table1[[#This Row],[Remote_Work]]</f>
        <v>0</v>
      </c>
      <c r="M348" s="3" t="str">
        <f>PROPER(CONCATENATE(Table13[[#This Row],[First_Name]], Table13[[#This Row],[Last_Name]]))</f>
        <v>Gracewilliams</v>
      </c>
      <c r="N348" s="3" t="str">
        <f t="shared" si="5"/>
        <v>Sep</v>
      </c>
      <c r="O348" s="3" t="str">
        <f>TEXT(Table13[[#This Row],[Join_Date]],"yyyy")</f>
        <v>2023</v>
      </c>
      <c r="P348" s="3" t="str">
        <f>LEFT('Main Project Raw Data'!E348,FIND("-",'Main Project Raw Data'!E348)-1)</f>
        <v>Cloud Tech</v>
      </c>
      <c r="Q348" s="3" t="str">
        <f>RIGHT('Main Project Raw Data'!E348,LEN('Main Project Raw Data'!E348)-FIND("-",'Main Project Raw Data'!E348))</f>
        <v>Texas</v>
      </c>
    </row>
    <row r="349" spans="1:17" x14ac:dyDescent="0.3">
      <c r="A349" s="3" t="str">
        <f>TRIM(Table1[[#This Row],[Employee_ID]])</f>
        <v>EMP1347</v>
      </c>
      <c r="B349" s="3" t="str">
        <f>TRIM(Table1[[#This Row],[First_Name]])</f>
        <v>Frank</v>
      </c>
      <c r="C349" s="3" t="str">
        <f>TRIM(Table1[[#This Row],[Last_Name]])</f>
        <v>Brown</v>
      </c>
      <c r="D349" s="3">
        <f>IF(Table1[[#This Row],[Age]]="",AVERAGE(Table1[Age]),Table1[[#This Row],[Age]])</f>
        <v>40</v>
      </c>
      <c r="E349" s="3" t="s">
        <v>268</v>
      </c>
      <c r="F349" s="3" t="s">
        <v>33</v>
      </c>
      <c r="G349" s="5">
        <f>IF(ISNUMBER('Main Project Raw Data'!G349),'Main Project Raw Data'!G349,IF(ISNUMBER(SEARCH("/",'Main Project Raw Data'!G349)),DATE(RIGHT('Main Project Raw Data'!G349,4),LEFT('Main Project Raw Data'!G349,FIND("/",'Main Project Raw Data'!G349)-1),MID('Main Project Raw Data'!G349,FIND("/",'Main Project Raw Data'!G349)+1,2)),DATE(RIGHT('Main Project Raw Data'!G349,4),MID('Main Project Raw Data'!G349,4,2),LEFT('Main Project Raw Data'!G349,2))))</f>
        <v>44684</v>
      </c>
      <c r="H349" s="3">
        <f>IF(Table1[[#This Row],[Salary]]="",AVERAGE(Table1[Salary]),Table1[[#This Row],[Salary]])</f>
        <v>104541.84</v>
      </c>
      <c r="I349" s="3" t="s">
        <v>239</v>
      </c>
      <c r="J349" s="3">
        <f>ABS(Table1[[#This Row],[Phone]])</f>
        <v>5044817765</v>
      </c>
      <c r="K349" s="3" t="str">
        <f>PROPER(TRIM(Table1[[#This Row],[Performance_Score]]))</f>
        <v>Good</v>
      </c>
      <c r="L349" s="3" t="b">
        <f>Table1[[#This Row],[Remote_Work]]</f>
        <v>0</v>
      </c>
      <c r="M349" s="3" t="str">
        <f>PROPER(CONCATENATE(Table13[[#This Row],[First_Name]], Table13[[#This Row],[Last_Name]]))</f>
        <v>Frankbrown</v>
      </c>
      <c r="N349" s="3" t="str">
        <f t="shared" si="5"/>
        <v>May</v>
      </c>
      <c r="O349" s="3" t="str">
        <f>TEXT(Table13[[#This Row],[Join_Date]],"yyyy")</f>
        <v>2022</v>
      </c>
      <c r="P349" s="3" t="str">
        <f>LEFT('Main Project Raw Data'!E349,FIND("-",'Main Project Raw Data'!E349)-1)</f>
        <v>Cloud Tech</v>
      </c>
      <c r="Q349" s="3" t="str">
        <f>RIGHT('Main Project Raw Data'!E349,LEN('Main Project Raw Data'!E349)-FIND("-",'Main Project Raw Data'!E349))</f>
        <v>California</v>
      </c>
    </row>
    <row r="350" spans="1:17" x14ac:dyDescent="0.3">
      <c r="A350" s="3" t="str">
        <f>TRIM(Table1[[#This Row],[Employee_ID]])</f>
        <v>EMP1348</v>
      </c>
      <c r="B350" s="3" t="str">
        <f>TRIM(Table1[[#This Row],[First_Name]])</f>
        <v>David</v>
      </c>
      <c r="C350" s="3" t="str">
        <f>TRIM(Table1[[#This Row],[Last_Name]])</f>
        <v>Garcia</v>
      </c>
      <c r="D350" s="3">
        <f>IF(Table1[[#This Row],[Age]]="",AVERAGE(Table1[Age]),Table1[[#This Row],[Age]])</f>
        <v>32.484548825710753</v>
      </c>
      <c r="E350" s="3" t="s">
        <v>109</v>
      </c>
      <c r="F350" s="3" t="s">
        <v>28</v>
      </c>
      <c r="G350" s="5">
        <f>IF(ISNUMBER('Main Project Raw Data'!G350),'Main Project Raw Data'!G350,IF(ISNUMBER(SEARCH("/",'Main Project Raw Data'!G350)),DATE(RIGHT('Main Project Raw Data'!G350,4),LEFT('Main Project Raw Data'!G350,FIND("/",'Main Project Raw Data'!G350)-1),MID('Main Project Raw Data'!G350,FIND("/",'Main Project Raw Data'!G350)+1,2)),DATE(RIGHT('Main Project Raw Data'!G350,4),MID('Main Project Raw Data'!G350,4,2),LEFT('Main Project Raw Data'!G350,2))))</f>
        <v>44610</v>
      </c>
      <c r="H350" s="3">
        <f>IF(Table1[[#This Row],[Salary]]="",AVERAGE(Table1[Salary]),Table1[[#This Row],[Salary]])</f>
        <v>61865.120000000003</v>
      </c>
      <c r="I350" s="3" t="s">
        <v>101</v>
      </c>
      <c r="J350" s="3">
        <f>ABS(Table1[[#This Row],[Phone]])</f>
        <v>5586851275</v>
      </c>
      <c r="K350" s="3" t="str">
        <f>PROPER(TRIM(Table1[[#This Row],[Performance_Score]]))</f>
        <v>Excellent</v>
      </c>
      <c r="L350" s="3" t="b">
        <f>Table1[[#This Row],[Remote_Work]]</f>
        <v>1</v>
      </c>
      <c r="M350" s="3" t="str">
        <f>PROPER(CONCATENATE(Table13[[#This Row],[First_Name]], Table13[[#This Row],[Last_Name]]))</f>
        <v>Davidgarcia</v>
      </c>
      <c r="N350" s="3" t="str">
        <f t="shared" si="5"/>
        <v>Feb</v>
      </c>
      <c r="O350" s="3" t="str">
        <f>TEXT(Table13[[#This Row],[Join_Date]],"yyyy")</f>
        <v>2022</v>
      </c>
      <c r="P350" s="3" t="str">
        <f>LEFT('Main Project Raw Data'!E350,FIND("-",'Main Project Raw Data'!E350)-1)</f>
        <v>Sales</v>
      </c>
      <c r="Q350" s="3" t="str">
        <f>RIGHT('Main Project Raw Data'!E350,LEN('Main Project Raw Data'!E350)-FIND("-",'Main Project Raw Data'!E350))</f>
        <v>New York</v>
      </c>
    </row>
    <row r="351" spans="1:17" x14ac:dyDescent="0.3">
      <c r="A351" s="3" t="str">
        <f>TRIM(Table1[[#This Row],[Employee_ID]])</f>
        <v>EMP1349</v>
      </c>
      <c r="B351" s="3" t="str">
        <f>TRIM(Table1[[#This Row],[First_Name]])</f>
        <v>Eva</v>
      </c>
      <c r="C351" s="3" t="str">
        <f>TRIM(Table1[[#This Row],[Last_Name]])</f>
        <v>Davis</v>
      </c>
      <c r="D351" s="3">
        <f>IF(Table1[[#This Row],[Age]]="",AVERAGE(Table1[Age]),Table1[[#This Row],[Age]])</f>
        <v>40</v>
      </c>
      <c r="E351" s="3" t="s">
        <v>103</v>
      </c>
      <c r="F351" s="3" t="s">
        <v>16</v>
      </c>
      <c r="G351" s="5">
        <f>IF(ISNUMBER('Main Project Raw Data'!G351),'Main Project Raw Data'!G351,IF(ISNUMBER(SEARCH("/",'Main Project Raw Data'!G351)),DATE(RIGHT('Main Project Raw Data'!G351,4),LEFT('Main Project Raw Data'!G351,FIND("/",'Main Project Raw Data'!G351)-1),MID('Main Project Raw Data'!G351,FIND("/",'Main Project Raw Data'!G351)+1,2)),DATE(RIGHT('Main Project Raw Data'!G351,4),MID('Main Project Raw Data'!G351,4,2),LEFT('Main Project Raw Data'!G351,2))))</f>
        <v>44810</v>
      </c>
      <c r="H351" s="3">
        <f>IF(Table1[[#This Row],[Salary]]="",AVERAGE(Table1[Salary]),Table1[[#This Row],[Salary]])</f>
        <v>69317.33</v>
      </c>
      <c r="I351" s="3" t="s">
        <v>35</v>
      </c>
      <c r="J351" s="3">
        <f>ABS(Table1[[#This Row],[Phone]])</f>
        <v>5289286645</v>
      </c>
      <c r="K351" s="3" t="str">
        <f>PROPER(TRIM(Table1[[#This Row],[Performance_Score]]))</f>
        <v>Good</v>
      </c>
      <c r="L351" s="3" t="b">
        <f>Table1[[#This Row],[Remote_Work]]</f>
        <v>0</v>
      </c>
      <c r="M351" s="3" t="str">
        <f>PROPER(CONCATENATE(Table13[[#This Row],[First_Name]], Table13[[#This Row],[Last_Name]]))</f>
        <v>Evadavis</v>
      </c>
      <c r="N351" s="3" t="str">
        <f t="shared" si="5"/>
        <v>Sep</v>
      </c>
      <c r="O351" s="3" t="str">
        <f>TEXT(Table13[[#This Row],[Join_Date]],"yyyy")</f>
        <v>2022</v>
      </c>
      <c r="P351" s="3" t="str">
        <f>LEFT('Main Project Raw Data'!E351,FIND("-",'Main Project Raw Data'!E351)-1)</f>
        <v>Admin</v>
      </c>
      <c r="Q351" s="3" t="str">
        <f>RIGHT('Main Project Raw Data'!E351,LEN('Main Project Raw Data'!E351)-FIND("-",'Main Project Raw Data'!E351))</f>
        <v>Texas</v>
      </c>
    </row>
    <row r="352" spans="1:17" x14ac:dyDescent="0.3">
      <c r="A352" s="3" t="str">
        <f>TRIM(Table1[[#This Row],[Employee_ID]])</f>
        <v>EMP1350</v>
      </c>
      <c r="B352" s="3" t="str">
        <f>TRIM(Table1[[#This Row],[First_Name]])</f>
        <v>Bob</v>
      </c>
      <c r="C352" s="3" t="str">
        <f>TRIM(Table1[[#This Row],[Last_Name]])</f>
        <v>Brown</v>
      </c>
      <c r="D352" s="3">
        <f>IF(Table1[[#This Row],[Age]]="",AVERAGE(Table1[Age]),Table1[[#This Row],[Age]])</f>
        <v>35</v>
      </c>
      <c r="E352" s="3" t="s">
        <v>66</v>
      </c>
      <c r="F352" s="3" t="s">
        <v>28</v>
      </c>
      <c r="G352" s="5">
        <f>IF(ISNUMBER('Main Project Raw Data'!G352),'Main Project Raw Data'!G352,IF(ISNUMBER(SEARCH("/",'Main Project Raw Data'!G352)),DATE(RIGHT('Main Project Raw Data'!G352,4),LEFT('Main Project Raw Data'!G352,FIND("/",'Main Project Raw Data'!G352)-1),MID('Main Project Raw Data'!G352,FIND("/",'Main Project Raw Data'!G352)+1,2)),DATE(RIGHT('Main Project Raw Data'!G352,4),MID('Main Project Raw Data'!G352,4,2),LEFT('Main Project Raw Data'!G352,2))))</f>
        <v>45023</v>
      </c>
      <c r="H352" s="3">
        <f>IF(Table1[[#This Row],[Salary]]="",AVERAGE(Table1[Salary]),Table1[[#This Row],[Salary]])</f>
        <v>84706.17</v>
      </c>
      <c r="I352" s="3" t="s">
        <v>22</v>
      </c>
      <c r="J352" s="3">
        <f>ABS(Table1[[#This Row],[Phone]])</f>
        <v>4911110960</v>
      </c>
      <c r="K352" s="3" t="str">
        <f>PROPER(TRIM(Table1[[#This Row],[Performance_Score]]))</f>
        <v>Average</v>
      </c>
      <c r="L352" s="3" t="b">
        <f>Table1[[#This Row],[Remote_Work]]</f>
        <v>0</v>
      </c>
      <c r="M352" s="3" t="str">
        <f>PROPER(CONCATENATE(Table13[[#This Row],[First_Name]], Table13[[#This Row],[Last_Name]]))</f>
        <v>Bobbrown</v>
      </c>
      <c r="N352" s="3" t="str">
        <f t="shared" si="5"/>
        <v>Apr</v>
      </c>
      <c r="O352" s="3" t="str">
        <f>TEXT(Table13[[#This Row],[Join_Date]],"yyyy")</f>
        <v>2023</v>
      </c>
      <c r="P352" s="3" t="str">
        <f>LEFT('Main Project Raw Data'!E352,FIND("-",'Main Project Raw Data'!E352)-1)</f>
        <v>HR</v>
      </c>
      <c r="Q352" s="3" t="str">
        <f>RIGHT('Main Project Raw Data'!E352,LEN('Main Project Raw Data'!E352)-FIND("-",'Main Project Raw Data'!E352))</f>
        <v>New York</v>
      </c>
    </row>
    <row r="353" spans="1:17" x14ac:dyDescent="0.3">
      <c r="A353" s="3" t="str">
        <f>TRIM(Table1[[#This Row],[Employee_ID]])</f>
        <v>EMP1351</v>
      </c>
      <c r="B353" s="3" t="str">
        <f>TRIM(Table1[[#This Row],[First_Name]])</f>
        <v>Heidi</v>
      </c>
      <c r="C353" s="3" t="str">
        <f>TRIM(Table1[[#This Row],[Last_Name]])</f>
        <v>Smith</v>
      </c>
      <c r="D353" s="3">
        <f>IF(Table1[[#This Row],[Age]]="",AVERAGE(Table1[Age]),Table1[[#This Row],[Age]])</f>
        <v>25</v>
      </c>
      <c r="E353" s="3" t="s">
        <v>118</v>
      </c>
      <c r="F353" s="3" t="s">
        <v>16</v>
      </c>
      <c r="G353" s="5">
        <f>IF(ISNUMBER('Main Project Raw Data'!G353),'Main Project Raw Data'!G353,IF(ISNUMBER(SEARCH("/",'Main Project Raw Data'!G353)),DATE(RIGHT('Main Project Raw Data'!G353,4),LEFT('Main Project Raw Data'!G353,FIND("/",'Main Project Raw Data'!G353)-1),MID('Main Project Raw Data'!G353,FIND("/",'Main Project Raw Data'!G353)+1,2)),DATE(RIGHT('Main Project Raw Data'!G353,4),MID('Main Project Raw Data'!G353,4,2),LEFT('Main Project Raw Data'!G353,2))))</f>
        <v>44641</v>
      </c>
      <c r="H353" s="3">
        <f>IF(Table1[[#This Row],[Salary]]="",AVERAGE(Table1[Salary]),Table1[[#This Row],[Salary]])</f>
        <v>73255.210000000006</v>
      </c>
      <c r="I353" s="3" t="s">
        <v>366</v>
      </c>
      <c r="J353" s="3">
        <f>ABS(Table1[[#This Row],[Phone]])</f>
        <v>7981789045</v>
      </c>
      <c r="K353" s="3" t="str">
        <f>PROPER(TRIM(Table1[[#This Row],[Performance_Score]]))</f>
        <v>Average</v>
      </c>
      <c r="L353" s="3" t="b">
        <f>Table1[[#This Row],[Remote_Work]]</f>
        <v>0</v>
      </c>
      <c r="M353" s="3" t="str">
        <f>PROPER(CONCATENATE(Table13[[#This Row],[First_Name]], Table13[[#This Row],[Last_Name]]))</f>
        <v>Heidismith</v>
      </c>
      <c r="N353" s="3" t="str">
        <f t="shared" si="5"/>
        <v>Mar</v>
      </c>
      <c r="O353" s="3" t="str">
        <f>TEXT(Table13[[#This Row],[Join_Date]],"yyyy")</f>
        <v>2022</v>
      </c>
      <c r="P353" s="3" t="str">
        <f>LEFT('Main Project Raw Data'!E353,FIND("-",'Main Project Raw Data'!E353)-1)</f>
        <v>Admin</v>
      </c>
      <c r="Q353" s="3" t="str">
        <f>RIGHT('Main Project Raw Data'!E353,LEN('Main Project Raw Data'!E353)-FIND("-",'Main Project Raw Data'!E353))</f>
        <v>California</v>
      </c>
    </row>
    <row r="354" spans="1:17" x14ac:dyDescent="0.3">
      <c r="A354" s="3" t="str">
        <f>TRIM(Table1[[#This Row],[Employee_ID]])</f>
        <v>EMP1352</v>
      </c>
      <c r="B354" s="3" t="str">
        <f>TRIM(Table1[[#This Row],[First_Name]])</f>
        <v>Frank</v>
      </c>
      <c r="C354" s="3" t="str">
        <f>TRIM(Table1[[#This Row],[Last_Name]])</f>
        <v>Smith</v>
      </c>
      <c r="D354" s="3">
        <f>IF(Table1[[#This Row],[Age]]="",AVERAGE(Table1[Age]),Table1[[#This Row],[Age]])</f>
        <v>40</v>
      </c>
      <c r="E354" s="3" t="s">
        <v>212</v>
      </c>
      <c r="F354" s="3" t="s">
        <v>28</v>
      </c>
      <c r="G354" s="5">
        <f>IF(ISNUMBER('Main Project Raw Data'!G354),'Main Project Raw Data'!G354,IF(ISNUMBER(SEARCH("/",'Main Project Raw Data'!G354)),DATE(RIGHT('Main Project Raw Data'!G354,4),LEFT('Main Project Raw Data'!G354,FIND("/",'Main Project Raw Data'!G354)-1),MID('Main Project Raw Data'!G354,FIND("/",'Main Project Raw Data'!G354)+1,2)),DATE(RIGHT('Main Project Raw Data'!G354,4),MID('Main Project Raw Data'!G354,4,2),LEFT('Main Project Raw Data'!G354,2))))</f>
        <v>44962</v>
      </c>
      <c r="H354" s="3">
        <f>IF(Table1[[#This Row],[Salary]]="",AVERAGE(Table1[Salary]),Table1[[#This Row],[Salary]])</f>
        <v>59528.71</v>
      </c>
      <c r="I354" s="3" t="s">
        <v>137</v>
      </c>
      <c r="J354" s="3">
        <f>ABS(Table1[[#This Row],[Phone]])</f>
        <v>3378613714</v>
      </c>
      <c r="K354" s="3" t="str">
        <f>PROPER(TRIM(Table1[[#This Row],[Performance_Score]]))</f>
        <v>Poor</v>
      </c>
      <c r="L354" s="3" t="b">
        <f>Table1[[#This Row],[Remote_Work]]</f>
        <v>0</v>
      </c>
      <c r="M354" s="3" t="str">
        <f>PROPER(CONCATENATE(Table13[[#This Row],[First_Name]], Table13[[#This Row],[Last_Name]]))</f>
        <v>Franksmith</v>
      </c>
      <c r="N354" s="3" t="str">
        <f t="shared" si="5"/>
        <v>Feb</v>
      </c>
      <c r="O354" s="3" t="str">
        <f>TEXT(Table13[[#This Row],[Join_Date]],"yyyy")</f>
        <v>2023</v>
      </c>
      <c r="P354" s="3" t="str">
        <f>LEFT('Main Project Raw Data'!E354,FIND("-",'Main Project Raw Data'!E354)-1)</f>
        <v>HR</v>
      </c>
      <c r="Q354" s="3" t="str">
        <f>RIGHT('Main Project Raw Data'!E354,LEN('Main Project Raw Data'!E354)-FIND("-",'Main Project Raw Data'!E354))</f>
        <v>Florida</v>
      </c>
    </row>
    <row r="355" spans="1:17" x14ac:dyDescent="0.3">
      <c r="A355" s="3" t="str">
        <f>TRIM(Table1[[#This Row],[Employee_ID]])</f>
        <v>EMP1353</v>
      </c>
      <c r="B355" s="3" t="str">
        <f>TRIM(Table1[[#This Row],[First_Name]])</f>
        <v>David</v>
      </c>
      <c r="C355" s="3" t="str">
        <f>TRIM(Table1[[#This Row],[Last_Name]])</f>
        <v>Garcia</v>
      </c>
      <c r="D355" s="3">
        <f>IF(Table1[[#This Row],[Age]]="",AVERAGE(Table1[Age]),Table1[[#This Row],[Age]])</f>
        <v>40</v>
      </c>
      <c r="E355" s="3" t="s">
        <v>66</v>
      </c>
      <c r="F355" s="3" t="s">
        <v>33</v>
      </c>
      <c r="G355" s="5">
        <f>IF(ISNUMBER('Main Project Raw Data'!G355),'Main Project Raw Data'!G355,IF(ISNUMBER(SEARCH("/",'Main Project Raw Data'!G355)),DATE(RIGHT('Main Project Raw Data'!G355,4),LEFT('Main Project Raw Data'!G355,FIND("/",'Main Project Raw Data'!G355)-1),MID('Main Project Raw Data'!G355,FIND("/",'Main Project Raw Data'!G355)+1,2)),DATE(RIGHT('Main Project Raw Data'!G355,4),MID('Main Project Raw Data'!G355,4,2),LEFT('Main Project Raw Data'!G355,2))))</f>
        <v>44484</v>
      </c>
      <c r="H355" s="3">
        <f>IF(Table1[[#This Row],[Salary]]="",AVERAGE(Table1[Salary]),Table1[[#This Row],[Salary]])</f>
        <v>70401.37</v>
      </c>
      <c r="I355" s="3" t="s">
        <v>101</v>
      </c>
      <c r="J355" s="3">
        <f>ABS(Table1[[#This Row],[Phone]])</f>
        <v>7660538443</v>
      </c>
      <c r="K355" s="3" t="str">
        <f>PROPER(TRIM(Table1[[#This Row],[Performance_Score]]))</f>
        <v>Good</v>
      </c>
      <c r="L355" s="3" t="b">
        <f>Table1[[#This Row],[Remote_Work]]</f>
        <v>1</v>
      </c>
      <c r="M355" s="3" t="str">
        <f>PROPER(CONCATENATE(Table13[[#This Row],[First_Name]], Table13[[#This Row],[Last_Name]]))</f>
        <v>Davidgarcia</v>
      </c>
      <c r="N355" s="3" t="str">
        <f t="shared" si="5"/>
        <v>Oct</v>
      </c>
      <c r="O355" s="3" t="str">
        <f>TEXT(Table13[[#This Row],[Join_Date]],"yyyy")</f>
        <v>2021</v>
      </c>
      <c r="P355" s="3" t="str">
        <f>LEFT('Main Project Raw Data'!E355,FIND("-",'Main Project Raw Data'!E355)-1)</f>
        <v>HR</v>
      </c>
      <c r="Q355" s="3" t="str">
        <f>RIGHT('Main Project Raw Data'!E355,LEN('Main Project Raw Data'!E355)-FIND("-",'Main Project Raw Data'!E355))</f>
        <v>New York</v>
      </c>
    </row>
    <row r="356" spans="1:17" x14ac:dyDescent="0.3">
      <c r="A356" s="3" t="str">
        <f>TRIM(Table1[[#This Row],[Employee_ID]])</f>
        <v>EMP1354</v>
      </c>
      <c r="B356" s="3" t="str">
        <f>TRIM(Table1[[#This Row],[First_Name]])</f>
        <v>Heidi</v>
      </c>
      <c r="C356" s="3" t="str">
        <f>TRIM(Table1[[#This Row],[Last_Name]])</f>
        <v>Garcia</v>
      </c>
      <c r="D356" s="3">
        <f>IF(Table1[[#This Row],[Age]]="",AVERAGE(Table1[Age]),Table1[[#This Row],[Age]])</f>
        <v>32.484548825710753</v>
      </c>
      <c r="E356" s="3" t="s">
        <v>118</v>
      </c>
      <c r="F356" s="3" t="s">
        <v>33</v>
      </c>
      <c r="G356" s="5">
        <f>IF(ISNUMBER('Main Project Raw Data'!G356),'Main Project Raw Data'!G356,IF(ISNUMBER(SEARCH("/",'Main Project Raw Data'!G356)),DATE(RIGHT('Main Project Raw Data'!G356,4),LEFT('Main Project Raw Data'!G356,FIND("/",'Main Project Raw Data'!G356)-1),MID('Main Project Raw Data'!G356,FIND("/",'Main Project Raw Data'!G356)+1,2)),DATE(RIGHT('Main Project Raw Data'!G356,4),MID('Main Project Raw Data'!G356,4,2),LEFT('Main Project Raw Data'!G356,2))))</f>
        <v>44405</v>
      </c>
      <c r="H356" s="3">
        <f>IF(Table1[[#This Row],[Salary]]="",AVERAGE(Table1[Salary]),Table1[[#This Row],[Salary]])</f>
        <v>107154.62</v>
      </c>
      <c r="I356" s="3" t="s">
        <v>257</v>
      </c>
      <c r="J356" s="3">
        <f>ABS(Table1[[#This Row],[Phone]])</f>
        <v>4630600024</v>
      </c>
      <c r="K356" s="3" t="str">
        <f>PROPER(TRIM(Table1[[#This Row],[Performance_Score]]))</f>
        <v>Average</v>
      </c>
      <c r="L356" s="3" t="b">
        <f>Table1[[#This Row],[Remote_Work]]</f>
        <v>1</v>
      </c>
      <c r="M356" s="3" t="str">
        <f>PROPER(CONCATENATE(Table13[[#This Row],[First_Name]], Table13[[#This Row],[Last_Name]]))</f>
        <v>Heidigarcia</v>
      </c>
      <c r="N356" s="3" t="str">
        <f t="shared" si="5"/>
        <v>Jul</v>
      </c>
      <c r="O356" s="3" t="str">
        <f>TEXT(Table13[[#This Row],[Join_Date]],"yyyy")</f>
        <v>2021</v>
      </c>
      <c r="P356" s="3" t="str">
        <f>LEFT('Main Project Raw Data'!E356,FIND("-",'Main Project Raw Data'!E356)-1)</f>
        <v>Admin</v>
      </c>
      <c r="Q356" s="3" t="str">
        <f>RIGHT('Main Project Raw Data'!E356,LEN('Main Project Raw Data'!E356)-FIND("-",'Main Project Raw Data'!E356))</f>
        <v>California</v>
      </c>
    </row>
    <row r="357" spans="1:17" x14ac:dyDescent="0.3">
      <c r="A357" s="3" t="str">
        <f>TRIM(Table1[[#This Row],[Employee_ID]])</f>
        <v>EMP1355</v>
      </c>
      <c r="B357" s="3" t="str">
        <f>TRIM(Table1[[#This Row],[First_Name]])</f>
        <v>Bob</v>
      </c>
      <c r="C357" s="3" t="str">
        <f>TRIM(Table1[[#This Row],[Last_Name]])</f>
        <v>Davis</v>
      </c>
      <c r="D357" s="3">
        <f>IF(Table1[[#This Row],[Age]]="",AVERAGE(Table1[Age]),Table1[[#This Row],[Age]])</f>
        <v>32.484548825710753</v>
      </c>
      <c r="E357" s="3" t="s">
        <v>89</v>
      </c>
      <c r="F357" s="3" t="s">
        <v>28</v>
      </c>
      <c r="G357" s="5">
        <f>IF(ISNUMBER('Main Project Raw Data'!G357),'Main Project Raw Data'!G357,IF(ISNUMBER(SEARCH("/",'Main Project Raw Data'!G357)),DATE(RIGHT('Main Project Raw Data'!G357,4),LEFT('Main Project Raw Data'!G357,FIND("/",'Main Project Raw Data'!G357)-1),MID('Main Project Raw Data'!G357,FIND("/",'Main Project Raw Data'!G357)+1,2)),DATE(RIGHT('Main Project Raw Data'!G357,4),MID('Main Project Raw Data'!G357,4,2),LEFT('Main Project Raw Data'!G357,2))))</f>
        <v>44256</v>
      </c>
      <c r="H357" s="3">
        <f>IF(Table1[[#This Row],[Salary]]="",AVERAGE(Table1[Salary]),Table1[[#This Row],[Salary]])</f>
        <v>97719.88</v>
      </c>
      <c r="I357" s="3" t="s">
        <v>17</v>
      </c>
      <c r="J357" s="3">
        <f>ABS(Table1[[#This Row],[Phone]])</f>
        <v>8955296385</v>
      </c>
      <c r="K357" s="3" t="str">
        <f>PROPER(TRIM(Table1[[#This Row],[Performance_Score]]))</f>
        <v>Excellent</v>
      </c>
      <c r="L357" s="3" t="b">
        <f>Table1[[#This Row],[Remote_Work]]</f>
        <v>0</v>
      </c>
      <c r="M357" s="3" t="str">
        <f>PROPER(CONCATENATE(Table13[[#This Row],[First_Name]], Table13[[#This Row],[Last_Name]]))</f>
        <v>Bobdavis</v>
      </c>
      <c r="N357" s="3" t="str">
        <f t="shared" si="5"/>
        <v>Mar</v>
      </c>
      <c r="O357" s="3" t="str">
        <f>TEXT(Table13[[#This Row],[Join_Date]],"yyyy")</f>
        <v>2021</v>
      </c>
      <c r="P357" s="3" t="str">
        <f>LEFT('Main Project Raw Data'!E357,FIND("-",'Main Project Raw Data'!E357)-1)</f>
        <v>Admin</v>
      </c>
      <c r="Q357" s="3" t="str">
        <f>RIGHT('Main Project Raw Data'!E357,LEN('Main Project Raw Data'!E357)-FIND("-",'Main Project Raw Data'!E357))</f>
        <v>Illinois</v>
      </c>
    </row>
    <row r="358" spans="1:17" x14ac:dyDescent="0.3">
      <c r="A358" s="3" t="str">
        <f>TRIM(Table1[[#This Row],[Employee_ID]])</f>
        <v>EMP1356</v>
      </c>
      <c r="B358" s="3" t="str">
        <f>TRIM(Table1[[#This Row],[First_Name]])</f>
        <v>Heidi</v>
      </c>
      <c r="C358" s="3" t="str">
        <f>TRIM(Table1[[#This Row],[Last_Name]])</f>
        <v>Johnson</v>
      </c>
      <c r="D358" s="3">
        <f>IF(Table1[[#This Row],[Age]]="",AVERAGE(Table1[Age]),Table1[[#This Row],[Age]])</f>
        <v>30</v>
      </c>
      <c r="E358" s="3" t="s">
        <v>70</v>
      </c>
      <c r="F358" s="3" t="s">
        <v>28</v>
      </c>
      <c r="G358" s="5">
        <f>IF(ISNUMBER('Main Project Raw Data'!G358),'Main Project Raw Data'!G358,IF(ISNUMBER(SEARCH("/",'Main Project Raw Data'!G358)),DATE(RIGHT('Main Project Raw Data'!G358,4),LEFT('Main Project Raw Data'!G358,FIND("/",'Main Project Raw Data'!G358)-1),MID('Main Project Raw Data'!G358,FIND("/",'Main Project Raw Data'!G358)+1,2)),DATE(RIGHT('Main Project Raw Data'!G358,4),MID('Main Project Raw Data'!G358,4,2),LEFT('Main Project Raw Data'!G358,2))))</f>
        <v>43972</v>
      </c>
      <c r="H358" s="3">
        <f>IF(Table1[[#This Row],[Salary]]="",AVERAGE(Table1[Salary]),Table1[[#This Row],[Salary]])</f>
        <v>107327.59</v>
      </c>
      <c r="I358" s="3" t="s">
        <v>113</v>
      </c>
      <c r="J358" s="3">
        <f>ABS(Table1[[#This Row],[Phone]])</f>
        <v>3960962625</v>
      </c>
      <c r="K358" s="3" t="str">
        <f>PROPER(TRIM(Table1[[#This Row],[Performance_Score]]))</f>
        <v>Poor</v>
      </c>
      <c r="L358" s="3" t="b">
        <f>Table1[[#This Row],[Remote_Work]]</f>
        <v>0</v>
      </c>
      <c r="M358" s="3" t="str">
        <f>PROPER(CONCATENATE(Table13[[#This Row],[First_Name]], Table13[[#This Row],[Last_Name]]))</f>
        <v>Heidijohnson</v>
      </c>
      <c r="N358" s="3" t="str">
        <f t="shared" si="5"/>
        <v>May</v>
      </c>
      <c r="O358" s="3" t="str">
        <f>TEXT(Table13[[#This Row],[Join_Date]],"yyyy")</f>
        <v>2020</v>
      </c>
      <c r="P358" s="3" t="str">
        <f>LEFT('Main Project Raw Data'!E358,FIND("-",'Main Project Raw Data'!E358)-1)</f>
        <v>Finance</v>
      </c>
      <c r="Q358" s="3" t="str">
        <f>RIGHT('Main Project Raw Data'!E358,LEN('Main Project Raw Data'!E358)-FIND("-",'Main Project Raw Data'!E358))</f>
        <v>California</v>
      </c>
    </row>
    <row r="359" spans="1:17" x14ac:dyDescent="0.3">
      <c r="A359" s="3" t="str">
        <f>TRIM(Table1[[#This Row],[Employee_ID]])</f>
        <v>EMP1357</v>
      </c>
      <c r="B359" s="3" t="str">
        <f>TRIM(Table1[[#This Row],[First_Name]])</f>
        <v>Grace</v>
      </c>
      <c r="C359" s="3" t="str">
        <f>TRIM(Table1[[#This Row],[Last_Name]])</f>
        <v>Garcia</v>
      </c>
      <c r="D359" s="3">
        <f>IF(Table1[[#This Row],[Age]]="",AVERAGE(Table1[Age]),Table1[[#This Row],[Age]])</f>
        <v>40</v>
      </c>
      <c r="E359" s="3" t="s">
        <v>27</v>
      </c>
      <c r="F359" s="3" t="s">
        <v>33</v>
      </c>
      <c r="G359" s="5">
        <f>IF(ISNUMBER('Main Project Raw Data'!G359),'Main Project Raw Data'!G359,IF(ISNUMBER(SEARCH("/",'Main Project Raw Data'!G359)),DATE(RIGHT('Main Project Raw Data'!G359,4),LEFT('Main Project Raw Data'!G359,FIND("/",'Main Project Raw Data'!G359)-1),MID('Main Project Raw Data'!G359,FIND("/",'Main Project Raw Data'!G359)+1,2)),DATE(RIGHT('Main Project Raw Data'!G359,4),MID('Main Project Raw Data'!G359,4,2),LEFT('Main Project Raw Data'!G359,2))))</f>
        <v>44474</v>
      </c>
      <c r="H359" s="3">
        <f>IF(Table1[[#This Row],[Salary]]="",AVERAGE(Table1[Salary]),Table1[[#This Row],[Salary]])</f>
        <v>67687.72</v>
      </c>
      <c r="I359" s="3" t="s">
        <v>83</v>
      </c>
      <c r="J359" s="3">
        <f>ABS(Table1[[#This Row],[Phone]])</f>
        <v>5826312818</v>
      </c>
      <c r="K359" s="3" t="str">
        <f>PROPER(TRIM(Table1[[#This Row],[Performance_Score]]))</f>
        <v>Excellent</v>
      </c>
      <c r="L359" s="3" t="b">
        <f>Table1[[#This Row],[Remote_Work]]</f>
        <v>1</v>
      </c>
      <c r="M359" s="3" t="str">
        <f>PROPER(CONCATENATE(Table13[[#This Row],[First_Name]], Table13[[#This Row],[Last_Name]]))</f>
        <v>Gracegarcia</v>
      </c>
      <c r="N359" s="3" t="str">
        <f t="shared" si="5"/>
        <v>Oct</v>
      </c>
      <c r="O359" s="3" t="str">
        <f>TEXT(Table13[[#This Row],[Join_Date]],"yyyy")</f>
        <v>2021</v>
      </c>
      <c r="P359" s="3" t="str">
        <f>LEFT('Main Project Raw Data'!E359,FIND("-",'Main Project Raw Data'!E359)-1)</f>
        <v>Admin</v>
      </c>
      <c r="Q359" s="3" t="str">
        <f>RIGHT('Main Project Raw Data'!E359,LEN('Main Project Raw Data'!E359)-FIND("-",'Main Project Raw Data'!E359))</f>
        <v>Nevada</v>
      </c>
    </row>
    <row r="360" spans="1:17" x14ac:dyDescent="0.3">
      <c r="A360" s="3" t="str">
        <f>TRIM(Table1[[#This Row],[Employee_ID]])</f>
        <v>EMP1358</v>
      </c>
      <c r="B360" s="3" t="str">
        <f>TRIM(Table1[[#This Row],[First_Name]])</f>
        <v>Grace</v>
      </c>
      <c r="C360" s="3" t="str">
        <f>TRIM(Table1[[#This Row],[Last_Name]])</f>
        <v>Smith</v>
      </c>
      <c r="D360" s="3">
        <f>IF(Table1[[#This Row],[Age]]="",AVERAGE(Table1[Age]),Table1[[#This Row],[Age]])</f>
        <v>40</v>
      </c>
      <c r="E360" s="3" t="s">
        <v>39</v>
      </c>
      <c r="F360" s="3" t="s">
        <v>28</v>
      </c>
      <c r="G360" s="5">
        <f>IF(ISNUMBER('Main Project Raw Data'!G360),'Main Project Raw Data'!G360,IF(ISNUMBER(SEARCH("/",'Main Project Raw Data'!G360)),DATE(RIGHT('Main Project Raw Data'!G360,4),LEFT('Main Project Raw Data'!G360,FIND("/",'Main Project Raw Data'!G360)-1),MID('Main Project Raw Data'!G360,FIND("/",'Main Project Raw Data'!G360)+1,2)),DATE(RIGHT('Main Project Raw Data'!G360,4),MID('Main Project Raw Data'!G360,4,2),LEFT('Main Project Raw Data'!G360,2))))</f>
        <v>44782</v>
      </c>
      <c r="H360" s="3">
        <f>IF(Table1[[#This Row],[Salary]]="",AVERAGE(Table1[Salary]),Table1[[#This Row],[Salary]])</f>
        <v>90757.08</v>
      </c>
      <c r="I360" s="3" t="s">
        <v>135</v>
      </c>
      <c r="J360" s="3">
        <f>ABS(Table1[[#This Row],[Phone]])</f>
        <v>6482531105</v>
      </c>
      <c r="K360" s="3" t="str">
        <f>PROPER(TRIM(Table1[[#This Row],[Performance_Score]]))</f>
        <v>Good</v>
      </c>
      <c r="L360" s="3" t="b">
        <f>Table1[[#This Row],[Remote_Work]]</f>
        <v>1</v>
      </c>
      <c r="M360" s="3" t="str">
        <f>PROPER(CONCATENATE(Table13[[#This Row],[First_Name]], Table13[[#This Row],[Last_Name]]))</f>
        <v>Gracesmith</v>
      </c>
      <c r="N360" s="3" t="str">
        <f t="shared" si="5"/>
        <v>Aug</v>
      </c>
      <c r="O360" s="3" t="str">
        <f>TEXT(Table13[[#This Row],[Join_Date]],"yyyy")</f>
        <v>2022</v>
      </c>
      <c r="P360" s="3" t="str">
        <f>LEFT('Main Project Raw Data'!E360,FIND("-",'Main Project Raw Data'!E360)-1)</f>
        <v>Cloud Tech</v>
      </c>
      <c r="Q360" s="3" t="str">
        <f>RIGHT('Main Project Raw Data'!E360,LEN('Main Project Raw Data'!E360)-FIND("-",'Main Project Raw Data'!E360))</f>
        <v>Florida</v>
      </c>
    </row>
    <row r="361" spans="1:17" x14ac:dyDescent="0.3">
      <c r="A361" s="3" t="str">
        <f>TRIM(Table1[[#This Row],[Employee_ID]])</f>
        <v>EMP1359</v>
      </c>
      <c r="B361" s="3" t="str">
        <f>TRIM(Table1[[#This Row],[First_Name]])</f>
        <v>Grace</v>
      </c>
      <c r="C361" s="3" t="str">
        <f>TRIM(Table1[[#This Row],[Last_Name]])</f>
        <v>Williams</v>
      </c>
      <c r="D361" s="3">
        <f>IF(Table1[[#This Row],[Age]]="",AVERAGE(Table1[Age]),Table1[[#This Row],[Age]])</f>
        <v>32.484548825710753</v>
      </c>
      <c r="E361" s="3" t="s">
        <v>268</v>
      </c>
      <c r="F361" s="3" t="s">
        <v>28</v>
      </c>
      <c r="G361" s="5">
        <f>IF(ISNUMBER('Main Project Raw Data'!G361),'Main Project Raw Data'!G361,IF(ISNUMBER(SEARCH("/",'Main Project Raw Data'!G361)),DATE(RIGHT('Main Project Raw Data'!G361,4),LEFT('Main Project Raw Data'!G361,FIND("/",'Main Project Raw Data'!G361)-1),MID('Main Project Raw Data'!G361,FIND("/",'Main Project Raw Data'!G361)+1,2)),DATE(RIGHT('Main Project Raw Data'!G361,4),MID('Main Project Raw Data'!G361,4,2),LEFT('Main Project Raw Data'!G361,2))))</f>
        <v>45494</v>
      </c>
      <c r="H361" s="3">
        <f>IF(Table1[[#This Row],[Salary]]="",AVERAGE(Table1[Salary]),Table1[[#This Row],[Salary]])</f>
        <v>87583.42</v>
      </c>
      <c r="I361" s="3" t="s">
        <v>71</v>
      </c>
      <c r="J361" s="3">
        <f>ABS(Table1[[#This Row],[Phone]])</f>
        <v>920981959</v>
      </c>
      <c r="K361" s="3" t="str">
        <f>PROPER(TRIM(Table1[[#This Row],[Performance_Score]]))</f>
        <v>Good</v>
      </c>
      <c r="L361" s="3" t="b">
        <f>Table1[[#This Row],[Remote_Work]]</f>
        <v>0</v>
      </c>
      <c r="M361" s="3" t="str">
        <f>PROPER(CONCATENATE(Table13[[#This Row],[First_Name]], Table13[[#This Row],[Last_Name]]))</f>
        <v>Gracewilliams</v>
      </c>
      <c r="N361" s="3" t="str">
        <f t="shared" si="5"/>
        <v>Jul</v>
      </c>
      <c r="O361" s="3" t="str">
        <f>TEXT(Table13[[#This Row],[Join_Date]],"yyyy")</f>
        <v>2024</v>
      </c>
      <c r="P361" s="3" t="str">
        <f>LEFT('Main Project Raw Data'!E361,FIND("-",'Main Project Raw Data'!E361)-1)</f>
        <v>Cloud Tech</v>
      </c>
      <c r="Q361" s="3" t="str">
        <f>RIGHT('Main Project Raw Data'!E361,LEN('Main Project Raw Data'!E361)-FIND("-",'Main Project Raw Data'!E361))</f>
        <v>California</v>
      </c>
    </row>
    <row r="362" spans="1:17" x14ac:dyDescent="0.3">
      <c r="A362" s="3" t="str">
        <f>TRIM(Table1[[#This Row],[Employee_ID]])</f>
        <v>EMP1360</v>
      </c>
      <c r="B362" s="3" t="str">
        <f>TRIM(Table1[[#This Row],[First_Name]])</f>
        <v>Bob</v>
      </c>
      <c r="C362" s="3" t="str">
        <f>TRIM(Table1[[#This Row],[Last_Name]])</f>
        <v>Brown</v>
      </c>
      <c r="D362" s="3">
        <f>IF(Table1[[#This Row],[Age]]="",AVERAGE(Table1[Age]),Table1[[#This Row],[Age]])</f>
        <v>25</v>
      </c>
      <c r="E362" s="3" t="s">
        <v>27</v>
      </c>
      <c r="F362" s="3" t="s">
        <v>28</v>
      </c>
      <c r="G362" s="5">
        <f>IF(ISNUMBER('Main Project Raw Data'!G362),'Main Project Raw Data'!G362,IF(ISNUMBER(SEARCH("/",'Main Project Raw Data'!G362)),DATE(RIGHT('Main Project Raw Data'!G362,4),LEFT('Main Project Raw Data'!G362,FIND("/",'Main Project Raw Data'!G362)-1),MID('Main Project Raw Data'!G362,FIND("/",'Main Project Raw Data'!G362)+1,2)),DATE(RIGHT('Main Project Raw Data'!G362,4),MID('Main Project Raw Data'!G362,4,2),LEFT('Main Project Raw Data'!G362,2))))</f>
        <v>44558</v>
      </c>
      <c r="H362" s="3">
        <f>IF(Table1[[#This Row],[Salary]]="",AVERAGE(Table1[Salary]),Table1[[#This Row],[Salary]])</f>
        <v>61643.69</v>
      </c>
      <c r="I362" s="3" t="s">
        <v>22</v>
      </c>
      <c r="J362" s="3">
        <f>ABS(Table1[[#This Row],[Phone]])</f>
        <v>2752334382</v>
      </c>
      <c r="K362" s="3" t="str">
        <f>PROPER(TRIM(Table1[[#This Row],[Performance_Score]]))</f>
        <v>Good</v>
      </c>
      <c r="L362" s="3" t="b">
        <f>Table1[[#This Row],[Remote_Work]]</f>
        <v>1</v>
      </c>
      <c r="M362" s="3" t="str">
        <f>PROPER(CONCATENATE(Table13[[#This Row],[First_Name]], Table13[[#This Row],[Last_Name]]))</f>
        <v>Bobbrown</v>
      </c>
      <c r="N362" s="3" t="str">
        <f t="shared" si="5"/>
        <v>Dec</v>
      </c>
      <c r="O362" s="3" t="str">
        <f>TEXT(Table13[[#This Row],[Join_Date]],"yyyy")</f>
        <v>2021</v>
      </c>
      <c r="P362" s="3" t="str">
        <f>LEFT('Main Project Raw Data'!E362,FIND("-",'Main Project Raw Data'!E362)-1)</f>
        <v>Admin</v>
      </c>
      <c r="Q362" s="3" t="str">
        <f>RIGHT('Main Project Raw Data'!E362,LEN('Main Project Raw Data'!E362)-FIND("-",'Main Project Raw Data'!E362))</f>
        <v>Nevada</v>
      </c>
    </row>
    <row r="363" spans="1:17" x14ac:dyDescent="0.3">
      <c r="A363" s="3" t="str">
        <f>TRIM(Table1[[#This Row],[Employee_ID]])</f>
        <v>EMP1361</v>
      </c>
      <c r="B363" s="3" t="str">
        <f>TRIM(Table1[[#This Row],[First_Name]])</f>
        <v>Grace</v>
      </c>
      <c r="C363" s="3" t="str">
        <f>TRIM(Table1[[#This Row],[Last_Name]])</f>
        <v>Smith</v>
      </c>
      <c r="D363" s="3">
        <f>IF(Table1[[#This Row],[Age]]="",AVERAGE(Table1[Age]),Table1[[#This Row],[Age]])</f>
        <v>35</v>
      </c>
      <c r="E363" s="3" t="s">
        <v>21</v>
      </c>
      <c r="F363" s="3" t="s">
        <v>16</v>
      </c>
      <c r="G363" s="5">
        <f>IF(ISNUMBER('Main Project Raw Data'!G363),'Main Project Raw Data'!G363,IF(ISNUMBER(SEARCH("/",'Main Project Raw Data'!G363)),DATE(RIGHT('Main Project Raw Data'!G363,4),LEFT('Main Project Raw Data'!G363,FIND("/",'Main Project Raw Data'!G363)-1),MID('Main Project Raw Data'!G363,FIND("/",'Main Project Raw Data'!G363)+1,2)),DATE(RIGHT('Main Project Raw Data'!G363,4),MID('Main Project Raw Data'!G363,4,2),LEFT('Main Project Raw Data'!G363,2))))</f>
        <v>44032</v>
      </c>
      <c r="H363" s="3">
        <f>IF(Table1[[#This Row],[Salary]]="",AVERAGE(Table1[Salary]),Table1[[#This Row],[Salary]])</f>
        <v>68111.69</v>
      </c>
      <c r="I363" s="3" t="s">
        <v>135</v>
      </c>
      <c r="J363" s="3">
        <f>ABS(Table1[[#This Row],[Phone]])</f>
        <v>6404120910</v>
      </c>
      <c r="K363" s="3" t="str">
        <f>PROPER(TRIM(Table1[[#This Row],[Performance_Score]]))</f>
        <v>Poor</v>
      </c>
      <c r="L363" s="3" t="b">
        <f>Table1[[#This Row],[Remote_Work]]</f>
        <v>0</v>
      </c>
      <c r="M363" s="3" t="str">
        <f>PROPER(CONCATENATE(Table13[[#This Row],[First_Name]], Table13[[#This Row],[Last_Name]]))</f>
        <v>Gracesmith</v>
      </c>
      <c r="N363" s="3" t="str">
        <f t="shared" si="5"/>
        <v>Jul</v>
      </c>
      <c r="O363" s="3" t="str">
        <f>TEXT(Table13[[#This Row],[Join_Date]],"yyyy")</f>
        <v>2020</v>
      </c>
      <c r="P363" s="3" t="str">
        <f>LEFT('Main Project Raw Data'!E363,FIND("-",'Main Project Raw Data'!E363)-1)</f>
        <v>Finance</v>
      </c>
      <c r="Q363" s="3" t="str">
        <f>RIGHT('Main Project Raw Data'!E363,LEN('Main Project Raw Data'!E363)-FIND("-",'Main Project Raw Data'!E363))</f>
        <v>Texas</v>
      </c>
    </row>
    <row r="364" spans="1:17" x14ac:dyDescent="0.3">
      <c r="A364" s="3" t="str">
        <f>TRIM(Table1[[#This Row],[Employee_ID]])</f>
        <v>EMP1362</v>
      </c>
      <c r="B364" s="3" t="str">
        <f>TRIM(Table1[[#This Row],[First_Name]])</f>
        <v>David</v>
      </c>
      <c r="C364" s="3" t="str">
        <f>TRIM(Table1[[#This Row],[Last_Name]])</f>
        <v>Smith</v>
      </c>
      <c r="D364" s="3">
        <f>IF(Table1[[#This Row],[Age]]="",AVERAGE(Table1[Age]),Table1[[#This Row],[Age]])</f>
        <v>40</v>
      </c>
      <c r="E364" s="3" t="s">
        <v>212</v>
      </c>
      <c r="F364" s="3" t="s">
        <v>33</v>
      </c>
      <c r="G364" s="5">
        <f>IF(ISNUMBER('Main Project Raw Data'!G364),'Main Project Raw Data'!G364,IF(ISNUMBER(SEARCH("/",'Main Project Raw Data'!G364)),DATE(RIGHT('Main Project Raw Data'!G364,4),LEFT('Main Project Raw Data'!G364,FIND("/",'Main Project Raw Data'!G364)-1),MID('Main Project Raw Data'!G364,FIND("/",'Main Project Raw Data'!G364)+1,2)),DATE(RIGHT('Main Project Raw Data'!G364,4),MID('Main Project Raw Data'!G364,4,2),LEFT('Main Project Raw Data'!G364,2))))</f>
        <v>45412</v>
      </c>
      <c r="H364" s="3">
        <f>IF(Table1[[#This Row],[Salary]]="",AVERAGE(Table1[Salary]),Table1[[#This Row],[Salary]])</f>
        <v>97568.88</v>
      </c>
      <c r="I364" s="3" t="s">
        <v>340</v>
      </c>
      <c r="J364" s="3">
        <f>ABS(Table1[[#This Row],[Phone]])</f>
        <v>7911244210</v>
      </c>
      <c r="K364" s="3" t="str">
        <f>PROPER(TRIM(Table1[[#This Row],[Performance_Score]]))</f>
        <v>Average</v>
      </c>
      <c r="L364" s="3" t="b">
        <f>Table1[[#This Row],[Remote_Work]]</f>
        <v>1</v>
      </c>
      <c r="M364" s="3" t="str">
        <f>PROPER(CONCATENATE(Table13[[#This Row],[First_Name]], Table13[[#This Row],[Last_Name]]))</f>
        <v>Davidsmith</v>
      </c>
      <c r="N364" s="3" t="str">
        <f t="shared" si="5"/>
        <v>Apr</v>
      </c>
      <c r="O364" s="3" t="str">
        <f>TEXT(Table13[[#This Row],[Join_Date]],"yyyy")</f>
        <v>2024</v>
      </c>
      <c r="P364" s="3" t="str">
        <f>LEFT('Main Project Raw Data'!E364,FIND("-",'Main Project Raw Data'!E364)-1)</f>
        <v>HR</v>
      </c>
      <c r="Q364" s="3" t="str">
        <f>RIGHT('Main Project Raw Data'!E364,LEN('Main Project Raw Data'!E364)-FIND("-",'Main Project Raw Data'!E364))</f>
        <v>Florida</v>
      </c>
    </row>
    <row r="365" spans="1:17" x14ac:dyDescent="0.3">
      <c r="A365" s="3" t="str">
        <f>TRIM(Table1[[#This Row],[Employee_ID]])</f>
        <v>EMP1363</v>
      </c>
      <c r="B365" s="3" t="str">
        <f>TRIM(Table1[[#This Row],[First_Name]])</f>
        <v>Charlie</v>
      </c>
      <c r="C365" s="3" t="str">
        <f>TRIM(Table1[[#This Row],[Last_Name]])</f>
        <v>Johnson</v>
      </c>
      <c r="D365" s="3">
        <f>IF(Table1[[#This Row],[Age]]="",AVERAGE(Table1[Age]),Table1[[#This Row],[Age]])</f>
        <v>35</v>
      </c>
      <c r="E365" s="3" t="s">
        <v>39</v>
      </c>
      <c r="F365" s="3" t="s">
        <v>16</v>
      </c>
      <c r="G365" s="5">
        <f>IF(ISNUMBER('Main Project Raw Data'!G365),'Main Project Raw Data'!G365,IF(ISNUMBER(SEARCH("/",'Main Project Raw Data'!G365)),DATE(RIGHT('Main Project Raw Data'!G365,4),LEFT('Main Project Raw Data'!G365,FIND("/",'Main Project Raw Data'!G365)-1),MID('Main Project Raw Data'!G365,FIND("/",'Main Project Raw Data'!G365)+1,2)),DATE(RIGHT('Main Project Raw Data'!G365,4),MID('Main Project Raw Data'!G365,4,2),LEFT('Main Project Raw Data'!G365,2))))</f>
        <v>44436</v>
      </c>
      <c r="H365" s="3">
        <f>IF(Table1[[#This Row],[Salary]]="",AVERAGE(Table1[Salary]),Table1[[#This Row],[Salary]])</f>
        <v>79118.28</v>
      </c>
      <c r="I365" s="3" t="s">
        <v>57</v>
      </c>
      <c r="J365" s="3">
        <f>ABS(Table1[[#This Row],[Phone]])</f>
        <v>7536170616</v>
      </c>
      <c r="K365" s="3" t="str">
        <f>PROPER(TRIM(Table1[[#This Row],[Performance_Score]]))</f>
        <v>Poor</v>
      </c>
      <c r="L365" s="3" t="b">
        <f>Table1[[#This Row],[Remote_Work]]</f>
        <v>1</v>
      </c>
      <c r="M365" s="3" t="str">
        <f>PROPER(CONCATENATE(Table13[[#This Row],[First_Name]], Table13[[#This Row],[Last_Name]]))</f>
        <v>Charliejohnson</v>
      </c>
      <c r="N365" s="3" t="str">
        <f t="shared" si="5"/>
        <v>Aug</v>
      </c>
      <c r="O365" s="3" t="str">
        <f>TEXT(Table13[[#This Row],[Join_Date]],"yyyy")</f>
        <v>2021</v>
      </c>
      <c r="P365" s="3" t="str">
        <f>LEFT('Main Project Raw Data'!E365,FIND("-",'Main Project Raw Data'!E365)-1)</f>
        <v>Cloud Tech</v>
      </c>
      <c r="Q365" s="3" t="str">
        <f>RIGHT('Main Project Raw Data'!E365,LEN('Main Project Raw Data'!E365)-FIND("-",'Main Project Raw Data'!E365))</f>
        <v>Florida</v>
      </c>
    </row>
    <row r="366" spans="1:17" x14ac:dyDescent="0.3">
      <c r="A366" s="3" t="str">
        <f>TRIM(Table1[[#This Row],[Employee_ID]])</f>
        <v>EMP1364</v>
      </c>
      <c r="B366" s="3" t="str">
        <f>TRIM(Table1[[#This Row],[First_Name]])</f>
        <v>Bob</v>
      </c>
      <c r="C366" s="3" t="str">
        <f>TRIM(Table1[[#This Row],[Last_Name]])</f>
        <v>Davis</v>
      </c>
      <c r="D366" s="3">
        <f>IF(Table1[[#This Row],[Age]]="",AVERAGE(Table1[Age]),Table1[[#This Row],[Age]])</f>
        <v>30</v>
      </c>
      <c r="E366" s="3" t="s">
        <v>146</v>
      </c>
      <c r="F366" s="3" t="s">
        <v>33</v>
      </c>
      <c r="G366" s="5">
        <f>IF(ISNUMBER('Main Project Raw Data'!G366),'Main Project Raw Data'!G366,IF(ISNUMBER(SEARCH("/",'Main Project Raw Data'!G366)),DATE(RIGHT('Main Project Raw Data'!G366,4),LEFT('Main Project Raw Data'!G366,FIND("/",'Main Project Raw Data'!G366)-1),MID('Main Project Raw Data'!G366,FIND("/",'Main Project Raw Data'!G366)+1,2)),DATE(RIGHT('Main Project Raw Data'!G366,4),MID('Main Project Raw Data'!G366,4,2),LEFT('Main Project Raw Data'!G366,2))))</f>
        <v>44763</v>
      </c>
      <c r="H366" s="3">
        <f>IF(Table1[[#This Row],[Salary]]="",AVERAGE(Table1[Salary]),Table1[[#This Row],[Salary]])</f>
        <v>104898.9</v>
      </c>
      <c r="I366" s="3" t="s">
        <v>17</v>
      </c>
      <c r="J366" s="3">
        <f>ABS(Table1[[#This Row],[Phone]])</f>
        <v>1366572239</v>
      </c>
      <c r="K366" s="3" t="str">
        <f>PROPER(TRIM(Table1[[#This Row],[Performance_Score]]))</f>
        <v>Excellent</v>
      </c>
      <c r="L366" s="3" t="b">
        <f>Table1[[#This Row],[Remote_Work]]</f>
        <v>1</v>
      </c>
      <c r="M366" s="3" t="str">
        <f>PROPER(CONCATENATE(Table13[[#This Row],[First_Name]], Table13[[#This Row],[Last_Name]]))</f>
        <v>Bobdavis</v>
      </c>
      <c r="N366" s="3" t="str">
        <f t="shared" si="5"/>
        <v>Jul</v>
      </c>
      <c r="O366" s="3" t="str">
        <f>TEXT(Table13[[#This Row],[Join_Date]],"yyyy")</f>
        <v>2022</v>
      </c>
      <c r="P366" s="3" t="str">
        <f>LEFT('Main Project Raw Data'!E366,FIND("-",'Main Project Raw Data'!E366)-1)</f>
        <v>HR</v>
      </c>
      <c r="Q366" s="3" t="str">
        <f>RIGHT('Main Project Raw Data'!E366,LEN('Main Project Raw Data'!E366)-FIND("-",'Main Project Raw Data'!E366))</f>
        <v>California</v>
      </c>
    </row>
    <row r="367" spans="1:17" x14ac:dyDescent="0.3">
      <c r="A367" s="3" t="str">
        <f>TRIM(Table1[[#This Row],[Employee_ID]])</f>
        <v>EMP1365</v>
      </c>
      <c r="B367" s="3" t="str">
        <f>TRIM(Table1[[#This Row],[First_Name]])</f>
        <v>Frank</v>
      </c>
      <c r="C367" s="3" t="str">
        <f>TRIM(Table1[[#This Row],[Last_Name]])</f>
        <v>Davis</v>
      </c>
      <c r="D367" s="3">
        <f>IF(Table1[[#This Row],[Age]]="",AVERAGE(Table1[Age]),Table1[[#This Row],[Age]])</f>
        <v>40</v>
      </c>
      <c r="E367" s="3" t="s">
        <v>39</v>
      </c>
      <c r="F367" s="3" t="s">
        <v>28</v>
      </c>
      <c r="G367" s="5">
        <f>IF(ISNUMBER('Main Project Raw Data'!G367),'Main Project Raw Data'!G367,IF(ISNUMBER(SEARCH("/",'Main Project Raw Data'!G367)),DATE(RIGHT('Main Project Raw Data'!G367,4),LEFT('Main Project Raw Data'!G367,FIND("/",'Main Project Raw Data'!G367)-1),MID('Main Project Raw Data'!G367,FIND("/",'Main Project Raw Data'!G367)+1,2)),DATE(RIGHT('Main Project Raw Data'!G367,4),MID('Main Project Raw Data'!G367,4,2),LEFT('Main Project Raw Data'!G367,2))))</f>
        <v>45257</v>
      </c>
      <c r="H367" s="3">
        <f>IF(Table1[[#This Row],[Salary]]="",AVERAGE(Table1[Salary]),Table1[[#This Row],[Salary]])</f>
        <v>81671.3</v>
      </c>
      <c r="I367" s="3" t="s">
        <v>52</v>
      </c>
      <c r="J367" s="3">
        <f>ABS(Table1[[#This Row],[Phone]])</f>
        <v>2990155798</v>
      </c>
      <c r="K367" s="3" t="str">
        <f>PROPER(TRIM(Table1[[#This Row],[Performance_Score]]))</f>
        <v>Poor</v>
      </c>
      <c r="L367" s="3" t="b">
        <f>Table1[[#This Row],[Remote_Work]]</f>
        <v>1</v>
      </c>
      <c r="M367" s="3" t="str">
        <f>PROPER(CONCATENATE(Table13[[#This Row],[First_Name]], Table13[[#This Row],[Last_Name]]))</f>
        <v>Frankdavis</v>
      </c>
      <c r="N367" s="3" t="str">
        <f t="shared" si="5"/>
        <v>Nov</v>
      </c>
      <c r="O367" s="3" t="str">
        <f>TEXT(Table13[[#This Row],[Join_Date]],"yyyy")</f>
        <v>2023</v>
      </c>
      <c r="P367" s="3" t="str">
        <f>LEFT('Main Project Raw Data'!E367,FIND("-",'Main Project Raw Data'!E367)-1)</f>
        <v>Cloud Tech</v>
      </c>
      <c r="Q367" s="3" t="str">
        <f>RIGHT('Main Project Raw Data'!E367,LEN('Main Project Raw Data'!E367)-FIND("-",'Main Project Raw Data'!E367))</f>
        <v>Florida</v>
      </c>
    </row>
    <row r="368" spans="1:17" x14ac:dyDescent="0.3">
      <c r="A368" s="3" t="str">
        <f>TRIM(Table1[[#This Row],[Employee_ID]])</f>
        <v>EMP1366</v>
      </c>
      <c r="B368" s="3" t="str">
        <f>TRIM(Table1[[#This Row],[First_Name]])</f>
        <v>Alice</v>
      </c>
      <c r="C368" s="3" t="str">
        <f>TRIM(Table1[[#This Row],[Last_Name]])</f>
        <v>Miller</v>
      </c>
      <c r="D368" s="3">
        <f>IF(Table1[[#This Row],[Age]]="",AVERAGE(Table1[Age]),Table1[[#This Row],[Age]])</f>
        <v>25</v>
      </c>
      <c r="E368" s="3" t="s">
        <v>268</v>
      </c>
      <c r="F368" s="3" t="s">
        <v>28</v>
      </c>
      <c r="G368" s="5">
        <f>IF(ISNUMBER('Main Project Raw Data'!G368),'Main Project Raw Data'!G368,IF(ISNUMBER(SEARCH("/",'Main Project Raw Data'!G368)),DATE(RIGHT('Main Project Raw Data'!G368,4),LEFT('Main Project Raw Data'!G368,FIND("/",'Main Project Raw Data'!G368)-1),MID('Main Project Raw Data'!G368,FIND("/",'Main Project Raw Data'!G368)+1,2)),DATE(RIGHT('Main Project Raw Data'!G368,4),MID('Main Project Raw Data'!G368,4,2),LEFT('Main Project Raw Data'!G368,2))))</f>
        <v>44143</v>
      </c>
      <c r="H368" s="3">
        <f>IF(Table1[[#This Row],[Salary]]="",AVERAGE(Table1[Salary]),Table1[[#This Row],[Salary]])</f>
        <v>97399.75</v>
      </c>
      <c r="I368" s="3" t="s">
        <v>166</v>
      </c>
      <c r="J368" s="3">
        <f>ABS(Table1[[#This Row],[Phone]])</f>
        <v>8028413907</v>
      </c>
      <c r="K368" s="3" t="str">
        <f>PROPER(TRIM(Table1[[#This Row],[Performance_Score]]))</f>
        <v>Excellent</v>
      </c>
      <c r="L368" s="3" t="b">
        <f>Table1[[#This Row],[Remote_Work]]</f>
        <v>0</v>
      </c>
      <c r="M368" s="3" t="str">
        <f>PROPER(CONCATENATE(Table13[[#This Row],[First_Name]], Table13[[#This Row],[Last_Name]]))</f>
        <v>Alicemiller</v>
      </c>
      <c r="N368" s="3" t="str">
        <f t="shared" si="5"/>
        <v>Nov</v>
      </c>
      <c r="O368" s="3" t="str">
        <f>TEXT(Table13[[#This Row],[Join_Date]],"yyyy")</f>
        <v>2020</v>
      </c>
      <c r="P368" s="3" t="str">
        <f>LEFT('Main Project Raw Data'!E368,FIND("-",'Main Project Raw Data'!E368)-1)</f>
        <v>Cloud Tech</v>
      </c>
      <c r="Q368" s="3" t="str">
        <f>RIGHT('Main Project Raw Data'!E368,LEN('Main Project Raw Data'!E368)-FIND("-",'Main Project Raw Data'!E368))</f>
        <v>California</v>
      </c>
    </row>
    <row r="369" spans="1:17" x14ac:dyDescent="0.3">
      <c r="A369" s="3" t="str">
        <f>TRIM(Table1[[#This Row],[Employee_ID]])</f>
        <v>EMP1367</v>
      </c>
      <c r="B369" s="3" t="str">
        <f>TRIM(Table1[[#This Row],[First_Name]])</f>
        <v>David</v>
      </c>
      <c r="C369" s="3" t="str">
        <f>TRIM(Table1[[#This Row],[Last_Name]])</f>
        <v>Johnson</v>
      </c>
      <c r="D369" s="3">
        <f>IF(Table1[[#This Row],[Age]]="",AVERAGE(Table1[Age]),Table1[[#This Row],[Age]])</f>
        <v>32.484548825710753</v>
      </c>
      <c r="E369" s="3" t="s">
        <v>89</v>
      </c>
      <c r="F369" s="3" t="s">
        <v>16</v>
      </c>
      <c r="G369" s="5">
        <f>IF(ISNUMBER('Main Project Raw Data'!G369),'Main Project Raw Data'!G369,IF(ISNUMBER(SEARCH("/",'Main Project Raw Data'!G369)),DATE(RIGHT('Main Project Raw Data'!G369,4),LEFT('Main Project Raw Data'!G369,FIND("/",'Main Project Raw Data'!G369)-1),MID('Main Project Raw Data'!G369,FIND("/",'Main Project Raw Data'!G369)+1,2)),DATE(RIGHT('Main Project Raw Data'!G369,4),MID('Main Project Raw Data'!G369,4,2),LEFT('Main Project Raw Data'!G369,2))))</f>
        <v>44419</v>
      </c>
      <c r="H369" s="3">
        <f>IF(Table1[[#This Row],[Salary]]="",AVERAGE(Table1[Salary]),Table1[[#This Row],[Salary]])</f>
        <v>89189.43</v>
      </c>
      <c r="I369" s="3" t="s">
        <v>217</v>
      </c>
      <c r="J369" s="3">
        <f>ABS(Table1[[#This Row],[Phone]])</f>
        <v>882351304</v>
      </c>
      <c r="K369" s="3" t="str">
        <f>PROPER(TRIM(Table1[[#This Row],[Performance_Score]]))</f>
        <v>Poor</v>
      </c>
      <c r="L369" s="3" t="b">
        <f>Table1[[#This Row],[Remote_Work]]</f>
        <v>1</v>
      </c>
      <c r="M369" s="3" t="str">
        <f>PROPER(CONCATENATE(Table13[[#This Row],[First_Name]], Table13[[#This Row],[Last_Name]]))</f>
        <v>Davidjohnson</v>
      </c>
      <c r="N369" s="3" t="str">
        <f t="shared" si="5"/>
        <v>Aug</v>
      </c>
      <c r="O369" s="3" t="str">
        <f>TEXT(Table13[[#This Row],[Join_Date]],"yyyy")</f>
        <v>2021</v>
      </c>
      <c r="P369" s="3" t="str">
        <f>LEFT('Main Project Raw Data'!E369,FIND("-",'Main Project Raw Data'!E369)-1)</f>
        <v>Admin</v>
      </c>
      <c r="Q369" s="3" t="str">
        <f>RIGHT('Main Project Raw Data'!E369,LEN('Main Project Raw Data'!E369)-FIND("-",'Main Project Raw Data'!E369))</f>
        <v>Illinois</v>
      </c>
    </row>
    <row r="370" spans="1:17" x14ac:dyDescent="0.3">
      <c r="A370" s="3" t="str">
        <f>TRIM(Table1[[#This Row],[Employee_ID]])</f>
        <v>EMP1368</v>
      </c>
      <c r="B370" s="3" t="str">
        <f>TRIM(Table1[[#This Row],[First_Name]])</f>
        <v>David</v>
      </c>
      <c r="C370" s="3" t="str">
        <f>TRIM(Table1[[#This Row],[Last_Name]])</f>
        <v>Williams</v>
      </c>
      <c r="D370" s="3">
        <f>IF(Table1[[#This Row],[Age]]="",AVERAGE(Table1[Age]),Table1[[#This Row],[Age]])</f>
        <v>40</v>
      </c>
      <c r="E370" s="3" t="s">
        <v>56</v>
      </c>
      <c r="F370" s="3" t="s">
        <v>16</v>
      </c>
      <c r="G370" s="5">
        <f>IF(ISNUMBER('Main Project Raw Data'!G370),'Main Project Raw Data'!G370,IF(ISNUMBER(SEARCH("/",'Main Project Raw Data'!G370)),DATE(RIGHT('Main Project Raw Data'!G370,4),LEFT('Main Project Raw Data'!G370,FIND("/",'Main Project Raw Data'!G370)-1),MID('Main Project Raw Data'!G370,FIND("/",'Main Project Raw Data'!G370)+1,2)),DATE(RIGHT('Main Project Raw Data'!G370,4),MID('Main Project Raw Data'!G370,4,2),LEFT('Main Project Raw Data'!G370,2))))</f>
        <v>45024</v>
      </c>
      <c r="H370" s="3">
        <f>IF(Table1[[#This Row],[Salary]]="",AVERAGE(Table1[Salary]),Table1[[#This Row],[Salary]])</f>
        <v>96011.55</v>
      </c>
      <c r="I370" s="3" t="s">
        <v>61</v>
      </c>
      <c r="J370" s="3">
        <f>ABS(Table1[[#This Row],[Phone]])</f>
        <v>2312447314</v>
      </c>
      <c r="K370" s="3" t="str">
        <f>PROPER(TRIM(Table1[[#This Row],[Performance_Score]]))</f>
        <v>Average</v>
      </c>
      <c r="L370" s="3" t="b">
        <f>Table1[[#This Row],[Remote_Work]]</f>
        <v>1</v>
      </c>
      <c r="M370" s="3" t="str">
        <f>PROPER(CONCATENATE(Table13[[#This Row],[First_Name]], Table13[[#This Row],[Last_Name]]))</f>
        <v>Davidwilliams</v>
      </c>
      <c r="N370" s="3" t="str">
        <f t="shared" si="5"/>
        <v>Apr</v>
      </c>
      <c r="O370" s="3" t="str">
        <f>TEXT(Table13[[#This Row],[Join_Date]],"yyyy")</f>
        <v>2023</v>
      </c>
      <c r="P370" s="3" t="str">
        <f>LEFT('Main Project Raw Data'!E370,FIND("-",'Main Project Raw Data'!E370)-1)</f>
        <v>DevOps</v>
      </c>
      <c r="Q370" s="3" t="str">
        <f>RIGHT('Main Project Raw Data'!E370,LEN('Main Project Raw Data'!E370)-FIND("-",'Main Project Raw Data'!E370))</f>
        <v>New York</v>
      </c>
    </row>
    <row r="371" spans="1:17" x14ac:dyDescent="0.3">
      <c r="A371" s="3" t="str">
        <f>TRIM(Table1[[#This Row],[Employee_ID]])</f>
        <v>EMP1369</v>
      </c>
      <c r="B371" s="3" t="str">
        <f>TRIM(Table1[[#This Row],[First_Name]])</f>
        <v>David</v>
      </c>
      <c r="C371" s="3" t="str">
        <f>TRIM(Table1[[#This Row],[Last_Name]])</f>
        <v>Davis</v>
      </c>
      <c r="D371" s="3">
        <f>IF(Table1[[#This Row],[Age]]="",AVERAGE(Table1[Age]),Table1[[#This Row],[Age]])</f>
        <v>40</v>
      </c>
      <c r="E371" s="3" t="s">
        <v>74</v>
      </c>
      <c r="F371" s="3" t="s">
        <v>33</v>
      </c>
      <c r="G371" s="5">
        <f>IF(ISNUMBER('Main Project Raw Data'!G371),'Main Project Raw Data'!G371,IF(ISNUMBER(SEARCH("/",'Main Project Raw Data'!G371)),DATE(RIGHT('Main Project Raw Data'!G371,4),LEFT('Main Project Raw Data'!G371,FIND("/",'Main Project Raw Data'!G371)-1),MID('Main Project Raw Data'!G371,FIND("/",'Main Project Raw Data'!G371)+1,2)),DATE(RIGHT('Main Project Raw Data'!G371,4),MID('Main Project Raw Data'!G371,4,2),LEFT('Main Project Raw Data'!G371,2))))</f>
        <v>44105</v>
      </c>
      <c r="H371" s="3">
        <f>IF(Table1[[#This Row],[Salary]]="",AVERAGE(Table1[Salary]),Table1[[#This Row],[Salary]])</f>
        <v>99331.49</v>
      </c>
      <c r="I371" s="3" t="s">
        <v>63</v>
      </c>
      <c r="J371" s="3">
        <f>ABS(Table1[[#This Row],[Phone]])</f>
        <v>8477686341</v>
      </c>
      <c r="K371" s="3" t="str">
        <f>PROPER(TRIM(Table1[[#This Row],[Performance_Score]]))</f>
        <v>Excellent</v>
      </c>
      <c r="L371" s="3" t="b">
        <f>Table1[[#This Row],[Remote_Work]]</f>
        <v>0</v>
      </c>
      <c r="M371" s="3" t="str">
        <f>PROPER(CONCATENATE(Table13[[#This Row],[First_Name]], Table13[[#This Row],[Last_Name]]))</f>
        <v>Daviddavis</v>
      </c>
      <c r="N371" s="3" t="str">
        <f t="shared" si="5"/>
        <v>Oct</v>
      </c>
      <c r="O371" s="3" t="str">
        <f>TEXT(Table13[[#This Row],[Join_Date]],"yyyy")</f>
        <v>2020</v>
      </c>
      <c r="P371" s="3" t="str">
        <f>LEFT('Main Project Raw Data'!E371,FIND("-",'Main Project Raw Data'!E371)-1)</f>
        <v>Sales</v>
      </c>
      <c r="Q371" s="3" t="str">
        <f>RIGHT('Main Project Raw Data'!E371,LEN('Main Project Raw Data'!E371)-FIND("-",'Main Project Raw Data'!E371))</f>
        <v>Florida</v>
      </c>
    </row>
    <row r="372" spans="1:17" x14ac:dyDescent="0.3">
      <c r="A372" s="3" t="str">
        <f>TRIM(Table1[[#This Row],[Employee_ID]])</f>
        <v>EMP1370</v>
      </c>
      <c r="B372" s="3" t="str">
        <f>TRIM(Table1[[#This Row],[First_Name]])</f>
        <v>Bob</v>
      </c>
      <c r="C372" s="3" t="str">
        <f>TRIM(Table1[[#This Row],[Last_Name]])</f>
        <v>Brown</v>
      </c>
      <c r="D372" s="3">
        <f>IF(Table1[[#This Row],[Age]]="",AVERAGE(Table1[Age]),Table1[[#This Row],[Age]])</f>
        <v>32.484548825710753</v>
      </c>
      <c r="E372" s="3" t="s">
        <v>95</v>
      </c>
      <c r="F372" s="3" t="s">
        <v>16</v>
      </c>
      <c r="G372" s="5">
        <f>IF(ISNUMBER('Main Project Raw Data'!G372),'Main Project Raw Data'!G372,IF(ISNUMBER(SEARCH("/",'Main Project Raw Data'!G372)),DATE(RIGHT('Main Project Raw Data'!G372,4),LEFT('Main Project Raw Data'!G372,FIND("/",'Main Project Raw Data'!G372)-1),MID('Main Project Raw Data'!G372,FIND("/",'Main Project Raw Data'!G372)+1,2)),DATE(RIGHT('Main Project Raw Data'!G372,4),MID('Main Project Raw Data'!G372,4,2),LEFT('Main Project Raw Data'!G372,2))))</f>
        <v>44580</v>
      </c>
      <c r="H372" s="3">
        <f>IF(Table1[[#This Row],[Salary]]="",AVERAGE(Table1[Salary]),Table1[[#This Row],[Salary]])</f>
        <v>72818.94</v>
      </c>
      <c r="I372" s="3" t="s">
        <v>22</v>
      </c>
      <c r="J372" s="3">
        <f>ABS(Table1[[#This Row],[Phone]])</f>
        <v>3461994236</v>
      </c>
      <c r="K372" s="3" t="str">
        <f>PROPER(TRIM(Table1[[#This Row],[Performance_Score]]))</f>
        <v>Good</v>
      </c>
      <c r="L372" s="3" t="b">
        <f>Table1[[#This Row],[Remote_Work]]</f>
        <v>1</v>
      </c>
      <c r="M372" s="3" t="str">
        <f>PROPER(CONCATENATE(Table13[[#This Row],[First_Name]], Table13[[#This Row],[Last_Name]]))</f>
        <v>Bobbrown</v>
      </c>
      <c r="N372" s="3" t="str">
        <f t="shared" si="5"/>
        <v>Jan</v>
      </c>
      <c r="O372" s="3" t="str">
        <f>TEXT(Table13[[#This Row],[Join_Date]],"yyyy")</f>
        <v>2022</v>
      </c>
      <c r="P372" s="3" t="str">
        <f>LEFT('Main Project Raw Data'!E372,FIND("-",'Main Project Raw Data'!E372)-1)</f>
        <v>Cloud Tech</v>
      </c>
      <c r="Q372" s="3" t="str">
        <f>RIGHT('Main Project Raw Data'!E372,LEN('Main Project Raw Data'!E372)-FIND("-",'Main Project Raw Data'!E372))</f>
        <v>Illinois</v>
      </c>
    </row>
    <row r="373" spans="1:17" x14ac:dyDescent="0.3">
      <c r="A373" s="3" t="str">
        <f>TRIM(Table1[[#This Row],[Employee_ID]])</f>
        <v>EMP1371</v>
      </c>
      <c r="B373" s="3" t="str">
        <f>TRIM(Table1[[#This Row],[First_Name]])</f>
        <v>Eva</v>
      </c>
      <c r="C373" s="3" t="str">
        <f>TRIM(Table1[[#This Row],[Last_Name]])</f>
        <v>Garcia</v>
      </c>
      <c r="D373" s="3">
        <f>IF(Table1[[#This Row],[Age]]="",AVERAGE(Table1[Age]),Table1[[#This Row],[Age]])</f>
        <v>40</v>
      </c>
      <c r="E373" s="3" t="s">
        <v>219</v>
      </c>
      <c r="F373" s="3" t="s">
        <v>33</v>
      </c>
      <c r="G373" s="5">
        <f>IF(ISNUMBER('Main Project Raw Data'!G373),'Main Project Raw Data'!G373,IF(ISNUMBER(SEARCH("/",'Main Project Raw Data'!G373)),DATE(RIGHT('Main Project Raw Data'!G373,4),LEFT('Main Project Raw Data'!G373,FIND("/",'Main Project Raw Data'!G373)-1),MID('Main Project Raw Data'!G373,FIND("/",'Main Project Raw Data'!G373)+1,2)),DATE(RIGHT('Main Project Raw Data'!G373,4),MID('Main Project Raw Data'!G373,4,2),LEFT('Main Project Raw Data'!G373,2))))</f>
        <v>45112</v>
      </c>
      <c r="H373" s="3">
        <f>IF(Table1[[#This Row],[Salary]]="",AVERAGE(Table1[Salary]),Table1[[#This Row],[Salary]])</f>
        <v>77204.75</v>
      </c>
      <c r="I373" s="3" t="s">
        <v>296</v>
      </c>
      <c r="J373" s="3">
        <f>ABS(Table1[[#This Row],[Phone]])</f>
        <v>6769459195</v>
      </c>
      <c r="K373" s="3" t="str">
        <f>PROPER(TRIM(Table1[[#This Row],[Performance_Score]]))</f>
        <v>Good</v>
      </c>
      <c r="L373" s="3" t="b">
        <f>Table1[[#This Row],[Remote_Work]]</f>
        <v>1</v>
      </c>
      <c r="M373" s="3" t="str">
        <f>PROPER(CONCATENATE(Table13[[#This Row],[First_Name]], Table13[[#This Row],[Last_Name]]))</f>
        <v>Evagarcia</v>
      </c>
      <c r="N373" s="3" t="str">
        <f t="shared" si="5"/>
        <v>Jul</v>
      </c>
      <c r="O373" s="3" t="str">
        <f>TEXT(Table13[[#This Row],[Join_Date]],"yyyy")</f>
        <v>2023</v>
      </c>
      <c r="P373" s="3" t="str">
        <f>LEFT('Main Project Raw Data'!E373,FIND("-",'Main Project Raw Data'!E373)-1)</f>
        <v>Sales</v>
      </c>
      <c r="Q373" s="3" t="str">
        <f>RIGHT('Main Project Raw Data'!E373,LEN('Main Project Raw Data'!E373)-FIND("-",'Main Project Raw Data'!E373))</f>
        <v>Nevada</v>
      </c>
    </row>
    <row r="374" spans="1:17" x14ac:dyDescent="0.3">
      <c r="A374" s="3" t="str">
        <f>TRIM(Table1[[#This Row],[Employee_ID]])</f>
        <v>EMP1372</v>
      </c>
      <c r="B374" s="3" t="str">
        <f>TRIM(Table1[[#This Row],[First_Name]])</f>
        <v>Bob</v>
      </c>
      <c r="C374" s="3" t="str">
        <f>TRIM(Table1[[#This Row],[Last_Name]])</f>
        <v>Johnson</v>
      </c>
      <c r="D374" s="3">
        <f>IF(Table1[[#This Row],[Age]]="",AVERAGE(Table1[Age]),Table1[[#This Row],[Age]])</f>
        <v>35</v>
      </c>
      <c r="E374" s="3" t="s">
        <v>212</v>
      </c>
      <c r="F374" s="3" t="s">
        <v>28</v>
      </c>
      <c r="G374" s="5">
        <f>IF(ISNUMBER('Main Project Raw Data'!G374),'Main Project Raw Data'!G374,IF(ISNUMBER(SEARCH("/",'Main Project Raw Data'!G374)),DATE(RIGHT('Main Project Raw Data'!G374,4),LEFT('Main Project Raw Data'!G374,FIND("/",'Main Project Raw Data'!G374)-1),MID('Main Project Raw Data'!G374,FIND("/",'Main Project Raw Data'!G374)+1,2)),DATE(RIGHT('Main Project Raw Data'!G374,4),MID('Main Project Raw Data'!G374,4,2),LEFT('Main Project Raw Data'!G374,2))))</f>
        <v>44184</v>
      </c>
      <c r="H374" s="3">
        <f>IF(Table1[[#This Row],[Salary]]="",AVERAGE(Table1[Salary]),Table1[[#This Row],[Salary]])</f>
        <v>106961.68</v>
      </c>
      <c r="I374" s="3" t="s">
        <v>199</v>
      </c>
      <c r="J374" s="3">
        <f>ABS(Table1[[#This Row],[Phone]])</f>
        <v>6395517207</v>
      </c>
      <c r="K374" s="3" t="str">
        <f>PROPER(TRIM(Table1[[#This Row],[Performance_Score]]))</f>
        <v>Poor</v>
      </c>
      <c r="L374" s="3" t="b">
        <f>Table1[[#This Row],[Remote_Work]]</f>
        <v>0</v>
      </c>
      <c r="M374" s="3" t="str">
        <f>PROPER(CONCATENATE(Table13[[#This Row],[First_Name]], Table13[[#This Row],[Last_Name]]))</f>
        <v>Bobjohnson</v>
      </c>
      <c r="N374" s="3" t="str">
        <f t="shared" si="5"/>
        <v>Dec</v>
      </c>
      <c r="O374" s="3" t="str">
        <f>TEXT(Table13[[#This Row],[Join_Date]],"yyyy")</f>
        <v>2020</v>
      </c>
      <c r="P374" s="3" t="str">
        <f>LEFT('Main Project Raw Data'!E374,FIND("-",'Main Project Raw Data'!E374)-1)</f>
        <v>HR</v>
      </c>
      <c r="Q374" s="3" t="str">
        <f>RIGHT('Main Project Raw Data'!E374,LEN('Main Project Raw Data'!E374)-FIND("-",'Main Project Raw Data'!E374))</f>
        <v>Florida</v>
      </c>
    </row>
    <row r="375" spans="1:17" x14ac:dyDescent="0.3">
      <c r="A375" s="3" t="str">
        <f>TRIM(Table1[[#This Row],[Employee_ID]])</f>
        <v>EMP1373</v>
      </c>
      <c r="B375" s="3" t="str">
        <f>TRIM(Table1[[#This Row],[First_Name]])</f>
        <v>Eva</v>
      </c>
      <c r="C375" s="3" t="str">
        <f>TRIM(Table1[[#This Row],[Last_Name]])</f>
        <v>Garcia</v>
      </c>
      <c r="D375" s="3">
        <f>IF(Table1[[#This Row],[Age]]="",AVERAGE(Table1[Age]),Table1[[#This Row],[Age]])</f>
        <v>32.484548825710753</v>
      </c>
      <c r="E375" s="3" t="s">
        <v>44</v>
      </c>
      <c r="F375" s="3" t="s">
        <v>28</v>
      </c>
      <c r="G375" s="5">
        <f>IF(ISNUMBER('Main Project Raw Data'!G375),'Main Project Raw Data'!G375,IF(ISNUMBER(SEARCH("/",'Main Project Raw Data'!G375)),DATE(RIGHT('Main Project Raw Data'!G375,4),LEFT('Main Project Raw Data'!G375,FIND("/",'Main Project Raw Data'!G375)-1),MID('Main Project Raw Data'!G375,FIND("/",'Main Project Raw Data'!G375)+1,2)),DATE(RIGHT('Main Project Raw Data'!G375,4),MID('Main Project Raw Data'!G375,4,2),LEFT('Main Project Raw Data'!G375,2))))</f>
        <v>43840</v>
      </c>
      <c r="H375" s="3">
        <f>IF(Table1[[#This Row],[Salary]]="",AVERAGE(Table1[Salary]),Table1[[#This Row],[Salary]])</f>
        <v>71923</v>
      </c>
      <c r="I375" s="3" t="s">
        <v>296</v>
      </c>
      <c r="J375" s="3">
        <f>ABS(Table1[[#This Row],[Phone]])</f>
        <v>4964985600</v>
      </c>
      <c r="K375" s="3" t="str">
        <f>PROPER(TRIM(Table1[[#This Row],[Performance_Score]]))</f>
        <v>Good</v>
      </c>
      <c r="L375" s="3" t="b">
        <f>Table1[[#This Row],[Remote_Work]]</f>
        <v>1</v>
      </c>
      <c r="M375" s="3" t="str">
        <f>PROPER(CONCATENATE(Table13[[#This Row],[First_Name]], Table13[[#This Row],[Last_Name]]))</f>
        <v>Evagarcia</v>
      </c>
      <c r="N375" s="3" t="str">
        <f t="shared" si="5"/>
        <v>Jan</v>
      </c>
      <c r="O375" s="3" t="str">
        <f>TEXT(Table13[[#This Row],[Join_Date]],"yyyy")</f>
        <v>2020</v>
      </c>
      <c r="P375" s="3" t="str">
        <f>LEFT('Main Project Raw Data'!E375,FIND("-",'Main Project Raw Data'!E375)-1)</f>
        <v>Sales</v>
      </c>
      <c r="Q375" s="3" t="str">
        <f>RIGHT('Main Project Raw Data'!E375,LEN('Main Project Raw Data'!E375)-FIND("-",'Main Project Raw Data'!E375))</f>
        <v>Texas</v>
      </c>
    </row>
    <row r="376" spans="1:17" x14ac:dyDescent="0.3">
      <c r="A376" s="3" t="str">
        <f>TRIM(Table1[[#This Row],[Employee_ID]])</f>
        <v>EMP1374</v>
      </c>
      <c r="B376" s="3" t="str">
        <f>TRIM(Table1[[#This Row],[First_Name]])</f>
        <v>Bob</v>
      </c>
      <c r="C376" s="3" t="str">
        <f>TRIM(Table1[[#This Row],[Last_Name]])</f>
        <v>Smith</v>
      </c>
      <c r="D376" s="3">
        <f>IF(Table1[[#This Row],[Age]]="",AVERAGE(Table1[Age]),Table1[[#This Row],[Age]])</f>
        <v>30</v>
      </c>
      <c r="E376" s="3" t="s">
        <v>149</v>
      </c>
      <c r="F376" s="3" t="s">
        <v>16</v>
      </c>
      <c r="G376" s="5">
        <f>IF(ISNUMBER('Main Project Raw Data'!G376),'Main Project Raw Data'!G376,IF(ISNUMBER(SEARCH("/",'Main Project Raw Data'!G376)),DATE(RIGHT('Main Project Raw Data'!G376,4),LEFT('Main Project Raw Data'!G376,FIND("/",'Main Project Raw Data'!G376)-1),MID('Main Project Raw Data'!G376,FIND("/",'Main Project Raw Data'!G376)+1,2)),DATE(RIGHT('Main Project Raw Data'!G376,4),MID('Main Project Raw Data'!G376,4,2),LEFT('Main Project Raw Data'!G376,2))))</f>
        <v>44906</v>
      </c>
      <c r="H376" s="3">
        <f>IF(Table1[[#This Row],[Salary]]="",AVERAGE(Table1[Salary]),Table1[[#This Row],[Salary]])</f>
        <v>77192.429999999993</v>
      </c>
      <c r="I376" s="3" t="s">
        <v>123</v>
      </c>
      <c r="J376" s="3">
        <f>ABS(Table1[[#This Row],[Phone]])</f>
        <v>2562531354</v>
      </c>
      <c r="K376" s="3" t="str">
        <f>PROPER(TRIM(Table1[[#This Row],[Performance_Score]]))</f>
        <v>Excellent</v>
      </c>
      <c r="L376" s="3" t="b">
        <f>Table1[[#This Row],[Remote_Work]]</f>
        <v>0</v>
      </c>
      <c r="M376" s="3" t="str">
        <f>PROPER(CONCATENATE(Table13[[#This Row],[First_Name]], Table13[[#This Row],[Last_Name]]))</f>
        <v>Bobsmith</v>
      </c>
      <c r="N376" s="3" t="str">
        <f t="shared" si="5"/>
        <v>Dec</v>
      </c>
      <c r="O376" s="3" t="str">
        <f>TEXT(Table13[[#This Row],[Join_Date]],"yyyy")</f>
        <v>2022</v>
      </c>
      <c r="P376" s="3" t="str">
        <f>LEFT('Main Project Raw Data'!E376,FIND("-",'Main Project Raw Data'!E376)-1)</f>
        <v>HR</v>
      </c>
      <c r="Q376" s="3" t="str">
        <f>RIGHT('Main Project Raw Data'!E376,LEN('Main Project Raw Data'!E376)-FIND("-",'Main Project Raw Data'!E376))</f>
        <v>Nevada</v>
      </c>
    </row>
    <row r="377" spans="1:17" x14ac:dyDescent="0.3">
      <c r="A377" s="3" t="str">
        <f>TRIM(Table1[[#This Row],[Employee_ID]])</f>
        <v>EMP1375</v>
      </c>
      <c r="B377" s="3" t="str">
        <f>TRIM(Table1[[#This Row],[First_Name]])</f>
        <v>Grace</v>
      </c>
      <c r="C377" s="3" t="str">
        <f>TRIM(Table1[[#This Row],[Last_Name]])</f>
        <v>Brown</v>
      </c>
      <c r="D377" s="3">
        <f>IF(Table1[[#This Row],[Age]]="",AVERAGE(Table1[Age]),Table1[[#This Row],[Age]])</f>
        <v>40</v>
      </c>
      <c r="E377" s="3" t="s">
        <v>205</v>
      </c>
      <c r="F377" s="3" t="s">
        <v>28</v>
      </c>
      <c r="G377" s="5">
        <f>IF(ISNUMBER('Main Project Raw Data'!G377),'Main Project Raw Data'!G377,IF(ISNUMBER(SEARCH("/",'Main Project Raw Data'!G377)),DATE(RIGHT('Main Project Raw Data'!G377,4),LEFT('Main Project Raw Data'!G377,FIND("/",'Main Project Raw Data'!G377)-1),MID('Main Project Raw Data'!G377,FIND("/",'Main Project Raw Data'!G377)+1,2)),DATE(RIGHT('Main Project Raw Data'!G377,4),MID('Main Project Raw Data'!G377,4,2),LEFT('Main Project Raw Data'!G377,2))))</f>
        <v>45047</v>
      </c>
      <c r="H377" s="3">
        <f>IF(Table1[[#This Row],[Salary]]="",AVERAGE(Table1[Salary]),Table1[[#This Row],[Salary]])</f>
        <v>98540.3</v>
      </c>
      <c r="I377" s="3" t="s">
        <v>201</v>
      </c>
      <c r="J377" s="3">
        <f>ABS(Table1[[#This Row],[Phone]])</f>
        <v>2510505378</v>
      </c>
      <c r="K377" s="3" t="str">
        <f>PROPER(TRIM(Table1[[#This Row],[Performance_Score]]))</f>
        <v>Good</v>
      </c>
      <c r="L377" s="3" t="b">
        <f>Table1[[#This Row],[Remote_Work]]</f>
        <v>0</v>
      </c>
      <c r="M377" s="3" t="str">
        <f>PROPER(CONCATENATE(Table13[[#This Row],[First_Name]], Table13[[#This Row],[Last_Name]]))</f>
        <v>Gracebrown</v>
      </c>
      <c r="N377" s="3" t="str">
        <f t="shared" si="5"/>
        <v>May</v>
      </c>
      <c r="O377" s="3" t="str">
        <f>TEXT(Table13[[#This Row],[Join_Date]],"yyyy")</f>
        <v>2023</v>
      </c>
      <c r="P377" s="3" t="str">
        <f>LEFT('Main Project Raw Data'!E377,FIND("-",'Main Project Raw Data'!E377)-1)</f>
        <v>Admin</v>
      </c>
      <c r="Q377" s="3" t="str">
        <f>RIGHT('Main Project Raw Data'!E377,LEN('Main Project Raw Data'!E377)-FIND("-",'Main Project Raw Data'!E377))</f>
        <v>Florida</v>
      </c>
    </row>
    <row r="378" spans="1:17" x14ac:dyDescent="0.3">
      <c r="A378" s="3" t="str">
        <f>TRIM(Table1[[#This Row],[Employee_ID]])</f>
        <v>EMP1376</v>
      </c>
      <c r="B378" s="3" t="str">
        <f>TRIM(Table1[[#This Row],[First_Name]])</f>
        <v>Charlie</v>
      </c>
      <c r="C378" s="3" t="str">
        <f>TRIM(Table1[[#This Row],[Last_Name]])</f>
        <v>Brown</v>
      </c>
      <c r="D378" s="3">
        <f>IF(Table1[[#This Row],[Age]]="",AVERAGE(Table1[Age]),Table1[[#This Row],[Age]])</f>
        <v>32.484548825710753</v>
      </c>
      <c r="E378" s="3" t="s">
        <v>205</v>
      </c>
      <c r="F378" s="3" t="s">
        <v>33</v>
      </c>
      <c r="G378" s="5">
        <f>IF(ISNUMBER('Main Project Raw Data'!G378),'Main Project Raw Data'!G378,IF(ISNUMBER(SEARCH("/",'Main Project Raw Data'!G378)),DATE(RIGHT('Main Project Raw Data'!G378,4),LEFT('Main Project Raw Data'!G378,FIND("/",'Main Project Raw Data'!G378)-1),MID('Main Project Raw Data'!G378,FIND("/",'Main Project Raw Data'!G378)+1,2)),DATE(RIGHT('Main Project Raw Data'!G378,4),MID('Main Project Raw Data'!G378,4,2),LEFT('Main Project Raw Data'!G378,2))))</f>
        <v>44118</v>
      </c>
      <c r="H378" s="3">
        <f>IF(Table1[[#This Row],[Salary]]="",AVERAGE(Table1[Salary]),Table1[[#This Row],[Salary]])</f>
        <v>63096.9</v>
      </c>
      <c r="I378" s="3" t="s">
        <v>125</v>
      </c>
      <c r="J378" s="3">
        <f>ABS(Table1[[#This Row],[Phone]])</f>
        <v>5381649382</v>
      </c>
      <c r="K378" s="3" t="str">
        <f>PROPER(TRIM(Table1[[#This Row],[Performance_Score]]))</f>
        <v>Average</v>
      </c>
      <c r="L378" s="3" t="b">
        <f>Table1[[#This Row],[Remote_Work]]</f>
        <v>0</v>
      </c>
      <c r="M378" s="3" t="str">
        <f>PROPER(CONCATENATE(Table13[[#This Row],[First_Name]], Table13[[#This Row],[Last_Name]]))</f>
        <v>Charliebrown</v>
      </c>
      <c r="N378" s="3" t="str">
        <f t="shared" si="5"/>
        <v>Oct</v>
      </c>
      <c r="O378" s="3" t="str">
        <f>TEXT(Table13[[#This Row],[Join_Date]],"yyyy")</f>
        <v>2020</v>
      </c>
      <c r="P378" s="3" t="str">
        <f>LEFT('Main Project Raw Data'!E378,FIND("-",'Main Project Raw Data'!E378)-1)</f>
        <v>Admin</v>
      </c>
      <c r="Q378" s="3" t="str">
        <f>RIGHT('Main Project Raw Data'!E378,LEN('Main Project Raw Data'!E378)-FIND("-",'Main Project Raw Data'!E378))</f>
        <v>Florida</v>
      </c>
    </row>
    <row r="379" spans="1:17" x14ac:dyDescent="0.3">
      <c r="A379" s="3" t="str">
        <f>TRIM(Table1[[#This Row],[Employee_ID]])</f>
        <v>EMP1377</v>
      </c>
      <c r="B379" s="3" t="str">
        <f>TRIM(Table1[[#This Row],[First_Name]])</f>
        <v>Alice</v>
      </c>
      <c r="C379" s="3" t="str">
        <f>TRIM(Table1[[#This Row],[Last_Name]])</f>
        <v>Smith</v>
      </c>
      <c r="D379" s="3">
        <f>IF(Table1[[#This Row],[Age]]="",AVERAGE(Table1[Age]),Table1[[#This Row],[Age]])</f>
        <v>35</v>
      </c>
      <c r="E379" s="3" t="s">
        <v>39</v>
      </c>
      <c r="F379" s="3" t="s">
        <v>16</v>
      </c>
      <c r="G379" s="5">
        <f>IF(ISNUMBER('Main Project Raw Data'!G379),'Main Project Raw Data'!G379,IF(ISNUMBER(SEARCH("/",'Main Project Raw Data'!G379)),DATE(RIGHT('Main Project Raw Data'!G379,4),LEFT('Main Project Raw Data'!G379,FIND("/",'Main Project Raw Data'!G379)-1),MID('Main Project Raw Data'!G379,FIND("/",'Main Project Raw Data'!G379)+1,2)),DATE(RIGHT('Main Project Raw Data'!G379,4),MID('Main Project Raw Data'!G379,4,2),LEFT('Main Project Raw Data'!G379,2))))</f>
        <v>44257</v>
      </c>
      <c r="H379" s="3">
        <f>IF(Table1[[#This Row],[Salary]]="",AVERAGE(Table1[Salary]),Table1[[#This Row],[Salary]])</f>
        <v>107065.12</v>
      </c>
      <c r="I379" s="3" t="s">
        <v>182</v>
      </c>
      <c r="J379" s="3">
        <f>ABS(Table1[[#This Row],[Phone]])</f>
        <v>1849196654</v>
      </c>
      <c r="K379" s="3" t="str">
        <f>PROPER(TRIM(Table1[[#This Row],[Performance_Score]]))</f>
        <v>Average</v>
      </c>
      <c r="L379" s="3" t="b">
        <f>Table1[[#This Row],[Remote_Work]]</f>
        <v>0</v>
      </c>
      <c r="M379" s="3" t="str">
        <f>PROPER(CONCATENATE(Table13[[#This Row],[First_Name]], Table13[[#This Row],[Last_Name]]))</f>
        <v>Alicesmith</v>
      </c>
      <c r="N379" s="3" t="str">
        <f t="shared" si="5"/>
        <v>Mar</v>
      </c>
      <c r="O379" s="3" t="str">
        <f>TEXT(Table13[[#This Row],[Join_Date]],"yyyy")</f>
        <v>2021</v>
      </c>
      <c r="P379" s="3" t="str">
        <f>LEFT('Main Project Raw Data'!E379,FIND("-",'Main Project Raw Data'!E379)-1)</f>
        <v>Cloud Tech</v>
      </c>
      <c r="Q379" s="3" t="str">
        <f>RIGHT('Main Project Raw Data'!E379,LEN('Main Project Raw Data'!E379)-FIND("-",'Main Project Raw Data'!E379))</f>
        <v>Florida</v>
      </c>
    </row>
    <row r="380" spans="1:17" x14ac:dyDescent="0.3">
      <c r="A380" s="3" t="str">
        <f>TRIM(Table1[[#This Row],[Employee_ID]])</f>
        <v>EMP1378</v>
      </c>
      <c r="B380" s="3" t="str">
        <f>TRIM(Table1[[#This Row],[First_Name]])</f>
        <v>Heidi</v>
      </c>
      <c r="C380" s="3" t="str">
        <f>TRIM(Table1[[#This Row],[Last_Name]])</f>
        <v>Johnson</v>
      </c>
      <c r="D380" s="3">
        <f>IF(Table1[[#This Row],[Age]]="",AVERAGE(Table1[Age]),Table1[[#This Row],[Age]])</f>
        <v>40</v>
      </c>
      <c r="E380" s="3" t="s">
        <v>230</v>
      </c>
      <c r="F380" s="3" t="s">
        <v>33</v>
      </c>
      <c r="G380" s="5">
        <f>IF(ISNUMBER('Main Project Raw Data'!G380),'Main Project Raw Data'!G380,IF(ISNUMBER(SEARCH("/",'Main Project Raw Data'!G380)),DATE(RIGHT('Main Project Raw Data'!G380,4),LEFT('Main Project Raw Data'!G380,FIND("/",'Main Project Raw Data'!G380)-1),MID('Main Project Raw Data'!G380,FIND("/",'Main Project Raw Data'!G380)+1,2)),DATE(RIGHT('Main Project Raw Data'!G380,4),MID('Main Project Raw Data'!G380,4,2),LEFT('Main Project Raw Data'!G380,2))))</f>
        <v>45285</v>
      </c>
      <c r="H380" s="3">
        <f>IF(Table1[[#This Row],[Salary]]="",AVERAGE(Table1[Salary]),Table1[[#This Row],[Salary]])</f>
        <v>108792.43</v>
      </c>
      <c r="I380" s="3" t="s">
        <v>113</v>
      </c>
      <c r="J380" s="3">
        <f>ABS(Table1[[#This Row],[Phone]])</f>
        <v>3307704610</v>
      </c>
      <c r="K380" s="3" t="str">
        <f>PROPER(TRIM(Table1[[#This Row],[Performance_Score]]))</f>
        <v>Poor</v>
      </c>
      <c r="L380" s="3" t="b">
        <f>Table1[[#This Row],[Remote_Work]]</f>
        <v>1</v>
      </c>
      <c r="M380" s="3" t="str">
        <f>PROPER(CONCATENATE(Table13[[#This Row],[First_Name]], Table13[[#This Row],[Last_Name]]))</f>
        <v>Heidijohnson</v>
      </c>
      <c r="N380" s="3" t="str">
        <f t="shared" si="5"/>
        <v>Dec</v>
      </c>
      <c r="O380" s="3" t="str">
        <f>TEXT(Table13[[#This Row],[Join_Date]],"yyyy")</f>
        <v>2023</v>
      </c>
      <c r="P380" s="3" t="str">
        <f>LEFT('Main Project Raw Data'!E380,FIND("-",'Main Project Raw Data'!E380)-1)</f>
        <v>DevOps</v>
      </c>
      <c r="Q380" s="3" t="str">
        <f>RIGHT('Main Project Raw Data'!E380,LEN('Main Project Raw Data'!E380)-FIND("-",'Main Project Raw Data'!E380))</f>
        <v>Florida</v>
      </c>
    </row>
    <row r="381" spans="1:17" x14ac:dyDescent="0.3">
      <c r="A381" s="3" t="str">
        <f>TRIM(Table1[[#This Row],[Employee_ID]])</f>
        <v>EMP1379</v>
      </c>
      <c r="B381" s="3" t="str">
        <f>TRIM(Table1[[#This Row],[First_Name]])</f>
        <v>Bob</v>
      </c>
      <c r="C381" s="3" t="str">
        <f>TRIM(Table1[[#This Row],[Last_Name]])</f>
        <v>Smith</v>
      </c>
      <c r="D381" s="3">
        <f>IF(Table1[[#This Row],[Age]]="",AVERAGE(Table1[Age]),Table1[[#This Row],[Age]])</f>
        <v>32.484548825710753</v>
      </c>
      <c r="E381" s="3" t="s">
        <v>60</v>
      </c>
      <c r="F381" s="3" t="s">
        <v>33</v>
      </c>
      <c r="G381" s="5">
        <f>IF(ISNUMBER('Main Project Raw Data'!G381),'Main Project Raw Data'!G381,IF(ISNUMBER(SEARCH("/",'Main Project Raw Data'!G381)),DATE(RIGHT('Main Project Raw Data'!G381,4),LEFT('Main Project Raw Data'!G381,FIND("/",'Main Project Raw Data'!G381)-1),MID('Main Project Raw Data'!G381,FIND("/",'Main Project Raw Data'!G381)+1,2)),DATE(RIGHT('Main Project Raw Data'!G381,4),MID('Main Project Raw Data'!G381,4,2),LEFT('Main Project Raw Data'!G381,2))))</f>
        <v>44015</v>
      </c>
      <c r="H381" s="3">
        <f>IF(Table1[[#This Row],[Salary]]="",AVERAGE(Table1[Salary]),Table1[[#This Row],[Salary]])</f>
        <v>69239.7</v>
      </c>
      <c r="I381" s="3" t="s">
        <v>123</v>
      </c>
      <c r="J381" s="3">
        <f>ABS(Table1[[#This Row],[Phone]])</f>
        <v>7295963903</v>
      </c>
      <c r="K381" s="3" t="str">
        <f>PROPER(TRIM(Table1[[#This Row],[Performance_Score]]))</f>
        <v>Excellent</v>
      </c>
      <c r="L381" s="3" t="b">
        <f>Table1[[#This Row],[Remote_Work]]</f>
        <v>0</v>
      </c>
      <c r="M381" s="3" t="str">
        <f>PROPER(CONCATENATE(Table13[[#This Row],[First_Name]], Table13[[#This Row],[Last_Name]]))</f>
        <v>Bobsmith</v>
      </c>
      <c r="N381" s="3" t="str">
        <f t="shared" si="5"/>
        <v>Jul</v>
      </c>
      <c r="O381" s="3" t="str">
        <f>TEXT(Table13[[#This Row],[Join_Date]],"yyyy")</f>
        <v>2020</v>
      </c>
      <c r="P381" s="3" t="str">
        <f>LEFT('Main Project Raw Data'!E381,FIND("-",'Main Project Raw Data'!E381)-1)</f>
        <v>Cloud Tech</v>
      </c>
      <c r="Q381" s="3" t="str">
        <f>RIGHT('Main Project Raw Data'!E381,LEN('Main Project Raw Data'!E381)-FIND("-",'Main Project Raw Data'!E381))</f>
        <v>New York</v>
      </c>
    </row>
    <row r="382" spans="1:17" x14ac:dyDescent="0.3">
      <c r="A382" s="3" t="str">
        <f>TRIM(Table1[[#This Row],[Employee_ID]])</f>
        <v>EMP1380</v>
      </c>
      <c r="B382" s="3" t="str">
        <f>TRIM(Table1[[#This Row],[First_Name]])</f>
        <v>Charlie</v>
      </c>
      <c r="C382" s="3" t="str">
        <f>TRIM(Table1[[#This Row],[Last_Name]])</f>
        <v>Garcia</v>
      </c>
      <c r="D382" s="3">
        <f>IF(Table1[[#This Row],[Age]]="",AVERAGE(Table1[Age]),Table1[[#This Row],[Age]])</f>
        <v>40</v>
      </c>
      <c r="E382" s="3" t="s">
        <v>219</v>
      </c>
      <c r="F382" s="3" t="s">
        <v>33</v>
      </c>
      <c r="G382" s="5">
        <f>IF(ISNUMBER('Main Project Raw Data'!G382),'Main Project Raw Data'!G382,IF(ISNUMBER(SEARCH("/",'Main Project Raw Data'!G382)),DATE(RIGHT('Main Project Raw Data'!G382,4),LEFT('Main Project Raw Data'!G382,FIND("/",'Main Project Raw Data'!G382)-1),MID('Main Project Raw Data'!G382,FIND("/",'Main Project Raw Data'!G382)+1,2)),DATE(RIGHT('Main Project Raw Data'!G382,4),MID('Main Project Raw Data'!G382,4,2),LEFT('Main Project Raw Data'!G382,2))))</f>
        <v>44956</v>
      </c>
      <c r="H382" s="3">
        <f>IF(Table1[[#This Row],[Salary]]="",AVERAGE(Table1[Salary]),Table1[[#This Row],[Salary]])</f>
        <v>85756.42</v>
      </c>
      <c r="I382" s="3" t="s">
        <v>87</v>
      </c>
      <c r="J382" s="3">
        <f>ABS(Table1[[#This Row],[Phone]])</f>
        <v>907426087</v>
      </c>
      <c r="K382" s="3" t="str">
        <f>PROPER(TRIM(Table1[[#This Row],[Performance_Score]]))</f>
        <v>Average</v>
      </c>
      <c r="L382" s="3" t="b">
        <f>Table1[[#This Row],[Remote_Work]]</f>
        <v>1</v>
      </c>
      <c r="M382" s="3" t="str">
        <f>PROPER(CONCATENATE(Table13[[#This Row],[First_Name]], Table13[[#This Row],[Last_Name]]))</f>
        <v>Charliegarcia</v>
      </c>
      <c r="N382" s="3" t="str">
        <f t="shared" si="5"/>
        <v>Jan</v>
      </c>
      <c r="O382" s="3" t="str">
        <f>TEXT(Table13[[#This Row],[Join_Date]],"yyyy")</f>
        <v>2023</v>
      </c>
      <c r="P382" s="3" t="str">
        <f>LEFT('Main Project Raw Data'!E382,FIND("-",'Main Project Raw Data'!E382)-1)</f>
        <v>Sales</v>
      </c>
      <c r="Q382" s="3" t="str">
        <f>RIGHT('Main Project Raw Data'!E382,LEN('Main Project Raw Data'!E382)-FIND("-",'Main Project Raw Data'!E382))</f>
        <v>Nevada</v>
      </c>
    </row>
    <row r="383" spans="1:17" x14ac:dyDescent="0.3">
      <c r="A383" s="3" t="str">
        <f>TRIM(Table1[[#This Row],[Employee_ID]])</f>
        <v>EMP1381</v>
      </c>
      <c r="B383" s="3" t="str">
        <f>TRIM(Table1[[#This Row],[First_Name]])</f>
        <v>Eva</v>
      </c>
      <c r="C383" s="3" t="str">
        <f>TRIM(Table1[[#This Row],[Last_Name]])</f>
        <v>Miller</v>
      </c>
      <c r="D383" s="3">
        <f>IF(Table1[[#This Row],[Age]]="",AVERAGE(Table1[Age]),Table1[[#This Row],[Age]])</f>
        <v>32.484548825710753</v>
      </c>
      <c r="E383" s="3" t="s">
        <v>192</v>
      </c>
      <c r="F383" s="3" t="s">
        <v>16</v>
      </c>
      <c r="G383" s="5">
        <f>IF(ISNUMBER('Main Project Raw Data'!G383),'Main Project Raw Data'!G383,IF(ISNUMBER(SEARCH("/",'Main Project Raw Data'!G383)),DATE(RIGHT('Main Project Raw Data'!G383,4),LEFT('Main Project Raw Data'!G383,FIND("/",'Main Project Raw Data'!G383)-1),MID('Main Project Raw Data'!G383,FIND("/",'Main Project Raw Data'!G383)+1,2)),DATE(RIGHT('Main Project Raw Data'!G383,4),MID('Main Project Raw Data'!G383,4,2),LEFT('Main Project Raw Data'!G383,2))))</f>
        <v>45416</v>
      </c>
      <c r="H383" s="3">
        <f>IF(Table1[[#This Row],[Salary]]="",AVERAGE(Table1[Salary]),Table1[[#This Row],[Salary]])</f>
        <v>100328.62</v>
      </c>
      <c r="I383" s="3" t="s">
        <v>263</v>
      </c>
      <c r="J383" s="3">
        <f>ABS(Table1[[#This Row],[Phone]])</f>
        <v>501716444</v>
      </c>
      <c r="K383" s="3" t="str">
        <f>PROPER(TRIM(Table1[[#This Row],[Performance_Score]]))</f>
        <v>Average</v>
      </c>
      <c r="L383" s="3" t="b">
        <f>Table1[[#This Row],[Remote_Work]]</f>
        <v>1</v>
      </c>
      <c r="M383" s="3" t="str">
        <f>PROPER(CONCATENATE(Table13[[#This Row],[First_Name]], Table13[[#This Row],[Last_Name]]))</f>
        <v>Evamiller</v>
      </c>
      <c r="N383" s="3" t="str">
        <f t="shared" si="5"/>
        <v>May</v>
      </c>
      <c r="O383" s="3" t="str">
        <f>TEXT(Table13[[#This Row],[Join_Date]],"yyyy")</f>
        <v>2024</v>
      </c>
      <c r="P383" s="3" t="str">
        <f>LEFT('Main Project Raw Data'!E383,FIND("-",'Main Project Raw Data'!E383)-1)</f>
        <v>HR</v>
      </c>
      <c r="Q383" s="3" t="str">
        <f>RIGHT('Main Project Raw Data'!E383,LEN('Main Project Raw Data'!E383)-FIND("-",'Main Project Raw Data'!E383))</f>
        <v>Illinois</v>
      </c>
    </row>
    <row r="384" spans="1:17" x14ac:dyDescent="0.3">
      <c r="A384" s="3" t="str">
        <f>TRIM(Table1[[#This Row],[Employee_ID]])</f>
        <v>EMP1382</v>
      </c>
      <c r="B384" s="3" t="str">
        <f>TRIM(Table1[[#This Row],[First_Name]])</f>
        <v>Grace</v>
      </c>
      <c r="C384" s="3" t="str">
        <f>TRIM(Table1[[#This Row],[Last_Name]])</f>
        <v>Brown</v>
      </c>
      <c r="D384" s="3">
        <f>IF(Table1[[#This Row],[Age]]="",AVERAGE(Table1[Age]),Table1[[#This Row],[Age]])</f>
        <v>25</v>
      </c>
      <c r="E384" s="3" t="s">
        <v>328</v>
      </c>
      <c r="F384" s="3" t="s">
        <v>16</v>
      </c>
      <c r="G384" s="5">
        <f>IF(ISNUMBER('Main Project Raw Data'!G384),'Main Project Raw Data'!G384,IF(ISNUMBER(SEARCH("/",'Main Project Raw Data'!G384)),DATE(RIGHT('Main Project Raw Data'!G384,4),LEFT('Main Project Raw Data'!G384,FIND("/",'Main Project Raw Data'!G384)-1),MID('Main Project Raw Data'!G384,FIND("/",'Main Project Raw Data'!G384)+1,2)),DATE(RIGHT('Main Project Raw Data'!G384,4),MID('Main Project Raw Data'!G384,4,2),LEFT('Main Project Raw Data'!G384,2))))</f>
        <v>44205</v>
      </c>
      <c r="H384" s="3">
        <f>IF(Table1[[#This Row],[Salary]]="",AVERAGE(Table1[Salary]),Table1[[#This Row],[Salary]])</f>
        <v>111236.69</v>
      </c>
      <c r="I384" s="3" t="s">
        <v>201</v>
      </c>
      <c r="J384" s="3">
        <f>ABS(Table1[[#This Row],[Phone]])</f>
        <v>5618579063</v>
      </c>
      <c r="K384" s="3" t="str">
        <f>PROPER(TRIM(Table1[[#This Row],[Performance_Score]]))</f>
        <v>Excellent</v>
      </c>
      <c r="L384" s="3" t="b">
        <f>Table1[[#This Row],[Remote_Work]]</f>
        <v>1</v>
      </c>
      <c r="M384" s="3" t="str">
        <f>PROPER(CONCATENATE(Table13[[#This Row],[First_Name]], Table13[[#This Row],[Last_Name]]))</f>
        <v>Gracebrown</v>
      </c>
      <c r="N384" s="3" t="str">
        <f t="shared" si="5"/>
        <v>Jan</v>
      </c>
      <c r="O384" s="3" t="str">
        <f>TEXT(Table13[[#This Row],[Join_Date]],"yyyy")</f>
        <v>2021</v>
      </c>
      <c r="P384" s="3" t="str">
        <f>LEFT('Main Project Raw Data'!E384,FIND("-",'Main Project Raw Data'!E384)-1)</f>
        <v>DevOps</v>
      </c>
      <c r="Q384" s="3" t="str">
        <f>RIGHT('Main Project Raw Data'!E384,LEN('Main Project Raw Data'!E384)-FIND("-",'Main Project Raw Data'!E384))</f>
        <v>Nevada</v>
      </c>
    </row>
    <row r="385" spans="1:17" x14ac:dyDescent="0.3">
      <c r="A385" s="3" t="str">
        <f>TRIM(Table1[[#This Row],[Employee_ID]])</f>
        <v>EMP1383</v>
      </c>
      <c r="B385" s="3" t="str">
        <f>TRIM(Table1[[#This Row],[First_Name]])</f>
        <v>Eva</v>
      </c>
      <c r="C385" s="3" t="str">
        <f>TRIM(Table1[[#This Row],[Last_Name]])</f>
        <v>Jones</v>
      </c>
      <c r="D385" s="3">
        <f>IF(Table1[[#This Row],[Age]]="",AVERAGE(Table1[Age]),Table1[[#This Row],[Age]])</f>
        <v>35</v>
      </c>
      <c r="E385" s="3" t="s">
        <v>39</v>
      </c>
      <c r="F385" s="3" t="s">
        <v>16</v>
      </c>
      <c r="G385" s="5">
        <f>IF(ISNUMBER('Main Project Raw Data'!G385),'Main Project Raw Data'!G385,IF(ISNUMBER(SEARCH("/",'Main Project Raw Data'!G385)),DATE(RIGHT('Main Project Raw Data'!G385,4),LEFT('Main Project Raw Data'!G385,FIND("/",'Main Project Raw Data'!G385)-1),MID('Main Project Raw Data'!G385,FIND("/",'Main Project Raw Data'!G385)+1,2)),DATE(RIGHT('Main Project Raw Data'!G385,4),MID('Main Project Raw Data'!G385,4,2),LEFT('Main Project Raw Data'!G385,2))))</f>
        <v>45478</v>
      </c>
      <c r="H385" s="3">
        <f>IF(Table1[[#This Row],[Salary]]="",AVERAGE(Table1[Salary]),Table1[[#This Row],[Salary]])</f>
        <v>106832.22</v>
      </c>
      <c r="I385" s="3" t="s">
        <v>277</v>
      </c>
      <c r="J385" s="3">
        <f>ABS(Table1[[#This Row],[Phone]])</f>
        <v>7715910299</v>
      </c>
      <c r="K385" s="3" t="str">
        <f>PROPER(TRIM(Table1[[#This Row],[Performance_Score]]))</f>
        <v>Good</v>
      </c>
      <c r="L385" s="3" t="b">
        <f>Table1[[#This Row],[Remote_Work]]</f>
        <v>1</v>
      </c>
      <c r="M385" s="3" t="str">
        <f>PROPER(CONCATENATE(Table13[[#This Row],[First_Name]], Table13[[#This Row],[Last_Name]]))</f>
        <v>Evajones</v>
      </c>
      <c r="N385" s="3" t="str">
        <f t="shared" si="5"/>
        <v>Jul</v>
      </c>
      <c r="O385" s="3" t="str">
        <f>TEXT(Table13[[#This Row],[Join_Date]],"yyyy")</f>
        <v>2024</v>
      </c>
      <c r="P385" s="3" t="str">
        <f>LEFT('Main Project Raw Data'!E385,FIND("-",'Main Project Raw Data'!E385)-1)</f>
        <v>Cloud Tech</v>
      </c>
      <c r="Q385" s="3" t="str">
        <f>RIGHT('Main Project Raw Data'!E385,LEN('Main Project Raw Data'!E385)-FIND("-",'Main Project Raw Data'!E385))</f>
        <v>Florida</v>
      </c>
    </row>
    <row r="386" spans="1:17" x14ac:dyDescent="0.3">
      <c r="A386" s="3" t="str">
        <f>TRIM(Table1[[#This Row],[Employee_ID]])</f>
        <v>EMP1384</v>
      </c>
      <c r="B386" s="3" t="str">
        <f>TRIM(Table1[[#This Row],[First_Name]])</f>
        <v>Frank</v>
      </c>
      <c r="C386" s="3" t="str">
        <f>TRIM(Table1[[#This Row],[Last_Name]])</f>
        <v>Jones</v>
      </c>
      <c r="D386" s="3">
        <f>IF(Table1[[#This Row],[Age]]="",AVERAGE(Table1[Age]),Table1[[#This Row],[Age]])</f>
        <v>32.484548825710753</v>
      </c>
      <c r="E386" s="3" t="s">
        <v>230</v>
      </c>
      <c r="F386" s="3" t="s">
        <v>16</v>
      </c>
      <c r="G386" s="5">
        <f>IF(ISNUMBER('Main Project Raw Data'!G386),'Main Project Raw Data'!G386,IF(ISNUMBER(SEARCH("/",'Main Project Raw Data'!G386)),DATE(RIGHT('Main Project Raw Data'!G386,4),LEFT('Main Project Raw Data'!G386,FIND("/",'Main Project Raw Data'!G386)-1),MID('Main Project Raw Data'!G386,FIND("/",'Main Project Raw Data'!G386)+1,2)),DATE(RIGHT('Main Project Raw Data'!G386,4),MID('Main Project Raw Data'!G386,4,2),LEFT('Main Project Raw Data'!G386,2))))</f>
        <v>45092</v>
      </c>
      <c r="H386" s="3">
        <f>IF(Table1[[#This Row],[Salary]]="",AVERAGE(Table1[Salary]),Table1[[#This Row],[Salary]])</f>
        <v>59746.45</v>
      </c>
      <c r="I386" s="3" t="s">
        <v>47</v>
      </c>
      <c r="J386" s="3">
        <f>ABS(Table1[[#This Row],[Phone]])</f>
        <v>2156321357</v>
      </c>
      <c r="K386" s="3" t="str">
        <f>PROPER(TRIM(Table1[[#This Row],[Performance_Score]]))</f>
        <v>Good</v>
      </c>
      <c r="L386" s="3" t="b">
        <f>Table1[[#This Row],[Remote_Work]]</f>
        <v>1</v>
      </c>
      <c r="M386" s="3" t="str">
        <f>PROPER(CONCATENATE(Table13[[#This Row],[First_Name]], Table13[[#This Row],[Last_Name]]))</f>
        <v>Frankjones</v>
      </c>
      <c r="N386" s="3" t="str">
        <f t="shared" ref="N386:N449" si="6">TEXT(G386,"mmm")</f>
        <v>Jun</v>
      </c>
      <c r="O386" s="3" t="str">
        <f>TEXT(Table13[[#This Row],[Join_Date]],"yyyy")</f>
        <v>2023</v>
      </c>
      <c r="P386" s="3" t="str">
        <f>LEFT('Main Project Raw Data'!E386,FIND("-",'Main Project Raw Data'!E386)-1)</f>
        <v>DevOps</v>
      </c>
      <c r="Q386" s="3" t="str">
        <f>RIGHT('Main Project Raw Data'!E386,LEN('Main Project Raw Data'!E386)-FIND("-",'Main Project Raw Data'!E386))</f>
        <v>Florida</v>
      </c>
    </row>
    <row r="387" spans="1:17" x14ac:dyDescent="0.3">
      <c r="A387" s="3" t="str">
        <f>TRIM(Table1[[#This Row],[Employee_ID]])</f>
        <v>EMP1385</v>
      </c>
      <c r="B387" s="3" t="str">
        <f>TRIM(Table1[[#This Row],[First_Name]])</f>
        <v>David</v>
      </c>
      <c r="C387" s="3" t="str">
        <f>TRIM(Table1[[#This Row],[Last_Name]])</f>
        <v>Garcia</v>
      </c>
      <c r="D387" s="3">
        <f>IF(Table1[[#This Row],[Age]]="",AVERAGE(Table1[Age]),Table1[[#This Row],[Age]])</f>
        <v>25</v>
      </c>
      <c r="E387" s="3" t="s">
        <v>177</v>
      </c>
      <c r="F387" s="3" t="s">
        <v>28</v>
      </c>
      <c r="G387" s="5">
        <f>IF(ISNUMBER('Main Project Raw Data'!G387),'Main Project Raw Data'!G387,IF(ISNUMBER(SEARCH("/",'Main Project Raw Data'!G387)),DATE(RIGHT('Main Project Raw Data'!G387,4),LEFT('Main Project Raw Data'!G387,FIND("/",'Main Project Raw Data'!G387)-1),MID('Main Project Raw Data'!G387,FIND("/",'Main Project Raw Data'!G387)+1,2)),DATE(RIGHT('Main Project Raw Data'!G387,4),MID('Main Project Raw Data'!G387,4,2),LEFT('Main Project Raw Data'!G387,2))))</f>
        <v>44406</v>
      </c>
      <c r="H387" s="3">
        <f>IF(Table1[[#This Row],[Salary]]="",AVERAGE(Table1[Salary]),Table1[[#This Row],[Salary]])</f>
        <v>91780.04</v>
      </c>
      <c r="I387" s="3" t="s">
        <v>101</v>
      </c>
      <c r="J387" s="3">
        <f>ABS(Table1[[#This Row],[Phone]])</f>
        <v>40104144</v>
      </c>
      <c r="K387" s="3" t="str">
        <f>PROPER(TRIM(Table1[[#This Row],[Performance_Score]]))</f>
        <v>Poor</v>
      </c>
      <c r="L387" s="3" t="b">
        <f>Table1[[#This Row],[Remote_Work]]</f>
        <v>1</v>
      </c>
      <c r="M387" s="3" t="str">
        <f>PROPER(CONCATENATE(Table13[[#This Row],[First_Name]], Table13[[#This Row],[Last_Name]]))</f>
        <v>Davidgarcia</v>
      </c>
      <c r="N387" s="3" t="str">
        <f t="shared" si="6"/>
        <v>Jul</v>
      </c>
      <c r="O387" s="3" t="str">
        <f>TEXT(Table13[[#This Row],[Join_Date]],"yyyy")</f>
        <v>2021</v>
      </c>
      <c r="P387" s="3" t="str">
        <f>LEFT('Main Project Raw Data'!E387,FIND("-",'Main Project Raw Data'!E387)-1)</f>
        <v>Sales</v>
      </c>
      <c r="Q387" s="3" t="str">
        <f>RIGHT('Main Project Raw Data'!E387,LEN('Main Project Raw Data'!E387)-FIND("-",'Main Project Raw Data'!E387))</f>
        <v>California</v>
      </c>
    </row>
    <row r="388" spans="1:17" x14ac:dyDescent="0.3">
      <c r="A388" s="3" t="str">
        <f>TRIM(Table1[[#This Row],[Employee_ID]])</f>
        <v>EMP1386</v>
      </c>
      <c r="B388" s="3" t="str">
        <f>TRIM(Table1[[#This Row],[First_Name]])</f>
        <v>Eva</v>
      </c>
      <c r="C388" s="3" t="str">
        <f>TRIM(Table1[[#This Row],[Last_Name]])</f>
        <v>Williams</v>
      </c>
      <c r="D388" s="3">
        <f>IF(Table1[[#This Row],[Age]]="",AVERAGE(Table1[Age]),Table1[[#This Row],[Age]])</f>
        <v>35</v>
      </c>
      <c r="E388" s="3" t="s">
        <v>177</v>
      </c>
      <c r="F388" s="3" t="s">
        <v>28</v>
      </c>
      <c r="G388" s="5">
        <f>IF(ISNUMBER('Main Project Raw Data'!G388),'Main Project Raw Data'!G388,IF(ISNUMBER(SEARCH("/",'Main Project Raw Data'!G388)),DATE(RIGHT('Main Project Raw Data'!G388,4),LEFT('Main Project Raw Data'!G388,FIND("/",'Main Project Raw Data'!G388)-1),MID('Main Project Raw Data'!G388,FIND("/",'Main Project Raw Data'!G388)+1,2)),DATE(RIGHT('Main Project Raw Data'!G388,4),MID('Main Project Raw Data'!G388,4,2),LEFT('Main Project Raw Data'!G388,2))))</f>
        <v>45222</v>
      </c>
      <c r="H388" s="3">
        <f>IF(Table1[[#This Row],[Salary]]="",AVERAGE(Table1[Salary]),Table1[[#This Row],[Salary]])</f>
        <v>107062.66</v>
      </c>
      <c r="I388" s="3" t="s">
        <v>141</v>
      </c>
      <c r="J388" s="3">
        <f>ABS(Table1[[#This Row],[Phone]])</f>
        <v>9642297124</v>
      </c>
      <c r="K388" s="3" t="str">
        <f>PROPER(TRIM(Table1[[#This Row],[Performance_Score]]))</f>
        <v>Good</v>
      </c>
      <c r="L388" s="3" t="b">
        <f>Table1[[#This Row],[Remote_Work]]</f>
        <v>1</v>
      </c>
      <c r="M388" s="3" t="str">
        <f>PROPER(CONCATENATE(Table13[[#This Row],[First_Name]], Table13[[#This Row],[Last_Name]]))</f>
        <v>Evawilliams</v>
      </c>
      <c r="N388" s="3" t="str">
        <f t="shared" si="6"/>
        <v>Oct</v>
      </c>
      <c r="O388" s="3" t="str">
        <f>TEXT(Table13[[#This Row],[Join_Date]],"yyyy")</f>
        <v>2023</v>
      </c>
      <c r="P388" s="3" t="str">
        <f>LEFT('Main Project Raw Data'!E388,FIND("-",'Main Project Raw Data'!E388)-1)</f>
        <v>Sales</v>
      </c>
      <c r="Q388" s="3" t="str">
        <f>RIGHT('Main Project Raw Data'!E388,LEN('Main Project Raw Data'!E388)-FIND("-",'Main Project Raw Data'!E388))</f>
        <v>California</v>
      </c>
    </row>
    <row r="389" spans="1:17" x14ac:dyDescent="0.3">
      <c r="A389" s="3" t="str">
        <f>TRIM(Table1[[#This Row],[Employee_ID]])</f>
        <v>EMP1387</v>
      </c>
      <c r="B389" s="3" t="str">
        <f>TRIM(Table1[[#This Row],[First_Name]])</f>
        <v>Grace</v>
      </c>
      <c r="C389" s="3" t="str">
        <f>TRIM(Table1[[#This Row],[Last_Name]])</f>
        <v>Davis</v>
      </c>
      <c r="D389" s="3">
        <f>IF(Table1[[#This Row],[Age]]="",AVERAGE(Table1[Age]),Table1[[#This Row],[Age]])</f>
        <v>25</v>
      </c>
      <c r="E389" s="3" t="s">
        <v>149</v>
      </c>
      <c r="F389" s="3" t="s">
        <v>16</v>
      </c>
      <c r="G389" s="5">
        <f>IF(ISNUMBER('Main Project Raw Data'!G389),'Main Project Raw Data'!G389,IF(ISNUMBER(SEARCH("/",'Main Project Raw Data'!G389)),DATE(RIGHT('Main Project Raw Data'!G389,4),LEFT('Main Project Raw Data'!G389,FIND("/",'Main Project Raw Data'!G389)-1),MID('Main Project Raw Data'!G389,FIND("/",'Main Project Raw Data'!G389)+1,2)),DATE(RIGHT('Main Project Raw Data'!G389,4),MID('Main Project Raw Data'!G389,4,2),LEFT('Main Project Raw Data'!G389,2))))</f>
        <v>45119</v>
      </c>
      <c r="H389" s="3">
        <f>IF(Table1[[#This Row],[Salary]]="",AVERAGE(Table1[Salary]),Table1[[#This Row],[Salary]])</f>
        <v>110625.52</v>
      </c>
      <c r="I389" s="3" t="s">
        <v>235</v>
      </c>
      <c r="J389" s="3">
        <f>ABS(Table1[[#This Row],[Phone]])</f>
        <v>2967188396</v>
      </c>
      <c r="K389" s="3" t="str">
        <f>PROPER(TRIM(Table1[[#This Row],[Performance_Score]]))</f>
        <v>Excellent</v>
      </c>
      <c r="L389" s="3" t="b">
        <f>Table1[[#This Row],[Remote_Work]]</f>
        <v>1</v>
      </c>
      <c r="M389" s="3" t="str">
        <f>PROPER(CONCATENATE(Table13[[#This Row],[First_Name]], Table13[[#This Row],[Last_Name]]))</f>
        <v>Gracedavis</v>
      </c>
      <c r="N389" s="3" t="str">
        <f t="shared" si="6"/>
        <v>Jul</v>
      </c>
      <c r="O389" s="3" t="str">
        <f>TEXT(Table13[[#This Row],[Join_Date]],"yyyy")</f>
        <v>2023</v>
      </c>
      <c r="P389" s="3" t="str">
        <f>LEFT('Main Project Raw Data'!E389,FIND("-",'Main Project Raw Data'!E389)-1)</f>
        <v>HR</v>
      </c>
      <c r="Q389" s="3" t="str">
        <f>RIGHT('Main Project Raw Data'!E389,LEN('Main Project Raw Data'!E389)-FIND("-",'Main Project Raw Data'!E389))</f>
        <v>Nevada</v>
      </c>
    </row>
    <row r="390" spans="1:17" x14ac:dyDescent="0.3">
      <c r="A390" s="3" t="str">
        <f>TRIM(Table1[[#This Row],[Employee_ID]])</f>
        <v>EMP1388</v>
      </c>
      <c r="B390" s="3" t="str">
        <f>TRIM(Table1[[#This Row],[First_Name]])</f>
        <v>Frank</v>
      </c>
      <c r="C390" s="3" t="str">
        <f>TRIM(Table1[[#This Row],[Last_Name]])</f>
        <v>Smith</v>
      </c>
      <c r="D390" s="3">
        <f>IF(Table1[[#This Row],[Age]]="",AVERAGE(Table1[Age]),Table1[[#This Row],[Age]])</f>
        <v>30</v>
      </c>
      <c r="E390" s="3" t="s">
        <v>230</v>
      </c>
      <c r="F390" s="3" t="s">
        <v>33</v>
      </c>
      <c r="G390" s="5">
        <f>IF(ISNUMBER('Main Project Raw Data'!G390),'Main Project Raw Data'!G390,IF(ISNUMBER(SEARCH("/",'Main Project Raw Data'!G390)),DATE(RIGHT('Main Project Raw Data'!G390,4),LEFT('Main Project Raw Data'!G390,FIND("/",'Main Project Raw Data'!G390)-1),MID('Main Project Raw Data'!G390,FIND("/",'Main Project Raw Data'!G390)+1,2)),DATE(RIGHT('Main Project Raw Data'!G390,4),MID('Main Project Raw Data'!G390,4,2),LEFT('Main Project Raw Data'!G390,2))))</f>
        <v>44122</v>
      </c>
      <c r="H390" s="3">
        <f>IF(Table1[[#This Row],[Salary]]="",AVERAGE(Table1[Salary]),Table1[[#This Row],[Salary]])</f>
        <v>90419.79</v>
      </c>
      <c r="I390" s="3" t="s">
        <v>137</v>
      </c>
      <c r="J390" s="3">
        <f>ABS(Table1[[#This Row],[Phone]])</f>
        <v>7457314414</v>
      </c>
      <c r="K390" s="3" t="str">
        <f>PROPER(TRIM(Table1[[#This Row],[Performance_Score]]))</f>
        <v>Average</v>
      </c>
      <c r="L390" s="3" t="b">
        <f>Table1[[#This Row],[Remote_Work]]</f>
        <v>1</v>
      </c>
      <c r="M390" s="3" t="str">
        <f>PROPER(CONCATENATE(Table13[[#This Row],[First_Name]], Table13[[#This Row],[Last_Name]]))</f>
        <v>Franksmith</v>
      </c>
      <c r="N390" s="3" t="str">
        <f t="shared" si="6"/>
        <v>Oct</v>
      </c>
      <c r="O390" s="3" t="str">
        <f>TEXT(Table13[[#This Row],[Join_Date]],"yyyy")</f>
        <v>2020</v>
      </c>
      <c r="P390" s="3" t="str">
        <f>LEFT('Main Project Raw Data'!E390,FIND("-",'Main Project Raw Data'!E390)-1)</f>
        <v>DevOps</v>
      </c>
      <c r="Q390" s="3" t="str">
        <f>RIGHT('Main Project Raw Data'!E390,LEN('Main Project Raw Data'!E390)-FIND("-",'Main Project Raw Data'!E390))</f>
        <v>Florida</v>
      </c>
    </row>
    <row r="391" spans="1:17" x14ac:dyDescent="0.3">
      <c r="A391" s="3" t="str">
        <f>TRIM(Table1[[#This Row],[Employee_ID]])</f>
        <v>EMP1389</v>
      </c>
      <c r="B391" s="3" t="str">
        <f>TRIM(Table1[[#This Row],[First_Name]])</f>
        <v>Grace</v>
      </c>
      <c r="C391" s="3" t="str">
        <f>TRIM(Table1[[#This Row],[Last_Name]])</f>
        <v>Smith</v>
      </c>
      <c r="D391" s="3">
        <f>IF(Table1[[#This Row],[Age]]="",AVERAGE(Table1[Age]),Table1[[#This Row],[Age]])</f>
        <v>40</v>
      </c>
      <c r="E391" s="3" t="s">
        <v>21</v>
      </c>
      <c r="F391" s="3" t="s">
        <v>28</v>
      </c>
      <c r="G391" s="5">
        <f>IF(ISNUMBER('Main Project Raw Data'!G391),'Main Project Raw Data'!G391,IF(ISNUMBER(SEARCH("/",'Main Project Raw Data'!G391)),DATE(RIGHT('Main Project Raw Data'!G391,4),LEFT('Main Project Raw Data'!G391,FIND("/",'Main Project Raw Data'!G391)-1),MID('Main Project Raw Data'!G391,FIND("/",'Main Project Raw Data'!G391)+1,2)),DATE(RIGHT('Main Project Raw Data'!G391,4),MID('Main Project Raw Data'!G391,4,2),LEFT('Main Project Raw Data'!G391,2))))</f>
        <v>45458</v>
      </c>
      <c r="H391" s="3">
        <f>IF(Table1[[#This Row],[Salary]]="",AVERAGE(Table1[Salary]),Table1[[#This Row],[Salary]])</f>
        <v>111608.76</v>
      </c>
      <c r="I391" s="3" t="s">
        <v>135</v>
      </c>
      <c r="J391" s="3">
        <f>ABS(Table1[[#This Row],[Phone]])</f>
        <v>8331170302</v>
      </c>
      <c r="K391" s="3" t="str">
        <f>PROPER(TRIM(Table1[[#This Row],[Performance_Score]]))</f>
        <v>Good</v>
      </c>
      <c r="L391" s="3" t="b">
        <f>Table1[[#This Row],[Remote_Work]]</f>
        <v>1</v>
      </c>
      <c r="M391" s="3" t="str">
        <f>PROPER(CONCATENATE(Table13[[#This Row],[First_Name]], Table13[[#This Row],[Last_Name]]))</f>
        <v>Gracesmith</v>
      </c>
      <c r="N391" s="3" t="str">
        <f t="shared" si="6"/>
        <v>Jun</v>
      </c>
      <c r="O391" s="3" t="str">
        <f>TEXT(Table13[[#This Row],[Join_Date]],"yyyy")</f>
        <v>2024</v>
      </c>
      <c r="P391" s="3" t="str">
        <f>LEFT('Main Project Raw Data'!E391,FIND("-",'Main Project Raw Data'!E391)-1)</f>
        <v>Finance</v>
      </c>
      <c r="Q391" s="3" t="str">
        <f>RIGHT('Main Project Raw Data'!E391,LEN('Main Project Raw Data'!E391)-FIND("-",'Main Project Raw Data'!E391))</f>
        <v>Texas</v>
      </c>
    </row>
    <row r="392" spans="1:17" x14ac:dyDescent="0.3">
      <c r="A392" s="3" t="str">
        <f>TRIM(Table1[[#This Row],[Employee_ID]])</f>
        <v>EMP1390</v>
      </c>
      <c r="B392" s="3" t="str">
        <f>TRIM(Table1[[#This Row],[First_Name]])</f>
        <v>Eva</v>
      </c>
      <c r="C392" s="3" t="str">
        <f>TRIM(Table1[[#This Row],[Last_Name]])</f>
        <v>Williams</v>
      </c>
      <c r="D392" s="3">
        <f>IF(Table1[[#This Row],[Age]]="",AVERAGE(Table1[Age]),Table1[[#This Row],[Age]])</f>
        <v>35</v>
      </c>
      <c r="E392" s="3" t="s">
        <v>112</v>
      </c>
      <c r="F392" s="3" t="s">
        <v>33</v>
      </c>
      <c r="G392" s="5">
        <f>IF(ISNUMBER('Main Project Raw Data'!G392),'Main Project Raw Data'!G392,IF(ISNUMBER(SEARCH("/",'Main Project Raw Data'!G392)),DATE(RIGHT('Main Project Raw Data'!G392,4),LEFT('Main Project Raw Data'!G392,FIND("/",'Main Project Raw Data'!G392)-1),MID('Main Project Raw Data'!G392,FIND("/",'Main Project Raw Data'!G392)+1,2)),DATE(RIGHT('Main Project Raw Data'!G392,4),MID('Main Project Raw Data'!G392,4,2),LEFT('Main Project Raw Data'!G392,2))))</f>
        <v>45081</v>
      </c>
      <c r="H392" s="3">
        <f>IF(Table1[[#This Row],[Salary]]="",AVERAGE(Table1[Salary]),Table1[[#This Row],[Salary]])</f>
        <v>50173.120000000003</v>
      </c>
      <c r="I392" s="3" t="s">
        <v>141</v>
      </c>
      <c r="J392" s="3">
        <f>ABS(Table1[[#This Row],[Phone]])</f>
        <v>7637153987</v>
      </c>
      <c r="K392" s="3" t="str">
        <f>PROPER(TRIM(Table1[[#This Row],[Performance_Score]]))</f>
        <v>Poor</v>
      </c>
      <c r="L392" s="3" t="b">
        <f>Table1[[#This Row],[Remote_Work]]</f>
        <v>0</v>
      </c>
      <c r="M392" s="3" t="str">
        <f>PROPER(CONCATENATE(Table13[[#This Row],[First_Name]], Table13[[#This Row],[Last_Name]]))</f>
        <v>Evawilliams</v>
      </c>
      <c r="N392" s="3" t="str">
        <f t="shared" si="6"/>
        <v>Jun</v>
      </c>
      <c r="O392" s="3" t="str">
        <f>TEXT(Table13[[#This Row],[Join_Date]],"yyyy")</f>
        <v>2023</v>
      </c>
      <c r="P392" s="3" t="str">
        <f>LEFT('Main Project Raw Data'!E392,FIND("-",'Main Project Raw Data'!E392)-1)</f>
        <v>Finance</v>
      </c>
      <c r="Q392" s="3" t="str">
        <f>RIGHT('Main Project Raw Data'!E392,LEN('Main Project Raw Data'!E392)-FIND("-",'Main Project Raw Data'!E392))</f>
        <v>Florida</v>
      </c>
    </row>
    <row r="393" spans="1:17" x14ac:dyDescent="0.3">
      <c r="A393" s="3" t="str">
        <f>TRIM(Table1[[#This Row],[Employee_ID]])</f>
        <v>EMP1391</v>
      </c>
      <c r="B393" s="3" t="str">
        <f>TRIM(Table1[[#This Row],[First_Name]])</f>
        <v>Bob</v>
      </c>
      <c r="C393" s="3" t="str">
        <f>TRIM(Table1[[#This Row],[Last_Name]])</f>
        <v>Williams</v>
      </c>
      <c r="D393" s="3">
        <f>IF(Table1[[#This Row],[Age]]="",AVERAGE(Table1[Age]),Table1[[#This Row],[Age]])</f>
        <v>40</v>
      </c>
      <c r="E393" s="3" t="s">
        <v>328</v>
      </c>
      <c r="F393" s="3" t="s">
        <v>28</v>
      </c>
      <c r="G393" s="5">
        <f>IF(ISNUMBER('Main Project Raw Data'!G393),'Main Project Raw Data'!G393,IF(ISNUMBER(SEARCH("/",'Main Project Raw Data'!G393)),DATE(RIGHT('Main Project Raw Data'!G393,4),LEFT('Main Project Raw Data'!G393,FIND("/",'Main Project Raw Data'!G393)-1),MID('Main Project Raw Data'!G393,FIND("/",'Main Project Raw Data'!G393)+1,2)),DATE(RIGHT('Main Project Raw Data'!G393,4),MID('Main Project Raw Data'!G393,4,2),LEFT('Main Project Raw Data'!G393,2))))</f>
        <v>44621</v>
      </c>
      <c r="H393" s="3">
        <f>IF(Table1[[#This Row],[Salary]]="",AVERAGE(Table1[Salary]),Table1[[#This Row],[Salary]])</f>
        <v>109507.44</v>
      </c>
      <c r="I393" s="3" t="s">
        <v>144</v>
      </c>
      <c r="J393" s="3">
        <f>ABS(Table1[[#This Row],[Phone]])</f>
        <v>5472812355</v>
      </c>
      <c r="K393" s="3" t="str">
        <f>PROPER(TRIM(Table1[[#This Row],[Performance_Score]]))</f>
        <v>Good</v>
      </c>
      <c r="L393" s="3" t="b">
        <f>Table1[[#This Row],[Remote_Work]]</f>
        <v>0</v>
      </c>
      <c r="M393" s="3" t="str">
        <f>PROPER(CONCATENATE(Table13[[#This Row],[First_Name]], Table13[[#This Row],[Last_Name]]))</f>
        <v>Bobwilliams</v>
      </c>
      <c r="N393" s="3" t="str">
        <f t="shared" si="6"/>
        <v>Mar</v>
      </c>
      <c r="O393" s="3" t="str">
        <f>TEXT(Table13[[#This Row],[Join_Date]],"yyyy")</f>
        <v>2022</v>
      </c>
      <c r="P393" s="3" t="str">
        <f>LEFT('Main Project Raw Data'!E393,FIND("-",'Main Project Raw Data'!E393)-1)</f>
        <v>DevOps</v>
      </c>
      <c r="Q393" s="3" t="str">
        <f>RIGHT('Main Project Raw Data'!E393,LEN('Main Project Raw Data'!E393)-FIND("-",'Main Project Raw Data'!E393))</f>
        <v>Nevada</v>
      </c>
    </row>
    <row r="394" spans="1:17" x14ac:dyDescent="0.3">
      <c r="A394" s="3" t="str">
        <f>TRIM(Table1[[#This Row],[Employee_ID]])</f>
        <v>EMP1392</v>
      </c>
      <c r="B394" s="3" t="str">
        <f>TRIM(Table1[[#This Row],[First_Name]])</f>
        <v>Grace</v>
      </c>
      <c r="C394" s="3" t="str">
        <f>TRIM(Table1[[#This Row],[Last_Name]])</f>
        <v>Garcia</v>
      </c>
      <c r="D394" s="3">
        <f>IF(Table1[[#This Row],[Age]]="",AVERAGE(Table1[Age]),Table1[[#This Row],[Age]])</f>
        <v>30</v>
      </c>
      <c r="E394" s="3" t="s">
        <v>227</v>
      </c>
      <c r="F394" s="3" t="s">
        <v>33</v>
      </c>
      <c r="G394" s="5">
        <f>IF(ISNUMBER('Main Project Raw Data'!G394),'Main Project Raw Data'!G394,IF(ISNUMBER(SEARCH("/",'Main Project Raw Data'!G394)),DATE(RIGHT('Main Project Raw Data'!G394,4),LEFT('Main Project Raw Data'!G394,FIND("/",'Main Project Raw Data'!G394)-1),MID('Main Project Raw Data'!G394,FIND("/",'Main Project Raw Data'!G394)+1,2)),DATE(RIGHT('Main Project Raw Data'!G394,4),MID('Main Project Raw Data'!G394,4,2),LEFT('Main Project Raw Data'!G394,2))))</f>
        <v>44262</v>
      </c>
      <c r="H394" s="3">
        <f>IF(Table1[[#This Row],[Salary]]="",AVERAGE(Table1[Salary]),Table1[[#This Row],[Salary]])</f>
        <v>72600.56</v>
      </c>
      <c r="I394" s="3" t="s">
        <v>83</v>
      </c>
      <c r="J394" s="3">
        <f>ABS(Table1[[#This Row],[Phone]])</f>
        <v>7983631461</v>
      </c>
      <c r="K394" s="3" t="str">
        <f>PROPER(TRIM(Table1[[#This Row],[Performance_Score]]))</f>
        <v>Excellent</v>
      </c>
      <c r="L394" s="3" t="b">
        <f>Table1[[#This Row],[Remote_Work]]</f>
        <v>0</v>
      </c>
      <c r="M394" s="3" t="str">
        <f>PROPER(CONCATENATE(Table13[[#This Row],[First_Name]], Table13[[#This Row],[Last_Name]]))</f>
        <v>Gracegarcia</v>
      </c>
      <c r="N394" s="3" t="str">
        <f t="shared" si="6"/>
        <v>Mar</v>
      </c>
      <c r="O394" s="3" t="str">
        <f>TEXT(Table13[[#This Row],[Join_Date]],"yyyy")</f>
        <v>2021</v>
      </c>
      <c r="P394" s="3" t="str">
        <f>LEFT('Main Project Raw Data'!E394,FIND("-",'Main Project Raw Data'!E394)-1)</f>
        <v>Finance</v>
      </c>
      <c r="Q394" s="3" t="str">
        <f>RIGHT('Main Project Raw Data'!E394,LEN('Main Project Raw Data'!E394)-FIND("-",'Main Project Raw Data'!E394))</f>
        <v>New York</v>
      </c>
    </row>
    <row r="395" spans="1:17" x14ac:dyDescent="0.3">
      <c r="A395" s="3" t="str">
        <f>TRIM(Table1[[#This Row],[Employee_ID]])</f>
        <v>EMP1393</v>
      </c>
      <c r="B395" s="3" t="str">
        <f>TRIM(Table1[[#This Row],[First_Name]])</f>
        <v>Charlie</v>
      </c>
      <c r="C395" s="3" t="str">
        <f>TRIM(Table1[[#This Row],[Last_Name]])</f>
        <v>Garcia</v>
      </c>
      <c r="D395" s="3">
        <f>IF(Table1[[#This Row],[Age]]="",AVERAGE(Table1[Age]),Table1[[#This Row],[Age]])</f>
        <v>32.484548825710753</v>
      </c>
      <c r="E395" s="3" t="s">
        <v>70</v>
      </c>
      <c r="F395" s="3" t="s">
        <v>28</v>
      </c>
      <c r="G395" s="5">
        <f>IF(ISNUMBER('Main Project Raw Data'!G395),'Main Project Raw Data'!G395,IF(ISNUMBER(SEARCH("/",'Main Project Raw Data'!G395)),DATE(RIGHT('Main Project Raw Data'!G395,4),LEFT('Main Project Raw Data'!G395,FIND("/",'Main Project Raw Data'!G395)-1),MID('Main Project Raw Data'!G395,FIND("/",'Main Project Raw Data'!G395)+1,2)),DATE(RIGHT('Main Project Raw Data'!G395,4),MID('Main Project Raw Data'!G395,4,2),LEFT('Main Project Raw Data'!G395,2))))</f>
        <v>45569</v>
      </c>
      <c r="H395" s="3">
        <f>IF(Table1[[#This Row],[Salary]]="",AVERAGE(Table1[Salary]),Table1[[#This Row],[Salary]])</f>
        <v>53388.65</v>
      </c>
      <c r="I395" s="3" t="s">
        <v>87</v>
      </c>
      <c r="J395" s="3">
        <f>ABS(Table1[[#This Row],[Phone]])</f>
        <v>4912711306</v>
      </c>
      <c r="K395" s="3" t="str">
        <f>PROPER(TRIM(Table1[[#This Row],[Performance_Score]]))</f>
        <v>Poor</v>
      </c>
      <c r="L395" s="3" t="b">
        <f>Table1[[#This Row],[Remote_Work]]</f>
        <v>1</v>
      </c>
      <c r="M395" s="3" t="str">
        <f>PROPER(CONCATENATE(Table13[[#This Row],[First_Name]], Table13[[#This Row],[Last_Name]]))</f>
        <v>Charliegarcia</v>
      </c>
      <c r="N395" s="3" t="str">
        <f t="shared" si="6"/>
        <v>Oct</v>
      </c>
      <c r="O395" s="3" t="str">
        <f>TEXT(Table13[[#This Row],[Join_Date]],"yyyy")</f>
        <v>2024</v>
      </c>
      <c r="P395" s="3" t="str">
        <f>LEFT('Main Project Raw Data'!E395,FIND("-",'Main Project Raw Data'!E395)-1)</f>
        <v>Finance</v>
      </c>
      <c r="Q395" s="3" t="str">
        <f>RIGHT('Main Project Raw Data'!E395,LEN('Main Project Raw Data'!E395)-FIND("-",'Main Project Raw Data'!E395))</f>
        <v>California</v>
      </c>
    </row>
    <row r="396" spans="1:17" x14ac:dyDescent="0.3">
      <c r="A396" s="3" t="str">
        <f>TRIM(Table1[[#This Row],[Employee_ID]])</f>
        <v>EMP1394</v>
      </c>
      <c r="B396" s="3" t="str">
        <f>TRIM(Table1[[#This Row],[First_Name]])</f>
        <v>Heidi</v>
      </c>
      <c r="C396" s="3" t="str">
        <f>TRIM(Table1[[#This Row],[Last_Name]])</f>
        <v>Williams</v>
      </c>
      <c r="D396" s="3">
        <f>IF(Table1[[#This Row],[Age]]="",AVERAGE(Table1[Age]),Table1[[#This Row],[Age]])</f>
        <v>25</v>
      </c>
      <c r="E396" s="3" t="s">
        <v>60</v>
      </c>
      <c r="F396" s="3" t="s">
        <v>33</v>
      </c>
      <c r="G396" s="5">
        <f>IF(ISNUMBER('Main Project Raw Data'!G396),'Main Project Raw Data'!G396,IF(ISNUMBER(SEARCH("/",'Main Project Raw Data'!G396)),DATE(RIGHT('Main Project Raw Data'!G396,4),LEFT('Main Project Raw Data'!G396,FIND("/",'Main Project Raw Data'!G396)-1),MID('Main Project Raw Data'!G396,FIND("/",'Main Project Raw Data'!G396)+1,2)),DATE(RIGHT('Main Project Raw Data'!G396,4),MID('Main Project Raw Data'!G396,4,2),LEFT('Main Project Raw Data'!G396,2))))</f>
        <v>44765</v>
      </c>
      <c r="H396" s="3">
        <f>IF(Table1[[#This Row],[Salary]]="",AVERAGE(Table1[Salary]),Table1[[#This Row],[Salary]])</f>
        <v>50047.32</v>
      </c>
      <c r="I396" s="3" t="s">
        <v>67</v>
      </c>
      <c r="J396" s="3">
        <f>ABS(Table1[[#This Row],[Phone]])</f>
        <v>2407875417</v>
      </c>
      <c r="K396" s="3" t="str">
        <f>PROPER(TRIM(Table1[[#This Row],[Performance_Score]]))</f>
        <v>Good</v>
      </c>
      <c r="L396" s="3" t="b">
        <f>Table1[[#This Row],[Remote_Work]]</f>
        <v>0</v>
      </c>
      <c r="M396" s="3" t="str">
        <f>PROPER(CONCATENATE(Table13[[#This Row],[First_Name]], Table13[[#This Row],[Last_Name]]))</f>
        <v>Heidiwilliams</v>
      </c>
      <c r="N396" s="3" t="str">
        <f t="shared" si="6"/>
        <v>Jul</v>
      </c>
      <c r="O396" s="3" t="str">
        <f>TEXT(Table13[[#This Row],[Join_Date]],"yyyy")</f>
        <v>2022</v>
      </c>
      <c r="P396" s="3" t="str">
        <f>LEFT('Main Project Raw Data'!E396,FIND("-",'Main Project Raw Data'!E396)-1)</f>
        <v>Cloud Tech</v>
      </c>
      <c r="Q396" s="3" t="str">
        <f>RIGHT('Main Project Raw Data'!E396,LEN('Main Project Raw Data'!E396)-FIND("-",'Main Project Raw Data'!E396))</f>
        <v>New York</v>
      </c>
    </row>
    <row r="397" spans="1:17" x14ac:dyDescent="0.3">
      <c r="A397" s="3" t="str">
        <f>TRIM(Table1[[#This Row],[Employee_ID]])</f>
        <v>EMP1395</v>
      </c>
      <c r="B397" s="3" t="str">
        <f>TRIM(Table1[[#This Row],[First_Name]])</f>
        <v>David</v>
      </c>
      <c r="C397" s="3" t="str">
        <f>TRIM(Table1[[#This Row],[Last_Name]])</f>
        <v>Brown</v>
      </c>
      <c r="D397" s="3">
        <f>IF(Table1[[#This Row],[Age]]="",AVERAGE(Table1[Age]),Table1[[#This Row],[Age]])</f>
        <v>30</v>
      </c>
      <c r="E397" s="3" t="s">
        <v>15</v>
      </c>
      <c r="F397" s="3" t="s">
        <v>16</v>
      </c>
      <c r="G397" s="5">
        <f>IF(ISNUMBER('Main Project Raw Data'!G397),'Main Project Raw Data'!G397,IF(ISNUMBER(SEARCH("/",'Main Project Raw Data'!G397)),DATE(RIGHT('Main Project Raw Data'!G397,4),LEFT('Main Project Raw Data'!G397,FIND("/",'Main Project Raw Data'!G397)-1),MID('Main Project Raw Data'!G397,FIND("/",'Main Project Raw Data'!G397)+1,2)),DATE(RIGHT('Main Project Raw Data'!G397,4),MID('Main Project Raw Data'!G397,4,2),LEFT('Main Project Raw Data'!G397,2))))</f>
        <v>45621</v>
      </c>
      <c r="H397" s="3">
        <f>IF(Table1[[#This Row],[Salary]]="",AVERAGE(Table1[Salary]),Table1[[#This Row],[Salary]])</f>
        <v>115290.79</v>
      </c>
      <c r="I397" s="3" t="s">
        <v>225</v>
      </c>
      <c r="J397" s="3">
        <f>ABS(Table1[[#This Row],[Phone]])</f>
        <v>1563268684</v>
      </c>
      <c r="K397" s="3" t="str">
        <f>PROPER(TRIM(Table1[[#This Row],[Performance_Score]]))</f>
        <v>Poor</v>
      </c>
      <c r="L397" s="3" t="b">
        <f>Table1[[#This Row],[Remote_Work]]</f>
        <v>0</v>
      </c>
      <c r="M397" s="3" t="str">
        <f>PROPER(CONCATENATE(Table13[[#This Row],[First_Name]], Table13[[#This Row],[Last_Name]]))</f>
        <v>Davidbrown</v>
      </c>
      <c r="N397" s="3" t="str">
        <f t="shared" si="6"/>
        <v>Nov</v>
      </c>
      <c r="O397" s="3" t="str">
        <f>TEXT(Table13[[#This Row],[Join_Date]],"yyyy")</f>
        <v>2024</v>
      </c>
      <c r="P397" s="3" t="str">
        <f>LEFT('Main Project Raw Data'!E397,FIND("-",'Main Project Raw Data'!E397)-1)</f>
        <v>DevOps</v>
      </c>
      <c r="Q397" s="3" t="str">
        <f>RIGHT('Main Project Raw Data'!E397,LEN('Main Project Raw Data'!E397)-FIND("-",'Main Project Raw Data'!E397))</f>
        <v>California</v>
      </c>
    </row>
    <row r="398" spans="1:17" x14ac:dyDescent="0.3">
      <c r="A398" s="3" t="str">
        <f>TRIM(Table1[[#This Row],[Employee_ID]])</f>
        <v>EMP1396</v>
      </c>
      <c r="B398" s="3" t="str">
        <f>TRIM(Table1[[#This Row],[First_Name]])</f>
        <v>Frank</v>
      </c>
      <c r="C398" s="3" t="str">
        <f>TRIM(Table1[[#This Row],[Last_Name]])</f>
        <v>Garcia</v>
      </c>
      <c r="D398" s="3">
        <f>IF(Table1[[#This Row],[Age]]="",AVERAGE(Table1[Age]),Table1[[#This Row],[Age]])</f>
        <v>35</v>
      </c>
      <c r="E398" s="3" t="s">
        <v>268</v>
      </c>
      <c r="F398" s="3" t="s">
        <v>28</v>
      </c>
      <c r="G398" s="5">
        <f>IF(ISNUMBER('Main Project Raw Data'!G398),'Main Project Raw Data'!G398,IF(ISNUMBER(SEARCH("/",'Main Project Raw Data'!G398)),DATE(RIGHT('Main Project Raw Data'!G398,4),LEFT('Main Project Raw Data'!G398,FIND("/",'Main Project Raw Data'!G398)-1),MID('Main Project Raw Data'!G398,FIND("/",'Main Project Raw Data'!G398)+1,2)),DATE(RIGHT('Main Project Raw Data'!G398,4),MID('Main Project Raw Data'!G398,4,2),LEFT('Main Project Raw Data'!G398,2))))</f>
        <v>45159</v>
      </c>
      <c r="H398" s="3">
        <f>IF(Table1[[#This Row],[Salary]]="",AVERAGE(Table1[Salary]),Table1[[#This Row],[Salary]])</f>
        <v>61586.76</v>
      </c>
      <c r="I398" s="3" t="s">
        <v>180</v>
      </c>
      <c r="J398" s="3">
        <f>ABS(Table1[[#This Row],[Phone]])</f>
        <v>745106633</v>
      </c>
      <c r="K398" s="3" t="str">
        <f>PROPER(TRIM(Table1[[#This Row],[Performance_Score]]))</f>
        <v>Excellent</v>
      </c>
      <c r="L398" s="3" t="b">
        <f>Table1[[#This Row],[Remote_Work]]</f>
        <v>0</v>
      </c>
      <c r="M398" s="3" t="str">
        <f>PROPER(CONCATENATE(Table13[[#This Row],[First_Name]], Table13[[#This Row],[Last_Name]]))</f>
        <v>Frankgarcia</v>
      </c>
      <c r="N398" s="3" t="str">
        <f t="shared" si="6"/>
        <v>Aug</v>
      </c>
      <c r="O398" s="3" t="str">
        <f>TEXT(Table13[[#This Row],[Join_Date]],"yyyy")</f>
        <v>2023</v>
      </c>
      <c r="P398" s="3" t="str">
        <f>LEFT('Main Project Raw Data'!E398,FIND("-",'Main Project Raw Data'!E398)-1)</f>
        <v>Cloud Tech</v>
      </c>
      <c r="Q398" s="3" t="str">
        <f>RIGHT('Main Project Raw Data'!E398,LEN('Main Project Raw Data'!E398)-FIND("-",'Main Project Raw Data'!E398))</f>
        <v>California</v>
      </c>
    </row>
    <row r="399" spans="1:17" x14ac:dyDescent="0.3">
      <c r="A399" s="3" t="str">
        <f>TRIM(Table1[[#This Row],[Employee_ID]])</f>
        <v>EMP1397</v>
      </c>
      <c r="B399" s="3" t="str">
        <f>TRIM(Table1[[#This Row],[First_Name]])</f>
        <v>Eva</v>
      </c>
      <c r="C399" s="3" t="str">
        <f>TRIM(Table1[[#This Row],[Last_Name]])</f>
        <v>Miller</v>
      </c>
      <c r="D399" s="3">
        <f>IF(Table1[[#This Row],[Age]]="",AVERAGE(Table1[Age]),Table1[[#This Row],[Age]])</f>
        <v>30</v>
      </c>
      <c r="E399" s="3" t="s">
        <v>100</v>
      </c>
      <c r="F399" s="3" t="s">
        <v>16</v>
      </c>
      <c r="G399" s="5">
        <f>IF(ISNUMBER('Main Project Raw Data'!G399),'Main Project Raw Data'!G399,IF(ISNUMBER(SEARCH("/",'Main Project Raw Data'!G399)),DATE(RIGHT('Main Project Raw Data'!G399,4),LEFT('Main Project Raw Data'!G399,FIND("/",'Main Project Raw Data'!G399)-1),MID('Main Project Raw Data'!G399,FIND("/",'Main Project Raw Data'!G399)+1,2)),DATE(RIGHT('Main Project Raw Data'!G399,4),MID('Main Project Raw Data'!G399,4,2),LEFT('Main Project Raw Data'!G399,2))))</f>
        <v>45272</v>
      </c>
      <c r="H399" s="3">
        <f>IF(Table1[[#This Row],[Salary]]="",AVERAGE(Table1[Salary]),Table1[[#This Row],[Salary]])</f>
        <v>56662.86</v>
      </c>
      <c r="I399" s="3" t="s">
        <v>263</v>
      </c>
      <c r="J399" s="3">
        <f>ABS(Table1[[#This Row],[Phone]])</f>
        <v>3629489785</v>
      </c>
      <c r="K399" s="3" t="str">
        <f>PROPER(TRIM(Table1[[#This Row],[Performance_Score]]))</f>
        <v>Average</v>
      </c>
      <c r="L399" s="3" t="b">
        <f>Table1[[#This Row],[Remote_Work]]</f>
        <v>1</v>
      </c>
      <c r="M399" s="3" t="str">
        <f>PROPER(CONCATENATE(Table13[[#This Row],[First_Name]], Table13[[#This Row],[Last_Name]]))</f>
        <v>Evamiller</v>
      </c>
      <c r="N399" s="3" t="str">
        <f t="shared" si="6"/>
        <v>Dec</v>
      </c>
      <c r="O399" s="3" t="str">
        <f>TEXT(Table13[[#This Row],[Join_Date]],"yyyy")</f>
        <v>2023</v>
      </c>
      <c r="P399" s="3" t="str">
        <f>LEFT('Main Project Raw Data'!E399,FIND("-",'Main Project Raw Data'!E399)-1)</f>
        <v>Finance</v>
      </c>
      <c r="Q399" s="3" t="str">
        <f>RIGHT('Main Project Raw Data'!E399,LEN('Main Project Raw Data'!E399)-FIND("-",'Main Project Raw Data'!E399))</f>
        <v>Nevada</v>
      </c>
    </row>
    <row r="400" spans="1:17" x14ac:dyDescent="0.3">
      <c r="A400" s="3" t="str">
        <f>TRIM(Table1[[#This Row],[Employee_ID]])</f>
        <v>EMP1398</v>
      </c>
      <c r="B400" s="3" t="str">
        <f>TRIM(Table1[[#This Row],[First_Name]])</f>
        <v>Bob</v>
      </c>
      <c r="C400" s="3" t="str">
        <f>TRIM(Table1[[#This Row],[Last_Name]])</f>
        <v>Garcia</v>
      </c>
      <c r="D400" s="3">
        <f>IF(Table1[[#This Row],[Age]]="",AVERAGE(Table1[Age]),Table1[[#This Row],[Age]])</f>
        <v>30</v>
      </c>
      <c r="E400" s="3" t="s">
        <v>109</v>
      </c>
      <c r="F400" s="3" t="s">
        <v>28</v>
      </c>
      <c r="G400" s="5">
        <f>IF(ISNUMBER('Main Project Raw Data'!G400),'Main Project Raw Data'!G400,IF(ISNUMBER(SEARCH("/",'Main Project Raw Data'!G400)),DATE(RIGHT('Main Project Raw Data'!G400,4),LEFT('Main Project Raw Data'!G400,FIND("/",'Main Project Raw Data'!G400)-1),MID('Main Project Raw Data'!G400,FIND("/",'Main Project Raw Data'!G400)+1,2)),DATE(RIGHT('Main Project Raw Data'!G400,4),MID('Main Project Raw Data'!G400,4,2),LEFT('Main Project Raw Data'!G400,2))))</f>
        <v>45223</v>
      </c>
      <c r="H400" s="3">
        <f>IF(Table1[[#This Row],[Salary]]="",AVERAGE(Table1[Salary]),Table1[[#This Row],[Salary]])</f>
        <v>85155.056395582287</v>
      </c>
      <c r="I400" s="3" t="s">
        <v>153</v>
      </c>
      <c r="J400" s="3">
        <f>ABS(Table1[[#This Row],[Phone]])</f>
        <v>1031310093</v>
      </c>
      <c r="K400" s="3" t="str">
        <f>PROPER(TRIM(Table1[[#This Row],[Performance_Score]]))</f>
        <v>Excellent</v>
      </c>
      <c r="L400" s="3" t="b">
        <f>Table1[[#This Row],[Remote_Work]]</f>
        <v>1</v>
      </c>
      <c r="M400" s="3" t="str">
        <f>PROPER(CONCATENATE(Table13[[#This Row],[First_Name]], Table13[[#This Row],[Last_Name]]))</f>
        <v>Bobgarcia</v>
      </c>
      <c r="N400" s="3" t="str">
        <f t="shared" si="6"/>
        <v>Oct</v>
      </c>
      <c r="O400" s="3" t="str">
        <f>TEXT(Table13[[#This Row],[Join_Date]],"yyyy")</f>
        <v>2023</v>
      </c>
      <c r="P400" s="3" t="str">
        <f>LEFT('Main Project Raw Data'!E400,FIND("-",'Main Project Raw Data'!E400)-1)</f>
        <v>Sales</v>
      </c>
      <c r="Q400" s="3" t="str">
        <f>RIGHT('Main Project Raw Data'!E400,LEN('Main Project Raw Data'!E400)-FIND("-",'Main Project Raw Data'!E400))</f>
        <v>New York</v>
      </c>
    </row>
    <row r="401" spans="1:17" x14ac:dyDescent="0.3">
      <c r="A401" s="3" t="str">
        <f>TRIM(Table1[[#This Row],[Employee_ID]])</f>
        <v>EMP1399</v>
      </c>
      <c r="B401" s="3" t="str">
        <f>TRIM(Table1[[#This Row],[First_Name]])</f>
        <v>Frank</v>
      </c>
      <c r="C401" s="3" t="str">
        <f>TRIM(Table1[[#This Row],[Last_Name]])</f>
        <v>Smith</v>
      </c>
      <c r="D401" s="3">
        <f>IF(Table1[[#This Row],[Age]]="",AVERAGE(Table1[Age]),Table1[[#This Row],[Age]])</f>
        <v>25</v>
      </c>
      <c r="E401" s="3" t="s">
        <v>100</v>
      </c>
      <c r="F401" s="3" t="s">
        <v>16</v>
      </c>
      <c r="G401" s="5">
        <f>IF(ISNUMBER('Main Project Raw Data'!G401),'Main Project Raw Data'!G401,IF(ISNUMBER(SEARCH("/",'Main Project Raw Data'!G401)),DATE(RIGHT('Main Project Raw Data'!G401,4),LEFT('Main Project Raw Data'!G401,FIND("/",'Main Project Raw Data'!G401)-1),MID('Main Project Raw Data'!G401,FIND("/",'Main Project Raw Data'!G401)+1,2)),DATE(RIGHT('Main Project Raw Data'!G401,4),MID('Main Project Raw Data'!G401,4,2),LEFT('Main Project Raw Data'!G401,2))))</f>
        <v>44690</v>
      </c>
      <c r="H401" s="3">
        <f>IF(Table1[[#This Row],[Salary]]="",AVERAGE(Table1[Salary]),Table1[[#This Row],[Salary]])</f>
        <v>54957.98</v>
      </c>
      <c r="I401" s="3" t="s">
        <v>137</v>
      </c>
      <c r="J401" s="3">
        <f>ABS(Table1[[#This Row],[Phone]])</f>
        <v>3181439665</v>
      </c>
      <c r="K401" s="3" t="str">
        <f>PROPER(TRIM(Table1[[#This Row],[Performance_Score]]))</f>
        <v>Excellent</v>
      </c>
      <c r="L401" s="3" t="b">
        <f>Table1[[#This Row],[Remote_Work]]</f>
        <v>1</v>
      </c>
      <c r="M401" s="3" t="str">
        <f>PROPER(CONCATENATE(Table13[[#This Row],[First_Name]], Table13[[#This Row],[Last_Name]]))</f>
        <v>Franksmith</v>
      </c>
      <c r="N401" s="3" t="str">
        <f t="shared" si="6"/>
        <v>May</v>
      </c>
      <c r="O401" s="3" t="str">
        <f>TEXT(Table13[[#This Row],[Join_Date]],"yyyy")</f>
        <v>2022</v>
      </c>
      <c r="P401" s="3" t="str">
        <f>LEFT('Main Project Raw Data'!E401,FIND("-",'Main Project Raw Data'!E401)-1)</f>
        <v>Finance</v>
      </c>
      <c r="Q401" s="3" t="str">
        <f>RIGHT('Main Project Raw Data'!E401,LEN('Main Project Raw Data'!E401)-FIND("-",'Main Project Raw Data'!E401))</f>
        <v>Nevada</v>
      </c>
    </row>
    <row r="402" spans="1:17" x14ac:dyDescent="0.3">
      <c r="A402" s="3" t="str">
        <f>TRIM(Table1[[#This Row],[Employee_ID]])</f>
        <v>EMP1400</v>
      </c>
      <c r="B402" s="3" t="str">
        <f>TRIM(Table1[[#This Row],[First_Name]])</f>
        <v>Bob</v>
      </c>
      <c r="C402" s="3" t="str">
        <f>TRIM(Table1[[#This Row],[Last_Name]])</f>
        <v>Garcia</v>
      </c>
      <c r="D402" s="3">
        <f>IF(Table1[[#This Row],[Age]]="",AVERAGE(Table1[Age]),Table1[[#This Row],[Age]])</f>
        <v>25</v>
      </c>
      <c r="E402" s="3" t="s">
        <v>146</v>
      </c>
      <c r="F402" s="3" t="s">
        <v>33</v>
      </c>
      <c r="G402" s="5">
        <f>IF(ISNUMBER('Main Project Raw Data'!G402),'Main Project Raw Data'!G402,IF(ISNUMBER(SEARCH("/",'Main Project Raw Data'!G402)),DATE(RIGHT('Main Project Raw Data'!G402,4),LEFT('Main Project Raw Data'!G402,FIND("/",'Main Project Raw Data'!G402)-1),MID('Main Project Raw Data'!G402,FIND("/",'Main Project Raw Data'!G402)+1,2)),DATE(RIGHT('Main Project Raw Data'!G402,4),MID('Main Project Raw Data'!G402,4,2),LEFT('Main Project Raw Data'!G402,2))))</f>
        <v>44022</v>
      </c>
      <c r="H402" s="3">
        <f>IF(Table1[[#This Row],[Salary]]="",AVERAGE(Table1[Salary]),Table1[[#This Row],[Salary]])</f>
        <v>76790.47</v>
      </c>
      <c r="I402" s="3" t="s">
        <v>153</v>
      </c>
      <c r="J402" s="3">
        <f>ABS(Table1[[#This Row],[Phone]])</f>
        <v>1347323548</v>
      </c>
      <c r="K402" s="3" t="str">
        <f>PROPER(TRIM(Table1[[#This Row],[Performance_Score]]))</f>
        <v>Excellent</v>
      </c>
      <c r="L402" s="3" t="b">
        <f>Table1[[#This Row],[Remote_Work]]</f>
        <v>1</v>
      </c>
      <c r="M402" s="3" t="str">
        <f>PROPER(CONCATENATE(Table13[[#This Row],[First_Name]], Table13[[#This Row],[Last_Name]]))</f>
        <v>Bobgarcia</v>
      </c>
      <c r="N402" s="3" t="str">
        <f t="shared" si="6"/>
        <v>Jul</v>
      </c>
      <c r="O402" s="3" t="str">
        <f>TEXT(Table13[[#This Row],[Join_Date]],"yyyy")</f>
        <v>2020</v>
      </c>
      <c r="P402" s="3" t="str">
        <f>LEFT('Main Project Raw Data'!E402,FIND("-",'Main Project Raw Data'!E402)-1)</f>
        <v>HR</v>
      </c>
      <c r="Q402" s="3" t="str">
        <f>RIGHT('Main Project Raw Data'!E402,LEN('Main Project Raw Data'!E402)-FIND("-",'Main Project Raw Data'!E402))</f>
        <v>California</v>
      </c>
    </row>
    <row r="403" spans="1:17" x14ac:dyDescent="0.3">
      <c r="A403" s="3" t="str">
        <f>TRIM(Table1[[#This Row],[Employee_ID]])</f>
        <v>EMP1401</v>
      </c>
      <c r="B403" s="3" t="str">
        <f>TRIM(Table1[[#This Row],[First_Name]])</f>
        <v>Charlie</v>
      </c>
      <c r="C403" s="3" t="str">
        <f>TRIM(Table1[[#This Row],[Last_Name]])</f>
        <v>Brown</v>
      </c>
      <c r="D403" s="3">
        <f>IF(Table1[[#This Row],[Age]]="",AVERAGE(Table1[Age]),Table1[[#This Row],[Age]])</f>
        <v>30</v>
      </c>
      <c r="E403" s="3" t="s">
        <v>95</v>
      </c>
      <c r="F403" s="3" t="s">
        <v>28</v>
      </c>
      <c r="G403" s="5">
        <f>IF(ISNUMBER('Main Project Raw Data'!G403),'Main Project Raw Data'!G403,IF(ISNUMBER(SEARCH("/",'Main Project Raw Data'!G403)),DATE(RIGHT('Main Project Raw Data'!G403,4),LEFT('Main Project Raw Data'!G403,FIND("/",'Main Project Raw Data'!G403)-1),MID('Main Project Raw Data'!G403,FIND("/",'Main Project Raw Data'!G403)+1,2)),DATE(RIGHT('Main Project Raw Data'!G403,4),MID('Main Project Raw Data'!G403,4,2),LEFT('Main Project Raw Data'!G403,2))))</f>
        <v>43848</v>
      </c>
      <c r="H403" s="3">
        <f>IF(Table1[[#This Row],[Salary]]="",AVERAGE(Table1[Salary]),Table1[[#This Row],[Salary]])</f>
        <v>92722.35</v>
      </c>
      <c r="I403" s="3" t="s">
        <v>125</v>
      </c>
      <c r="J403" s="3">
        <f>ABS(Table1[[#This Row],[Phone]])</f>
        <v>4012897431</v>
      </c>
      <c r="K403" s="3" t="str">
        <f>PROPER(TRIM(Table1[[#This Row],[Performance_Score]]))</f>
        <v>Excellent</v>
      </c>
      <c r="L403" s="3" t="b">
        <f>Table1[[#This Row],[Remote_Work]]</f>
        <v>0</v>
      </c>
      <c r="M403" s="3" t="str">
        <f>PROPER(CONCATENATE(Table13[[#This Row],[First_Name]], Table13[[#This Row],[Last_Name]]))</f>
        <v>Charliebrown</v>
      </c>
      <c r="N403" s="3" t="str">
        <f t="shared" si="6"/>
        <v>Jan</v>
      </c>
      <c r="O403" s="3" t="str">
        <f>TEXT(Table13[[#This Row],[Join_Date]],"yyyy")</f>
        <v>2020</v>
      </c>
      <c r="P403" s="3" t="str">
        <f>LEFT('Main Project Raw Data'!E403,FIND("-",'Main Project Raw Data'!E403)-1)</f>
        <v>Cloud Tech</v>
      </c>
      <c r="Q403" s="3" t="str">
        <f>RIGHT('Main Project Raw Data'!E403,LEN('Main Project Raw Data'!E403)-FIND("-",'Main Project Raw Data'!E403))</f>
        <v>Illinois</v>
      </c>
    </row>
    <row r="404" spans="1:17" x14ac:dyDescent="0.3">
      <c r="A404" s="3" t="str">
        <f>TRIM(Table1[[#This Row],[Employee_ID]])</f>
        <v>EMP1402</v>
      </c>
      <c r="B404" s="3" t="str">
        <f>TRIM(Table1[[#This Row],[First_Name]])</f>
        <v>Frank</v>
      </c>
      <c r="C404" s="3" t="str">
        <f>TRIM(Table1[[#This Row],[Last_Name]])</f>
        <v>Williams</v>
      </c>
      <c r="D404" s="3">
        <f>IF(Table1[[#This Row],[Age]]="",AVERAGE(Table1[Age]),Table1[[#This Row],[Age]])</f>
        <v>30</v>
      </c>
      <c r="E404" s="3" t="s">
        <v>328</v>
      </c>
      <c r="F404" s="3" t="s">
        <v>16</v>
      </c>
      <c r="G404" s="5">
        <f>IF(ISNUMBER('Main Project Raw Data'!G404),'Main Project Raw Data'!G404,IF(ISNUMBER(SEARCH("/",'Main Project Raw Data'!G404)),DATE(RIGHT('Main Project Raw Data'!G404,4),LEFT('Main Project Raw Data'!G404,FIND("/",'Main Project Raw Data'!G404)-1),MID('Main Project Raw Data'!G404,FIND("/",'Main Project Raw Data'!G404)+1,2)),DATE(RIGHT('Main Project Raw Data'!G404,4),MID('Main Project Raw Data'!G404,4,2),LEFT('Main Project Raw Data'!G404,2))))</f>
        <v>44674</v>
      </c>
      <c r="H404" s="3">
        <f>IF(Table1[[#This Row],[Salary]]="",AVERAGE(Table1[Salary]),Table1[[#This Row],[Salary]])</f>
        <v>93125.32</v>
      </c>
      <c r="I404" s="3" t="s">
        <v>40</v>
      </c>
      <c r="J404" s="3">
        <f>ABS(Table1[[#This Row],[Phone]])</f>
        <v>5122572075</v>
      </c>
      <c r="K404" s="3" t="str">
        <f>PROPER(TRIM(Table1[[#This Row],[Performance_Score]]))</f>
        <v>Average</v>
      </c>
      <c r="L404" s="3" t="b">
        <f>Table1[[#This Row],[Remote_Work]]</f>
        <v>0</v>
      </c>
      <c r="M404" s="3" t="str">
        <f>PROPER(CONCATENATE(Table13[[#This Row],[First_Name]], Table13[[#This Row],[Last_Name]]))</f>
        <v>Frankwilliams</v>
      </c>
      <c r="N404" s="3" t="str">
        <f t="shared" si="6"/>
        <v>Apr</v>
      </c>
      <c r="O404" s="3" t="str">
        <f>TEXT(Table13[[#This Row],[Join_Date]],"yyyy")</f>
        <v>2022</v>
      </c>
      <c r="P404" s="3" t="str">
        <f>LEFT('Main Project Raw Data'!E404,FIND("-",'Main Project Raw Data'!E404)-1)</f>
        <v>DevOps</v>
      </c>
      <c r="Q404" s="3" t="str">
        <f>RIGHT('Main Project Raw Data'!E404,LEN('Main Project Raw Data'!E404)-FIND("-",'Main Project Raw Data'!E404))</f>
        <v>Nevada</v>
      </c>
    </row>
    <row r="405" spans="1:17" x14ac:dyDescent="0.3">
      <c r="A405" s="3" t="str">
        <f>TRIM(Table1[[#This Row],[Employee_ID]])</f>
        <v>EMP1403</v>
      </c>
      <c r="B405" s="3" t="str">
        <f>TRIM(Table1[[#This Row],[First_Name]])</f>
        <v>David</v>
      </c>
      <c r="C405" s="3" t="str">
        <f>TRIM(Table1[[#This Row],[Last_Name]])</f>
        <v>Smith</v>
      </c>
      <c r="D405" s="3">
        <f>IF(Table1[[#This Row],[Age]]="",AVERAGE(Table1[Age]),Table1[[#This Row],[Age]])</f>
        <v>25</v>
      </c>
      <c r="E405" s="3" t="s">
        <v>60</v>
      </c>
      <c r="F405" s="3" t="s">
        <v>16</v>
      </c>
      <c r="G405" s="5">
        <f>IF(ISNUMBER('Main Project Raw Data'!G405),'Main Project Raw Data'!G405,IF(ISNUMBER(SEARCH("/",'Main Project Raw Data'!G405)),DATE(RIGHT('Main Project Raw Data'!G405,4),LEFT('Main Project Raw Data'!G405,FIND("/",'Main Project Raw Data'!G405)-1),MID('Main Project Raw Data'!G405,FIND("/",'Main Project Raw Data'!G405)+1,2)),DATE(RIGHT('Main Project Raw Data'!G405,4),MID('Main Project Raw Data'!G405,4,2),LEFT('Main Project Raw Data'!G405,2))))</f>
        <v>45038</v>
      </c>
      <c r="H405" s="3">
        <f>IF(Table1[[#This Row],[Salary]]="",AVERAGE(Table1[Salary]),Table1[[#This Row],[Salary]])</f>
        <v>101100.64</v>
      </c>
      <c r="I405" s="3" t="s">
        <v>340</v>
      </c>
      <c r="J405" s="3">
        <f>ABS(Table1[[#This Row],[Phone]])</f>
        <v>5024120956</v>
      </c>
      <c r="K405" s="3" t="str">
        <f>PROPER(TRIM(Table1[[#This Row],[Performance_Score]]))</f>
        <v>Average</v>
      </c>
      <c r="L405" s="3" t="b">
        <f>Table1[[#This Row],[Remote_Work]]</f>
        <v>0</v>
      </c>
      <c r="M405" s="3" t="str">
        <f>PROPER(CONCATENATE(Table13[[#This Row],[First_Name]], Table13[[#This Row],[Last_Name]]))</f>
        <v>Davidsmith</v>
      </c>
      <c r="N405" s="3" t="str">
        <f t="shared" si="6"/>
        <v>Apr</v>
      </c>
      <c r="O405" s="3" t="str">
        <f>TEXT(Table13[[#This Row],[Join_Date]],"yyyy")</f>
        <v>2023</v>
      </c>
      <c r="P405" s="3" t="str">
        <f>LEFT('Main Project Raw Data'!E405,FIND("-",'Main Project Raw Data'!E405)-1)</f>
        <v>Cloud Tech</v>
      </c>
      <c r="Q405" s="3" t="str">
        <f>RIGHT('Main Project Raw Data'!E405,LEN('Main Project Raw Data'!E405)-FIND("-",'Main Project Raw Data'!E405))</f>
        <v>New York</v>
      </c>
    </row>
    <row r="406" spans="1:17" x14ac:dyDescent="0.3">
      <c r="A406" s="3" t="str">
        <f>TRIM(Table1[[#This Row],[Employee_ID]])</f>
        <v>EMP1404</v>
      </c>
      <c r="B406" s="3" t="str">
        <f>TRIM(Table1[[#This Row],[First_Name]])</f>
        <v>Grace</v>
      </c>
      <c r="C406" s="3" t="str">
        <f>TRIM(Table1[[#This Row],[Last_Name]])</f>
        <v>Garcia</v>
      </c>
      <c r="D406" s="3">
        <f>IF(Table1[[#This Row],[Age]]="",AVERAGE(Table1[Age]),Table1[[#This Row],[Age]])</f>
        <v>35</v>
      </c>
      <c r="E406" s="3" t="s">
        <v>196</v>
      </c>
      <c r="F406" s="3" t="s">
        <v>33</v>
      </c>
      <c r="G406" s="5">
        <f>IF(ISNUMBER('Main Project Raw Data'!G406),'Main Project Raw Data'!G406,IF(ISNUMBER(SEARCH("/",'Main Project Raw Data'!G406)),DATE(RIGHT('Main Project Raw Data'!G406,4),LEFT('Main Project Raw Data'!G406,FIND("/",'Main Project Raw Data'!G406)-1),MID('Main Project Raw Data'!G406,FIND("/",'Main Project Raw Data'!G406)+1,2)),DATE(RIGHT('Main Project Raw Data'!G406,4),MID('Main Project Raw Data'!G406,4,2),LEFT('Main Project Raw Data'!G406,2))))</f>
        <v>45151</v>
      </c>
      <c r="H406" s="3">
        <f>IF(Table1[[#This Row],[Salary]]="",AVERAGE(Table1[Salary]),Table1[[#This Row],[Salary]])</f>
        <v>55897.41</v>
      </c>
      <c r="I406" s="3" t="s">
        <v>83</v>
      </c>
      <c r="J406" s="3">
        <f>ABS(Table1[[#This Row],[Phone]])</f>
        <v>9073710093</v>
      </c>
      <c r="K406" s="3" t="str">
        <f>PROPER(TRIM(Table1[[#This Row],[Performance_Score]]))</f>
        <v>Poor</v>
      </c>
      <c r="L406" s="3" t="b">
        <f>Table1[[#This Row],[Remote_Work]]</f>
        <v>0</v>
      </c>
      <c r="M406" s="3" t="str">
        <f>PROPER(CONCATENATE(Table13[[#This Row],[First_Name]], Table13[[#This Row],[Last_Name]]))</f>
        <v>Gracegarcia</v>
      </c>
      <c r="N406" s="3" t="str">
        <f t="shared" si="6"/>
        <v>Aug</v>
      </c>
      <c r="O406" s="3" t="str">
        <f>TEXT(Table13[[#This Row],[Join_Date]],"yyyy")</f>
        <v>2023</v>
      </c>
      <c r="P406" s="3" t="str">
        <f>LEFT('Main Project Raw Data'!E406,FIND("-",'Main Project Raw Data'!E406)-1)</f>
        <v>Admin</v>
      </c>
      <c r="Q406" s="3" t="str">
        <f>RIGHT('Main Project Raw Data'!E406,LEN('Main Project Raw Data'!E406)-FIND("-",'Main Project Raw Data'!E406))</f>
        <v>New York</v>
      </c>
    </row>
    <row r="407" spans="1:17" x14ac:dyDescent="0.3">
      <c r="A407" s="3" t="str">
        <f>TRIM(Table1[[#This Row],[Employee_ID]])</f>
        <v>EMP1405</v>
      </c>
      <c r="B407" s="3" t="str">
        <f>TRIM(Table1[[#This Row],[First_Name]])</f>
        <v>Eva</v>
      </c>
      <c r="C407" s="3" t="str">
        <f>TRIM(Table1[[#This Row],[Last_Name]])</f>
        <v>Brown</v>
      </c>
      <c r="D407" s="3">
        <f>IF(Table1[[#This Row],[Age]]="",AVERAGE(Table1[Age]),Table1[[#This Row],[Age]])</f>
        <v>25</v>
      </c>
      <c r="E407" s="3" t="s">
        <v>15</v>
      </c>
      <c r="F407" s="3" t="s">
        <v>16</v>
      </c>
      <c r="G407" s="5">
        <f>IF(ISNUMBER('Main Project Raw Data'!G407),'Main Project Raw Data'!G407,IF(ISNUMBER(SEARCH("/",'Main Project Raw Data'!G407)),DATE(RIGHT('Main Project Raw Data'!G407,4),LEFT('Main Project Raw Data'!G407,FIND("/",'Main Project Raw Data'!G407)-1),MID('Main Project Raw Data'!G407,FIND("/",'Main Project Raw Data'!G407)+1,2)),DATE(RIGHT('Main Project Raw Data'!G407,4),MID('Main Project Raw Data'!G407,4,2),LEFT('Main Project Raw Data'!G407,2))))</f>
        <v>44891</v>
      </c>
      <c r="H407" s="3">
        <f>IF(Table1[[#This Row],[Salary]]="",AVERAGE(Table1[Salary]),Table1[[#This Row],[Salary]])</f>
        <v>92484.88</v>
      </c>
      <c r="I407" s="3" t="s">
        <v>155</v>
      </c>
      <c r="J407" s="3">
        <f>ABS(Table1[[#This Row],[Phone]])</f>
        <v>3882211456</v>
      </c>
      <c r="K407" s="3" t="str">
        <f>PROPER(TRIM(Table1[[#This Row],[Performance_Score]]))</f>
        <v>Good</v>
      </c>
      <c r="L407" s="3" t="b">
        <f>Table1[[#This Row],[Remote_Work]]</f>
        <v>1</v>
      </c>
      <c r="M407" s="3" t="str">
        <f>PROPER(CONCATENATE(Table13[[#This Row],[First_Name]], Table13[[#This Row],[Last_Name]]))</f>
        <v>Evabrown</v>
      </c>
      <c r="N407" s="3" t="str">
        <f t="shared" si="6"/>
        <v>Nov</v>
      </c>
      <c r="O407" s="3" t="str">
        <f>TEXT(Table13[[#This Row],[Join_Date]],"yyyy")</f>
        <v>2022</v>
      </c>
      <c r="P407" s="3" t="str">
        <f>LEFT('Main Project Raw Data'!E407,FIND("-",'Main Project Raw Data'!E407)-1)</f>
        <v>DevOps</v>
      </c>
      <c r="Q407" s="3" t="str">
        <f>RIGHT('Main Project Raw Data'!E407,LEN('Main Project Raw Data'!E407)-FIND("-",'Main Project Raw Data'!E407))</f>
        <v>California</v>
      </c>
    </row>
    <row r="408" spans="1:17" x14ac:dyDescent="0.3">
      <c r="A408" s="3" t="str">
        <f>TRIM(Table1[[#This Row],[Employee_ID]])</f>
        <v>EMP1406</v>
      </c>
      <c r="B408" s="3" t="str">
        <f>TRIM(Table1[[#This Row],[First_Name]])</f>
        <v>Grace</v>
      </c>
      <c r="C408" s="3" t="str">
        <f>TRIM(Table1[[#This Row],[Last_Name]])</f>
        <v>Miller</v>
      </c>
      <c r="D408" s="3">
        <f>IF(Table1[[#This Row],[Age]]="",AVERAGE(Table1[Age]),Table1[[#This Row],[Age]])</f>
        <v>35</v>
      </c>
      <c r="E408" s="3" t="s">
        <v>237</v>
      </c>
      <c r="F408" s="3" t="s">
        <v>16</v>
      </c>
      <c r="G408" s="5">
        <f>IF(ISNUMBER('Main Project Raw Data'!G408),'Main Project Raw Data'!G408,IF(ISNUMBER(SEARCH("/",'Main Project Raw Data'!G408)),DATE(RIGHT('Main Project Raw Data'!G408,4),LEFT('Main Project Raw Data'!G408,FIND("/",'Main Project Raw Data'!G408)-1),MID('Main Project Raw Data'!G408,FIND("/",'Main Project Raw Data'!G408)+1,2)),DATE(RIGHT('Main Project Raw Data'!G408,4),MID('Main Project Raw Data'!G408,4,2),LEFT('Main Project Raw Data'!G408,2))))</f>
        <v>44844</v>
      </c>
      <c r="H408" s="3">
        <f>IF(Table1[[#This Row],[Salary]]="",AVERAGE(Table1[Salary]),Table1[[#This Row],[Salary]])</f>
        <v>77011.990000000005</v>
      </c>
      <c r="I408" s="3" t="s">
        <v>168</v>
      </c>
      <c r="J408" s="3">
        <f>ABS(Table1[[#This Row],[Phone]])</f>
        <v>7584745704</v>
      </c>
      <c r="K408" s="3" t="str">
        <f>PROPER(TRIM(Table1[[#This Row],[Performance_Score]]))</f>
        <v>Average</v>
      </c>
      <c r="L408" s="3" t="b">
        <f>Table1[[#This Row],[Remote_Work]]</f>
        <v>1</v>
      </c>
      <c r="M408" s="3" t="str">
        <f>PROPER(CONCATENATE(Table13[[#This Row],[First_Name]], Table13[[#This Row],[Last_Name]]))</f>
        <v>Gracemiller</v>
      </c>
      <c r="N408" s="3" t="str">
        <f t="shared" si="6"/>
        <v>Oct</v>
      </c>
      <c r="O408" s="3" t="str">
        <f>TEXT(Table13[[#This Row],[Join_Date]],"yyyy")</f>
        <v>2022</v>
      </c>
      <c r="P408" s="3" t="str">
        <f>LEFT('Main Project Raw Data'!E408,FIND("-",'Main Project Raw Data'!E408)-1)</f>
        <v>DevOps</v>
      </c>
      <c r="Q408" s="3" t="str">
        <f>RIGHT('Main Project Raw Data'!E408,LEN('Main Project Raw Data'!E408)-FIND("-",'Main Project Raw Data'!E408))</f>
        <v>Texas</v>
      </c>
    </row>
    <row r="409" spans="1:17" x14ac:dyDescent="0.3">
      <c r="A409" s="3" t="str">
        <f>TRIM(Table1[[#This Row],[Employee_ID]])</f>
        <v>EMP1407</v>
      </c>
      <c r="B409" s="3" t="str">
        <f>TRIM(Table1[[#This Row],[First_Name]])</f>
        <v>Bob</v>
      </c>
      <c r="C409" s="3" t="str">
        <f>TRIM(Table1[[#This Row],[Last_Name]])</f>
        <v>Garcia</v>
      </c>
      <c r="D409" s="3">
        <f>IF(Table1[[#This Row],[Age]]="",AVERAGE(Table1[Age]),Table1[[#This Row],[Age]])</f>
        <v>32.484548825710753</v>
      </c>
      <c r="E409" s="3" t="s">
        <v>268</v>
      </c>
      <c r="F409" s="3" t="s">
        <v>33</v>
      </c>
      <c r="G409" s="5">
        <f>IF(ISNUMBER('Main Project Raw Data'!G409),'Main Project Raw Data'!G409,IF(ISNUMBER(SEARCH("/",'Main Project Raw Data'!G409)),DATE(RIGHT('Main Project Raw Data'!G409,4),LEFT('Main Project Raw Data'!G409,FIND("/",'Main Project Raw Data'!G409)-1),MID('Main Project Raw Data'!G409,FIND("/",'Main Project Raw Data'!G409)+1,2)),DATE(RIGHT('Main Project Raw Data'!G409,4),MID('Main Project Raw Data'!G409,4,2),LEFT('Main Project Raw Data'!G409,2))))</f>
        <v>44101</v>
      </c>
      <c r="H409" s="3">
        <f>IF(Table1[[#This Row],[Salary]]="",AVERAGE(Table1[Salary]),Table1[[#This Row],[Salary]])</f>
        <v>77078.679999999993</v>
      </c>
      <c r="I409" s="3" t="s">
        <v>153</v>
      </c>
      <c r="J409" s="3">
        <f>ABS(Table1[[#This Row],[Phone]])</f>
        <v>4589714801</v>
      </c>
      <c r="K409" s="3" t="str">
        <f>PROPER(TRIM(Table1[[#This Row],[Performance_Score]]))</f>
        <v>Average</v>
      </c>
      <c r="L409" s="3" t="b">
        <f>Table1[[#This Row],[Remote_Work]]</f>
        <v>1</v>
      </c>
      <c r="M409" s="3" t="str">
        <f>PROPER(CONCATENATE(Table13[[#This Row],[First_Name]], Table13[[#This Row],[Last_Name]]))</f>
        <v>Bobgarcia</v>
      </c>
      <c r="N409" s="3" t="str">
        <f t="shared" si="6"/>
        <v>Sep</v>
      </c>
      <c r="O409" s="3" t="str">
        <f>TEXT(Table13[[#This Row],[Join_Date]],"yyyy")</f>
        <v>2020</v>
      </c>
      <c r="P409" s="3" t="str">
        <f>LEFT('Main Project Raw Data'!E409,FIND("-",'Main Project Raw Data'!E409)-1)</f>
        <v>Cloud Tech</v>
      </c>
      <c r="Q409" s="3" t="str">
        <f>RIGHT('Main Project Raw Data'!E409,LEN('Main Project Raw Data'!E409)-FIND("-",'Main Project Raw Data'!E409))</f>
        <v>California</v>
      </c>
    </row>
    <row r="410" spans="1:17" x14ac:dyDescent="0.3">
      <c r="A410" s="3" t="str">
        <f>TRIM(Table1[[#This Row],[Employee_ID]])</f>
        <v>EMP1408</v>
      </c>
      <c r="B410" s="3" t="str">
        <f>TRIM(Table1[[#This Row],[First_Name]])</f>
        <v>Grace</v>
      </c>
      <c r="C410" s="3" t="str">
        <f>TRIM(Table1[[#This Row],[Last_Name]])</f>
        <v>Brown</v>
      </c>
      <c r="D410" s="3">
        <f>IF(Table1[[#This Row],[Age]]="",AVERAGE(Table1[Age]),Table1[[#This Row],[Age]])</f>
        <v>35</v>
      </c>
      <c r="E410" s="3" t="s">
        <v>219</v>
      </c>
      <c r="F410" s="3" t="s">
        <v>16</v>
      </c>
      <c r="G410" s="5">
        <f>IF(ISNUMBER('Main Project Raw Data'!G410),'Main Project Raw Data'!G410,IF(ISNUMBER(SEARCH("/",'Main Project Raw Data'!G410)),DATE(RIGHT('Main Project Raw Data'!G410,4),LEFT('Main Project Raw Data'!G410,FIND("/",'Main Project Raw Data'!G410)-1),MID('Main Project Raw Data'!G410,FIND("/",'Main Project Raw Data'!G410)+1,2)),DATE(RIGHT('Main Project Raw Data'!G410,4),MID('Main Project Raw Data'!G410,4,2),LEFT('Main Project Raw Data'!G410,2))))</f>
        <v>45600</v>
      </c>
      <c r="H410" s="3">
        <f>IF(Table1[[#This Row],[Salary]]="",AVERAGE(Table1[Salary]),Table1[[#This Row],[Salary]])</f>
        <v>82971.02</v>
      </c>
      <c r="I410" s="3" t="s">
        <v>201</v>
      </c>
      <c r="J410" s="3">
        <f>ABS(Table1[[#This Row],[Phone]])</f>
        <v>6325703964</v>
      </c>
      <c r="K410" s="3" t="str">
        <f>PROPER(TRIM(Table1[[#This Row],[Performance_Score]]))</f>
        <v>Good</v>
      </c>
      <c r="L410" s="3" t="b">
        <f>Table1[[#This Row],[Remote_Work]]</f>
        <v>0</v>
      </c>
      <c r="M410" s="3" t="str">
        <f>PROPER(CONCATENATE(Table13[[#This Row],[First_Name]], Table13[[#This Row],[Last_Name]]))</f>
        <v>Gracebrown</v>
      </c>
      <c r="N410" s="3" t="str">
        <f t="shared" si="6"/>
        <v>Nov</v>
      </c>
      <c r="O410" s="3" t="str">
        <f>TEXT(Table13[[#This Row],[Join_Date]],"yyyy")</f>
        <v>2024</v>
      </c>
      <c r="P410" s="3" t="str">
        <f>LEFT('Main Project Raw Data'!E410,FIND("-",'Main Project Raw Data'!E410)-1)</f>
        <v>Sales</v>
      </c>
      <c r="Q410" s="3" t="str">
        <f>RIGHT('Main Project Raw Data'!E410,LEN('Main Project Raw Data'!E410)-FIND("-",'Main Project Raw Data'!E410))</f>
        <v>Nevada</v>
      </c>
    </row>
    <row r="411" spans="1:17" x14ac:dyDescent="0.3">
      <c r="A411" s="3" t="str">
        <f>TRIM(Table1[[#This Row],[Employee_ID]])</f>
        <v>EMP1409</v>
      </c>
      <c r="B411" s="3" t="str">
        <f>TRIM(Table1[[#This Row],[First_Name]])</f>
        <v>Bob</v>
      </c>
      <c r="C411" s="3" t="str">
        <f>TRIM(Table1[[#This Row],[Last_Name]])</f>
        <v>Miller</v>
      </c>
      <c r="D411" s="3">
        <f>IF(Table1[[#This Row],[Age]]="",AVERAGE(Table1[Age]),Table1[[#This Row],[Age]])</f>
        <v>25</v>
      </c>
      <c r="E411" s="3" t="s">
        <v>44</v>
      </c>
      <c r="F411" s="3" t="s">
        <v>16</v>
      </c>
      <c r="G411" s="5">
        <f>IF(ISNUMBER('Main Project Raw Data'!G411),'Main Project Raw Data'!G411,IF(ISNUMBER(SEARCH("/",'Main Project Raw Data'!G411)),DATE(RIGHT('Main Project Raw Data'!G411,4),LEFT('Main Project Raw Data'!G411,FIND("/",'Main Project Raw Data'!G411)-1),MID('Main Project Raw Data'!G411,FIND("/",'Main Project Raw Data'!G411)+1,2)),DATE(RIGHT('Main Project Raw Data'!G411,4),MID('Main Project Raw Data'!G411,4,2),LEFT('Main Project Raw Data'!G411,2))))</f>
        <v>44367</v>
      </c>
      <c r="H411" s="3">
        <f>IF(Table1[[#This Row],[Salary]]="",AVERAGE(Table1[Salary]),Table1[[#This Row],[Salary]])</f>
        <v>65102.01</v>
      </c>
      <c r="I411" s="3" t="s">
        <v>93</v>
      </c>
      <c r="J411" s="3">
        <f>ABS(Table1[[#This Row],[Phone]])</f>
        <v>3136148781</v>
      </c>
      <c r="K411" s="3" t="str">
        <f>PROPER(TRIM(Table1[[#This Row],[Performance_Score]]))</f>
        <v>Average</v>
      </c>
      <c r="L411" s="3" t="b">
        <f>Table1[[#This Row],[Remote_Work]]</f>
        <v>1</v>
      </c>
      <c r="M411" s="3" t="str">
        <f>PROPER(CONCATENATE(Table13[[#This Row],[First_Name]], Table13[[#This Row],[Last_Name]]))</f>
        <v>Bobmiller</v>
      </c>
      <c r="N411" s="3" t="str">
        <f t="shared" si="6"/>
        <v>Jun</v>
      </c>
      <c r="O411" s="3" t="str">
        <f>TEXT(Table13[[#This Row],[Join_Date]],"yyyy")</f>
        <v>2021</v>
      </c>
      <c r="P411" s="3" t="str">
        <f>LEFT('Main Project Raw Data'!E411,FIND("-",'Main Project Raw Data'!E411)-1)</f>
        <v>Sales</v>
      </c>
      <c r="Q411" s="3" t="str">
        <f>RIGHT('Main Project Raw Data'!E411,LEN('Main Project Raw Data'!E411)-FIND("-",'Main Project Raw Data'!E411))</f>
        <v>Texas</v>
      </c>
    </row>
    <row r="412" spans="1:17" x14ac:dyDescent="0.3">
      <c r="A412" s="3" t="str">
        <f>TRIM(Table1[[#This Row],[Employee_ID]])</f>
        <v>EMP1410</v>
      </c>
      <c r="B412" s="3" t="str">
        <f>TRIM(Table1[[#This Row],[First_Name]])</f>
        <v>Grace</v>
      </c>
      <c r="C412" s="3" t="str">
        <f>TRIM(Table1[[#This Row],[Last_Name]])</f>
        <v>Williams</v>
      </c>
      <c r="D412" s="3">
        <f>IF(Table1[[#This Row],[Age]]="",AVERAGE(Table1[Age]),Table1[[#This Row],[Age]])</f>
        <v>32.484548825710753</v>
      </c>
      <c r="E412" s="3" t="s">
        <v>149</v>
      </c>
      <c r="F412" s="3" t="s">
        <v>28</v>
      </c>
      <c r="G412" s="5">
        <f>IF(ISNUMBER('Main Project Raw Data'!G412),'Main Project Raw Data'!G412,IF(ISNUMBER(SEARCH("/",'Main Project Raw Data'!G412)),DATE(RIGHT('Main Project Raw Data'!G412,4),LEFT('Main Project Raw Data'!G412,FIND("/",'Main Project Raw Data'!G412)-1),MID('Main Project Raw Data'!G412,FIND("/",'Main Project Raw Data'!G412)+1,2)),DATE(RIGHT('Main Project Raw Data'!G412,4),MID('Main Project Raw Data'!G412,4,2),LEFT('Main Project Raw Data'!G412,2))))</f>
        <v>44857</v>
      </c>
      <c r="H412" s="3">
        <f>IF(Table1[[#This Row],[Salary]]="",AVERAGE(Table1[Salary]),Table1[[#This Row],[Salary]])</f>
        <v>103697.7</v>
      </c>
      <c r="I412" s="3" t="s">
        <v>71</v>
      </c>
      <c r="J412" s="3">
        <f>ABS(Table1[[#This Row],[Phone]])</f>
        <v>4556964429</v>
      </c>
      <c r="K412" s="3" t="str">
        <f>PROPER(TRIM(Table1[[#This Row],[Performance_Score]]))</f>
        <v>Excellent</v>
      </c>
      <c r="L412" s="3" t="b">
        <f>Table1[[#This Row],[Remote_Work]]</f>
        <v>1</v>
      </c>
      <c r="M412" s="3" t="str">
        <f>PROPER(CONCATENATE(Table13[[#This Row],[First_Name]], Table13[[#This Row],[Last_Name]]))</f>
        <v>Gracewilliams</v>
      </c>
      <c r="N412" s="3" t="str">
        <f t="shared" si="6"/>
        <v>Oct</v>
      </c>
      <c r="O412" s="3" t="str">
        <f>TEXT(Table13[[#This Row],[Join_Date]],"yyyy")</f>
        <v>2022</v>
      </c>
      <c r="P412" s="3" t="str">
        <f>LEFT('Main Project Raw Data'!E412,FIND("-",'Main Project Raw Data'!E412)-1)</f>
        <v>HR</v>
      </c>
      <c r="Q412" s="3" t="str">
        <f>RIGHT('Main Project Raw Data'!E412,LEN('Main Project Raw Data'!E412)-FIND("-",'Main Project Raw Data'!E412))</f>
        <v>Nevada</v>
      </c>
    </row>
    <row r="413" spans="1:17" x14ac:dyDescent="0.3">
      <c r="A413" s="3" t="str">
        <f>TRIM(Table1[[#This Row],[Employee_ID]])</f>
        <v>EMP1411</v>
      </c>
      <c r="B413" s="3" t="str">
        <f>TRIM(Table1[[#This Row],[First_Name]])</f>
        <v>Grace</v>
      </c>
      <c r="C413" s="3" t="str">
        <f>TRIM(Table1[[#This Row],[Last_Name]])</f>
        <v>Garcia</v>
      </c>
      <c r="D413" s="3">
        <f>IF(Table1[[#This Row],[Age]]="",AVERAGE(Table1[Age]),Table1[[#This Row],[Age]])</f>
        <v>25</v>
      </c>
      <c r="E413" s="3" t="s">
        <v>78</v>
      </c>
      <c r="F413" s="3" t="s">
        <v>28</v>
      </c>
      <c r="G413" s="5">
        <f>IF(ISNUMBER('Main Project Raw Data'!G413),'Main Project Raw Data'!G413,IF(ISNUMBER(SEARCH("/",'Main Project Raw Data'!G413)),DATE(RIGHT('Main Project Raw Data'!G413,4),LEFT('Main Project Raw Data'!G413,FIND("/",'Main Project Raw Data'!G413)-1),MID('Main Project Raw Data'!G413,FIND("/",'Main Project Raw Data'!G413)+1,2)),DATE(RIGHT('Main Project Raw Data'!G413,4),MID('Main Project Raw Data'!G413,4,2),LEFT('Main Project Raw Data'!G413,2))))</f>
        <v>45092</v>
      </c>
      <c r="H413" s="3">
        <f>IF(Table1[[#This Row],[Salary]]="",AVERAGE(Table1[Salary]),Table1[[#This Row],[Salary]])</f>
        <v>60687.63</v>
      </c>
      <c r="I413" s="3" t="s">
        <v>83</v>
      </c>
      <c r="J413" s="3">
        <f>ABS(Table1[[#This Row],[Phone]])</f>
        <v>9859167953</v>
      </c>
      <c r="K413" s="3" t="str">
        <f>PROPER(TRIM(Table1[[#This Row],[Performance_Score]]))</f>
        <v>Excellent</v>
      </c>
      <c r="L413" s="3" t="b">
        <f>Table1[[#This Row],[Remote_Work]]</f>
        <v>0</v>
      </c>
      <c r="M413" s="3" t="str">
        <f>PROPER(CONCATENATE(Table13[[#This Row],[First_Name]], Table13[[#This Row],[Last_Name]]))</f>
        <v>Gracegarcia</v>
      </c>
      <c r="N413" s="3" t="str">
        <f t="shared" si="6"/>
        <v>Jun</v>
      </c>
      <c r="O413" s="3" t="str">
        <f>TEXT(Table13[[#This Row],[Join_Date]],"yyyy")</f>
        <v>2023</v>
      </c>
      <c r="P413" s="3" t="str">
        <f>LEFT('Main Project Raw Data'!E413,FIND("-",'Main Project Raw Data'!E413)-1)</f>
        <v>DevOps</v>
      </c>
      <c r="Q413" s="3" t="str">
        <f>RIGHT('Main Project Raw Data'!E413,LEN('Main Project Raw Data'!E413)-FIND("-",'Main Project Raw Data'!E413))</f>
        <v>Illinois</v>
      </c>
    </row>
    <row r="414" spans="1:17" x14ac:dyDescent="0.3">
      <c r="A414" s="3" t="str">
        <f>TRIM(Table1[[#This Row],[Employee_ID]])</f>
        <v>EMP1412</v>
      </c>
      <c r="B414" s="3" t="str">
        <f>TRIM(Table1[[#This Row],[First_Name]])</f>
        <v>Bob</v>
      </c>
      <c r="C414" s="3" t="str">
        <f>TRIM(Table1[[#This Row],[Last_Name]])</f>
        <v>Miller</v>
      </c>
      <c r="D414" s="3">
        <f>IF(Table1[[#This Row],[Age]]="",AVERAGE(Table1[Age]),Table1[[#This Row],[Age]])</f>
        <v>32.484548825710753</v>
      </c>
      <c r="E414" s="3" t="s">
        <v>196</v>
      </c>
      <c r="F414" s="3" t="s">
        <v>28</v>
      </c>
      <c r="G414" s="5">
        <f>IF(ISNUMBER('Main Project Raw Data'!G414),'Main Project Raw Data'!G414,IF(ISNUMBER(SEARCH("/",'Main Project Raw Data'!G414)),DATE(RIGHT('Main Project Raw Data'!G414,4),LEFT('Main Project Raw Data'!G414,FIND("/",'Main Project Raw Data'!G414)-1),MID('Main Project Raw Data'!G414,FIND("/",'Main Project Raw Data'!G414)+1,2)),DATE(RIGHT('Main Project Raw Data'!G414,4),MID('Main Project Raw Data'!G414,4,2),LEFT('Main Project Raw Data'!G414,2))))</f>
        <v>44500</v>
      </c>
      <c r="H414" s="3">
        <f>IF(Table1[[#This Row],[Salary]]="",AVERAGE(Table1[Salary]),Table1[[#This Row],[Salary]])</f>
        <v>77351.210000000006</v>
      </c>
      <c r="I414" s="3" t="s">
        <v>93</v>
      </c>
      <c r="J414" s="3">
        <f>ABS(Table1[[#This Row],[Phone]])</f>
        <v>1072728497</v>
      </c>
      <c r="K414" s="3" t="str">
        <f>PROPER(TRIM(Table1[[#This Row],[Performance_Score]]))</f>
        <v>Good</v>
      </c>
      <c r="L414" s="3" t="b">
        <f>Table1[[#This Row],[Remote_Work]]</f>
        <v>0</v>
      </c>
      <c r="M414" s="3" t="str">
        <f>PROPER(CONCATENATE(Table13[[#This Row],[First_Name]], Table13[[#This Row],[Last_Name]]))</f>
        <v>Bobmiller</v>
      </c>
      <c r="N414" s="3" t="str">
        <f t="shared" si="6"/>
        <v>Oct</v>
      </c>
      <c r="O414" s="3" t="str">
        <f>TEXT(Table13[[#This Row],[Join_Date]],"yyyy")</f>
        <v>2021</v>
      </c>
      <c r="P414" s="3" t="str">
        <f>LEFT('Main Project Raw Data'!E414,FIND("-",'Main Project Raw Data'!E414)-1)</f>
        <v>Admin</v>
      </c>
      <c r="Q414" s="3" t="str">
        <f>RIGHT('Main Project Raw Data'!E414,LEN('Main Project Raw Data'!E414)-FIND("-",'Main Project Raw Data'!E414))</f>
        <v>New York</v>
      </c>
    </row>
    <row r="415" spans="1:17" x14ac:dyDescent="0.3">
      <c r="A415" s="3" t="str">
        <f>TRIM(Table1[[#This Row],[Employee_ID]])</f>
        <v>EMP1413</v>
      </c>
      <c r="B415" s="3" t="str">
        <f>TRIM(Table1[[#This Row],[First_Name]])</f>
        <v>Bob</v>
      </c>
      <c r="C415" s="3" t="str">
        <f>TRIM(Table1[[#This Row],[Last_Name]])</f>
        <v>Smith</v>
      </c>
      <c r="D415" s="3">
        <f>IF(Table1[[#This Row],[Age]]="",AVERAGE(Table1[Age]),Table1[[#This Row],[Age]])</f>
        <v>35</v>
      </c>
      <c r="E415" s="3" t="s">
        <v>230</v>
      </c>
      <c r="F415" s="3" t="s">
        <v>28</v>
      </c>
      <c r="G415" s="5">
        <f>IF(ISNUMBER('Main Project Raw Data'!G415),'Main Project Raw Data'!G415,IF(ISNUMBER(SEARCH("/",'Main Project Raw Data'!G415)),DATE(RIGHT('Main Project Raw Data'!G415,4),LEFT('Main Project Raw Data'!G415,FIND("/",'Main Project Raw Data'!G415)-1),MID('Main Project Raw Data'!G415,FIND("/",'Main Project Raw Data'!G415)+1,2)),DATE(RIGHT('Main Project Raw Data'!G415,4),MID('Main Project Raw Data'!G415,4,2),LEFT('Main Project Raw Data'!G415,2))))</f>
        <v>45564</v>
      </c>
      <c r="H415" s="3">
        <f>IF(Table1[[#This Row],[Salary]]="",AVERAGE(Table1[Salary]),Table1[[#This Row],[Salary]])</f>
        <v>66704.62</v>
      </c>
      <c r="I415" s="3" t="s">
        <v>123</v>
      </c>
      <c r="J415" s="3">
        <f>ABS(Table1[[#This Row],[Phone]])</f>
        <v>2474140702</v>
      </c>
      <c r="K415" s="3" t="str">
        <f>PROPER(TRIM(Table1[[#This Row],[Performance_Score]]))</f>
        <v>Poor</v>
      </c>
      <c r="L415" s="3" t="b">
        <f>Table1[[#This Row],[Remote_Work]]</f>
        <v>1</v>
      </c>
      <c r="M415" s="3" t="str">
        <f>PROPER(CONCATENATE(Table13[[#This Row],[First_Name]], Table13[[#This Row],[Last_Name]]))</f>
        <v>Bobsmith</v>
      </c>
      <c r="N415" s="3" t="str">
        <f t="shared" si="6"/>
        <v>Sep</v>
      </c>
      <c r="O415" s="3" t="str">
        <f>TEXT(Table13[[#This Row],[Join_Date]],"yyyy")</f>
        <v>2024</v>
      </c>
      <c r="P415" s="3" t="str">
        <f>LEFT('Main Project Raw Data'!E415,FIND("-",'Main Project Raw Data'!E415)-1)</f>
        <v>DevOps</v>
      </c>
      <c r="Q415" s="3" t="str">
        <f>RIGHT('Main Project Raw Data'!E415,LEN('Main Project Raw Data'!E415)-FIND("-",'Main Project Raw Data'!E415))</f>
        <v>Florida</v>
      </c>
    </row>
    <row r="416" spans="1:17" x14ac:dyDescent="0.3">
      <c r="A416" s="3" t="str">
        <f>TRIM(Table1[[#This Row],[Employee_ID]])</f>
        <v>EMP1414</v>
      </c>
      <c r="B416" s="3" t="str">
        <f>TRIM(Table1[[#This Row],[First_Name]])</f>
        <v>Grace</v>
      </c>
      <c r="C416" s="3" t="str">
        <f>TRIM(Table1[[#This Row],[Last_Name]])</f>
        <v>Williams</v>
      </c>
      <c r="D416" s="3">
        <f>IF(Table1[[#This Row],[Age]]="",AVERAGE(Table1[Age]),Table1[[#This Row],[Age]])</f>
        <v>25</v>
      </c>
      <c r="E416" s="3" t="s">
        <v>265</v>
      </c>
      <c r="F416" s="3" t="s">
        <v>28</v>
      </c>
      <c r="G416" s="5">
        <f>IF(ISNUMBER('Main Project Raw Data'!G416),'Main Project Raw Data'!G416,IF(ISNUMBER(SEARCH("/",'Main Project Raw Data'!G416)),DATE(RIGHT('Main Project Raw Data'!G416,4),LEFT('Main Project Raw Data'!G416,FIND("/",'Main Project Raw Data'!G416)-1),MID('Main Project Raw Data'!G416,FIND("/",'Main Project Raw Data'!G416)+1,2)),DATE(RIGHT('Main Project Raw Data'!G416,4),MID('Main Project Raw Data'!G416,4,2),LEFT('Main Project Raw Data'!G416,2))))</f>
        <v>43943</v>
      </c>
      <c r="H416" s="3">
        <f>IF(Table1[[#This Row],[Salary]]="",AVERAGE(Table1[Salary]),Table1[[#This Row],[Salary]])</f>
        <v>71650.3</v>
      </c>
      <c r="I416" s="3" t="s">
        <v>71</v>
      </c>
      <c r="J416" s="3">
        <f>ABS(Table1[[#This Row],[Phone]])</f>
        <v>4910740649</v>
      </c>
      <c r="K416" s="3" t="str">
        <f>PROPER(TRIM(Table1[[#This Row],[Performance_Score]]))</f>
        <v>Poor</v>
      </c>
      <c r="L416" s="3" t="b">
        <f>Table1[[#This Row],[Remote_Work]]</f>
        <v>1</v>
      </c>
      <c r="M416" s="3" t="str">
        <f>PROPER(CONCATENATE(Table13[[#This Row],[First_Name]], Table13[[#This Row],[Last_Name]]))</f>
        <v>Gracewilliams</v>
      </c>
      <c r="N416" s="3" t="str">
        <f t="shared" si="6"/>
        <v>Apr</v>
      </c>
      <c r="O416" s="3" t="str">
        <f>TEXT(Table13[[#This Row],[Join_Date]],"yyyy")</f>
        <v>2020</v>
      </c>
      <c r="P416" s="3" t="str">
        <f>LEFT('Main Project Raw Data'!E416,FIND("-",'Main Project Raw Data'!E416)-1)</f>
        <v>Finance</v>
      </c>
      <c r="Q416" s="3" t="str">
        <f>RIGHT('Main Project Raw Data'!E416,LEN('Main Project Raw Data'!E416)-FIND("-",'Main Project Raw Data'!E416))</f>
        <v>Illinois</v>
      </c>
    </row>
    <row r="417" spans="1:17" x14ac:dyDescent="0.3">
      <c r="A417" s="3" t="str">
        <f>TRIM(Table1[[#This Row],[Employee_ID]])</f>
        <v>EMP1415</v>
      </c>
      <c r="B417" s="3" t="str">
        <f>TRIM(Table1[[#This Row],[First_Name]])</f>
        <v>Charlie</v>
      </c>
      <c r="C417" s="3" t="str">
        <f>TRIM(Table1[[#This Row],[Last_Name]])</f>
        <v>Smith</v>
      </c>
      <c r="D417" s="3">
        <f>IF(Table1[[#This Row],[Age]]="",AVERAGE(Table1[Age]),Table1[[#This Row],[Age]])</f>
        <v>25</v>
      </c>
      <c r="E417" s="3" t="s">
        <v>85</v>
      </c>
      <c r="F417" s="3" t="s">
        <v>16</v>
      </c>
      <c r="G417" s="5">
        <f>IF(ISNUMBER('Main Project Raw Data'!G417),'Main Project Raw Data'!G417,IF(ISNUMBER(SEARCH("/",'Main Project Raw Data'!G417)),DATE(RIGHT('Main Project Raw Data'!G417,4),LEFT('Main Project Raw Data'!G417,FIND("/",'Main Project Raw Data'!G417)-1),MID('Main Project Raw Data'!G417,FIND("/",'Main Project Raw Data'!G417)+1,2)),DATE(RIGHT('Main Project Raw Data'!G417,4),MID('Main Project Raw Data'!G417,4,2),LEFT('Main Project Raw Data'!G417,2))))</f>
        <v>45119</v>
      </c>
      <c r="H417" s="3">
        <f>IF(Table1[[#This Row],[Salary]]="",AVERAGE(Table1[Salary]),Table1[[#This Row],[Salary]])</f>
        <v>50794.54</v>
      </c>
      <c r="I417" s="3" t="s">
        <v>194</v>
      </c>
      <c r="J417" s="3">
        <f>ABS(Table1[[#This Row],[Phone]])</f>
        <v>425488213</v>
      </c>
      <c r="K417" s="3" t="str">
        <f>PROPER(TRIM(Table1[[#This Row],[Performance_Score]]))</f>
        <v>Good</v>
      </c>
      <c r="L417" s="3" t="b">
        <f>Table1[[#This Row],[Remote_Work]]</f>
        <v>1</v>
      </c>
      <c r="M417" s="3" t="str">
        <f>PROPER(CONCATENATE(Table13[[#This Row],[First_Name]], Table13[[#This Row],[Last_Name]]))</f>
        <v>Charliesmith</v>
      </c>
      <c r="N417" s="3" t="str">
        <f t="shared" si="6"/>
        <v>Jul</v>
      </c>
      <c r="O417" s="3" t="str">
        <f>TEXT(Table13[[#This Row],[Join_Date]],"yyyy")</f>
        <v>2023</v>
      </c>
      <c r="P417" s="3" t="str">
        <f>LEFT('Main Project Raw Data'!E417,FIND("-",'Main Project Raw Data'!E417)-1)</f>
        <v>Cloud Tech</v>
      </c>
      <c r="Q417" s="3" t="str">
        <f>RIGHT('Main Project Raw Data'!E417,LEN('Main Project Raw Data'!E417)-FIND("-",'Main Project Raw Data'!E417))</f>
        <v>Nevada</v>
      </c>
    </row>
    <row r="418" spans="1:17" x14ac:dyDescent="0.3">
      <c r="A418" s="3" t="str">
        <f>TRIM(Table1[[#This Row],[Employee_ID]])</f>
        <v>EMP1416</v>
      </c>
      <c r="B418" s="3" t="str">
        <f>TRIM(Table1[[#This Row],[First_Name]])</f>
        <v>Frank</v>
      </c>
      <c r="C418" s="3" t="str">
        <f>TRIM(Table1[[#This Row],[Last_Name]])</f>
        <v>Jones</v>
      </c>
      <c r="D418" s="3">
        <f>IF(Table1[[#This Row],[Age]]="",AVERAGE(Table1[Age]),Table1[[#This Row],[Age]])</f>
        <v>32.484548825710753</v>
      </c>
      <c r="E418" s="3" t="s">
        <v>219</v>
      </c>
      <c r="F418" s="3" t="s">
        <v>33</v>
      </c>
      <c r="G418" s="5">
        <f>IF(ISNUMBER('Main Project Raw Data'!G418),'Main Project Raw Data'!G418,IF(ISNUMBER(SEARCH("/",'Main Project Raw Data'!G418)),DATE(RIGHT('Main Project Raw Data'!G418,4),LEFT('Main Project Raw Data'!G418,FIND("/",'Main Project Raw Data'!G418)-1),MID('Main Project Raw Data'!G418,FIND("/",'Main Project Raw Data'!G418)+1,2)),DATE(RIGHT('Main Project Raw Data'!G418,4),MID('Main Project Raw Data'!G418,4,2),LEFT('Main Project Raw Data'!G418,2))))</f>
        <v>44024</v>
      </c>
      <c r="H418" s="3">
        <f>IF(Table1[[#This Row],[Salary]]="",AVERAGE(Table1[Salary]),Table1[[#This Row],[Salary]])</f>
        <v>76030.86</v>
      </c>
      <c r="I418" s="3" t="s">
        <v>47</v>
      </c>
      <c r="J418" s="3">
        <f>ABS(Table1[[#This Row],[Phone]])</f>
        <v>2369143074</v>
      </c>
      <c r="K418" s="3" t="str">
        <f>PROPER(TRIM(Table1[[#This Row],[Performance_Score]]))</f>
        <v>Good</v>
      </c>
      <c r="L418" s="3" t="b">
        <f>Table1[[#This Row],[Remote_Work]]</f>
        <v>1</v>
      </c>
      <c r="M418" s="3" t="str">
        <f>PROPER(CONCATENATE(Table13[[#This Row],[First_Name]], Table13[[#This Row],[Last_Name]]))</f>
        <v>Frankjones</v>
      </c>
      <c r="N418" s="3" t="str">
        <f t="shared" si="6"/>
        <v>Jul</v>
      </c>
      <c r="O418" s="3" t="str">
        <f>TEXT(Table13[[#This Row],[Join_Date]],"yyyy")</f>
        <v>2020</v>
      </c>
      <c r="P418" s="3" t="str">
        <f>LEFT('Main Project Raw Data'!E418,FIND("-",'Main Project Raw Data'!E418)-1)</f>
        <v>Sales</v>
      </c>
      <c r="Q418" s="3" t="str">
        <f>RIGHT('Main Project Raw Data'!E418,LEN('Main Project Raw Data'!E418)-FIND("-",'Main Project Raw Data'!E418))</f>
        <v>Nevada</v>
      </c>
    </row>
    <row r="419" spans="1:17" x14ac:dyDescent="0.3">
      <c r="A419" s="3" t="str">
        <f>TRIM(Table1[[#This Row],[Employee_ID]])</f>
        <v>EMP1417</v>
      </c>
      <c r="B419" s="3" t="str">
        <f>TRIM(Table1[[#This Row],[First_Name]])</f>
        <v>Eva</v>
      </c>
      <c r="C419" s="3" t="str">
        <f>TRIM(Table1[[#This Row],[Last_Name]])</f>
        <v>Johnson</v>
      </c>
      <c r="D419" s="3">
        <f>IF(Table1[[#This Row],[Age]]="",AVERAGE(Table1[Age]),Table1[[#This Row],[Age]])</f>
        <v>25</v>
      </c>
      <c r="E419" s="3" t="s">
        <v>268</v>
      </c>
      <c r="F419" s="3" t="s">
        <v>33</v>
      </c>
      <c r="G419" s="5">
        <f>IF(ISNUMBER('Main Project Raw Data'!G419),'Main Project Raw Data'!G419,IF(ISNUMBER(SEARCH("/",'Main Project Raw Data'!G419)),DATE(RIGHT('Main Project Raw Data'!G419,4),LEFT('Main Project Raw Data'!G419,FIND("/",'Main Project Raw Data'!G419)-1),MID('Main Project Raw Data'!G419,FIND("/",'Main Project Raw Data'!G419)+1,2)),DATE(RIGHT('Main Project Raw Data'!G419,4),MID('Main Project Raw Data'!G419,4,2),LEFT('Main Project Raw Data'!G419,2))))</f>
        <v>44507</v>
      </c>
      <c r="H419" s="3">
        <f>IF(Table1[[#This Row],[Salary]]="",AVERAGE(Table1[Salary]),Table1[[#This Row],[Salary]])</f>
        <v>86669.79</v>
      </c>
      <c r="I419" s="3" t="s">
        <v>322</v>
      </c>
      <c r="J419" s="3">
        <f>ABS(Table1[[#This Row],[Phone]])</f>
        <v>3666144941</v>
      </c>
      <c r="K419" s="3" t="str">
        <f>PROPER(TRIM(Table1[[#This Row],[Performance_Score]]))</f>
        <v>Excellent</v>
      </c>
      <c r="L419" s="3" t="b">
        <f>Table1[[#This Row],[Remote_Work]]</f>
        <v>1</v>
      </c>
      <c r="M419" s="3" t="str">
        <f>PROPER(CONCATENATE(Table13[[#This Row],[First_Name]], Table13[[#This Row],[Last_Name]]))</f>
        <v>Evajohnson</v>
      </c>
      <c r="N419" s="3" t="str">
        <f t="shared" si="6"/>
        <v>Nov</v>
      </c>
      <c r="O419" s="3" t="str">
        <f>TEXT(Table13[[#This Row],[Join_Date]],"yyyy")</f>
        <v>2021</v>
      </c>
      <c r="P419" s="3" t="str">
        <f>LEFT('Main Project Raw Data'!E419,FIND("-",'Main Project Raw Data'!E419)-1)</f>
        <v>Cloud Tech</v>
      </c>
      <c r="Q419" s="3" t="str">
        <f>RIGHT('Main Project Raw Data'!E419,LEN('Main Project Raw Data'!E419)-FIND("-",'Main Project Raw Data'!E419))</f>
        <v>California</v>
      </c>
    </row>
    <row r="420" spans="1:17" x14ac:dyDescent="0.3">
      <c r="A420" s="3" t="str">
        <f>TRIM(Table1[[#This Row],[Employee_ID]])</f>
        <v>EMP1418</v>
      </c>
      <c r="B420" s="3" t="str">
        <f>TRIM(Table1[[#This Row],[First_Name]])</f>
        <v>Bob</v>
      </c>
      <c r="C420" s="3" t="str">
        <f>TRIM(Table1[[#This Row],[Last_Name]])</f>
        <v>Garcia</v>
      </c>
      <c r="D420" s="3">
        <f>IF(Table1[[#This Row],[Age]]="",AVERAGE(Table1[Age]),Table1[[#This Row],[Age]])</f>
        <v>40</v>
      </c>
      <c r="E420" s="3" t="s">
        <v>265</v>
      </c>
      <c r="F420" s="3" t="s">
        <v>33</v>
      </c>
      <c r="G420" s="5">
        <f>IF(ISNUMBER('Main Project Raw Data'!G420),'Main Project Raw Data'!G420,IF(ISNUMBER(SEARCH("/",'Main Project Raw Data'!G420)),DATE(RIGHT('Main Project Raw Data'!G420,4),LEFT('Main Project Raw Data'!G420,FIND("/",'Main Project Raw Data'!G420)-1),MID('Main Project Raw Data'!G420,FIND("/",'Main Project Raw Data'!G420)+1,2)),DATE(RIGHT('Main Project Raw Data'!G420,4),MID('Main Project Raw Data'!G420,4,2),LEFT('Main Project Raw Data'!G420,2))))</f>
        <v>43944</v>
      </c>
      <c r="H420" s="3">
        <f>IF(Table1[[#This Row],[Salary]]="",AVERAGE(Table1[Salary]),Table1[[#This Row],[Salary]])</f>
        <v>84972.7</v>
      </c>
      <c r="I420" s="3" t="s">
        <v>153</v>
      </c>
      <c r="J420" s="3">
        <f>ABS(Table1[[#This Row],[Phone]])</f>
        <v>9659234267</v>
      </c>
      <c r="K420" s="3" t="str">
        <f>PROPER(TRIM(Table1[[#This Row],[Performance_Score]]))</f>
        <v>Poor</v>
      </c>
      <c r="L420" s="3" t="b">
        <f>Table1[[#This Row],[Remote_Work]]</f>
        <v>1</v>
      </c>
      <c r="M420" s="3" t="str">
        <f>PROPER(CONCATENATE(Table13[[#This Row],[First_Name]], Table13[[#This Row],[Last_Name]]))</f>
        <v>Bobgarcia</v>
      </c>
      <c r="N420" s="3" t="str">
        <f t="shared" si="6"/>
        <v>Apr</v>
      </c>
      <c r="O420" s="3" t="str">
        <f>TEXT(Table13[[#This Row],[Join_Date]],"yyyy")</f>
        <v>2020</v>
      </c>
      <c r="P420" s="3" t="str">
        <f>LEFT('Main Project Raw Data'!E420,FIND("-",'Main Project Raw Data'!E420)-1)</f>
        <v>Finance</v>
      </c>
      <c r="Q420" s="3" t="str">
        <f>RIGHT('Main Project Raw Data'!E420,LEN('Main Project Raw Data'!E420)-FIND("-",'Main Project Raw Data'!E420))</f>
        <v>Illinois</v>
      </c>
    </row>
    <row r="421" spans="1:17" x14ac:dyDescent="0.3">
      <c r="A421" s="3" t="str">
        <f>TRIM(Table1[[#This Row],[Employee_ID]])</f>
        <v>EMP1419</v>
      </c>
      <c r="B421" s="3" t="str">
        <f>TRIM(Table1[[#This Row],[First_Name]])</f>
        <v>Frank</v>
      </c>
      <c r="C421" s="3" t="str">
        <f>TRIM(Table1[[#This Row],[Last_Name]])</f>
        <v>Miller</v>
      </c>
      <c r="D421" s="3">
        <f>IF(Table1[[#This Row],[Age]]="",AVERAGE(Table1[Age]),Table1[[#This Row],[Age]])</f>
        <v>30</v>
      </c>
      <c r="E421" s="3" t="s">
        <v>139</v>
      </c>
      <c r="F421" s="3" t="s">
        <v>28</v>
      </c>
      <c r="G421" s="5">
        <f>IF(ISNUMBER('Main Project Raw Data'!G421),'Main Project Raw Data'!G421,IF(ISNUMBER(SEARCH("/",'Main Project Raw Data'!G421)),DATE(RIGHT('Main Project Raw Data'!G421,4),LEFT('Main Project Raw Data'!G421,FIND("/",'Main Project Raw Data'!G421)-1),MID('Main Project Raw Data'!G421,FIND("/",'Main Project Raw Data'!G421)+1,2)),DATE(RIGHT('Main Project Raw Data'!G421,4),MID('Main Project Raw Data'!G421,4,2),LEFT('Main Project Raw Data'!G421,2))))</f>
        <v>45270</v>
      </c>
      <c r="H421" s="3">
        <f>IF(Table1[[#This Row],[Salary]]="",AVERAGE(Table1[Salary]),Table1[[#This Row],[Salary]])</f>
        <v>100594.49</v>
      </c>
      <c r="I421" s="3" t="s">
        <v>110</v>
      </c>
      <c r="J421" s="3">
        <f>ABS(Table1[[#This Row],[Phone]])</f>
        <v>3441497825</v>
      </c>
      <c r="K421" s="3" t="str">
        <f>PROPER(TRIM(Table1[[#This Row],[Performance_Score]]))</f>
        <v>Average</v>
      </c>
      <c r="L421" s="3" t="b">
        <f>Table1[[#This Row],[Remote_Work]]</f>
        <v>0</v>
      </c>
      <c r="M421" s="3" t="str">
        <f>PROPER(CONCATENATE(Table13[[#This Row],[First_Name]], Table13[[#This Row],[Last_Name]]))</f>
        <v>Frankmiller</v>
      </c>
      <c r="N421" s="3" t="str">
        <f t="shared" si="6"/>
        <v>Dec</v>
      </c>
      <c r="O421" s="3" t="str">
        <f>TEXT(Table13[[#This Row],[Join_Date]],"yyyy")</f>
        <v>2023</v>
      </c>
      <c r="P421" s="3" t="str">
        <f>LEFT('Main Project Raw Data'!E421,FIND("-",'Main Project Raw Data'!E421)-1)</f>
        <v>HR</v>
      </c>
      <c r="Q421" s="3" t="str">
        <f>RIGHT('Main Project Raw Data'!E421,LEN('Main Project Raw Data'!E421)-FIND("-",'Main Project Raw Data'!E421))</f>
        <v>Texas</v>
      </c>
    </row>
    <row r="422" spans="1:17" x14ac:dyDescent="0.3">
      <c r="A422" s="3" t="str">
        <f>TRIM(Table1[[#This Row],[Employee_ID]])</f>
        <v>EMP1420</v>
      </c>
      <c r="B422" s="3" t="str">
        <f>TRIM(Table1[[#This Row],[First_Name]])</f>
        <v>Alice</v>
      </c>
      <c r="C422" s="3" t="str">
        <f>TRIM(Table1[[#This Row],[Last_Name]])</f>
        <v>Johnson</v>
      </c>
      <c r="D422" s="3">
        <f>IF(Table1[[#This Row],[Age]]="",AVERAGE(Table1[Age]),Table1[[#This Row],[Age]])</f>
        <v>25</v>
      </c>
      <c r="E422" s="3" t="s">
        <v>60</v>
      </c>
      <c r="F422" s="3" t="s">
        <v>16</v>
      </c>
      <c r="G422" s="5">
        <f>IF(ISNUMBER('Main Project Raw Data'!G422),'Main Project Raw Data'!G422,IF(ISNUMBER(SEARCH("/",'Main Project Raw Data'!G422)),DATE(RIGHT('Main Project Raw Data'!G422,4),LEFT('Main Project Raw Data'!G422,FIND("/",'Main Project Raw Data'!G422)-1),MID('Main Project Raw Data'!G422,FIND("/",'Main Project Raw Data'!G422)+1,2)),DATE(RIGHT('Main Project Raw Data'!G422,4),MID('Main Project Raw Data'!G422,4,2),LEFT('Main Project Raw Data'!G422,2))))</f>
        <v>44797</v>
      </c>
      <c r="H422" s="3">
        <f>IF(Table1[[#This Row],[Salary]]="",AVERAGE(Table1[Salary]),Table1[[#This Row],[Salary]])</f>
        <v>75478.350000000006</v>
      </c>
      <c r="I422" s="3" t="s">
        <v>150</v>
      </c>
      <c r="J422" s="3">
        <f>ABS(Table1[[#This Row],[Phone]])</f>
        <v>6128758574</v>
      </c>
      <c r="K422" s="3" t="str">
        <f>PROPER(TRIM(Table1[[#This Row],[Performance_Score]]))</f>
        <v>Excellent</v>
      </c>
      <c r="L422" s="3" t="b">
        <f>Table1[[#This Row],[Remote_Work]]</f>
        <v>0</v>
      </c>
      <c r="M422" s="3" t="str">
        <f>PROPER(CONCATENATE(Table13[[#This Row],[First_Name]], Table13[[#This Row],[Last_Name]]))</f>
        <v>Alicejohnson</v>
      </c>
      <c r="N422" s="3" t="str">
        <f t="shared" si="6"/>
        <v>Aug</v>
      </c>
      <c r="O422" s="3" t="str">
        <f>TEXT(Table13[[#This Row],[Join_Date]],"yyyy")</f>
        <v>2022</v>
      </c>
      <c r="P422" s="3" t="str">
        <f>LEFT('Main Project Raw Data'!E422,FIND("-",'Main Project Raw Data'!E422)-1)</f>
        <v>Cloud Tech</v>
      </c>
      <c r="Q422" s="3" t="str">
        <f>RIGHT('Main Project Raw Data'!E422,LEN('Main Project Raw Data'!E422)-FIND("-",'Main Project Raw Data'!E422))</f>
        <v>New York</v>
      </c>
    </row>
    <row r="423" spans="1:17" x14ac:dyDescent="0.3">
      <c r="A423" s="3" t="str">
        <f>TRIM(Table1[[#This Row],[Employee_ID]])</f>
        <v>EMP1421</v>
      </c>
      <c r="B423" s="3" t="str">
        <f>TRIM(Table1[[#This Row],[First_Name]])</f>
        <v>Charlie</v>
      </c>
      <c r="C423" s="3" t="str">
        <f>TRIM(Table1[[#This Row],[Last_Name]])</f>
        <v>Johnson</v>
      </c>
      <c r="D423" s="3">
        <f>IF(Table1[[#This Row],[Age]]="",AVERAGE(Table1[Age]),Table1[[#This Row],[Age]])</f>
        <v>25</v>
      </c>
      <c r="E423" s="3" t="s">
        <v>219</v>
      </c>
      <c r="F423" s="3" t="s">
        <v>28</v>
      </c>
      <c r="G423" s="5">
        <f>IF(ISNUMBER('Main Project Raw Data'!G423),'Main Project Raw Data'!G423,IF(ISNUMBER(SEARCH("/",'Main Project Raw Data'!G423)),DATE(RIGHT('Main Project Raw Data'!G423,4),LEFT('Main Project Raw Data'!G423,FIND("/",'Main Project Raw Data'!G423)-1),MID('Main Project Raw Data'!G423,FIND("/",'Main Project Raw Data'!G423)+1,2)),DATE(RIGHT('Main Project Raw Data'!G423,4),MID('Main Project Raw Data'!G423,4,2),LEFT('Main Project Raw Data'!G423,2))))</f>
        <v>45025</v>
      </c>
      <c r="H423" s="3">
        <f>IF(Table1[[#This Row],[Salary]]="",AVERAGE(Table1[Salary]),Table1[[#This Row],[Salary]])</f>
        <v>79355.850000000006</v>
      </c>
      <c r="I423" s="3" t="s">
        <v>57</v>
      </c>
      <c r="J423" s="3">
        <f>ABS(Table1[[#This Row],[Phone]])</f>
        <v>6766708060</v>
      </c>
      <c r="K423" s="3" t="str">
        <f>PROPER(TRIM(Table1[[#This Row],[Performance_Score]]))</f>
        <v>Good</v>
      </c>
      <c r="L423" s="3" t="b">
        <f>Table1[[#This Row],[Remote_Work]]</f>
        <v>0</v>
      </c>
      <c r="M423" s="3" t="str">
        <f>PROPER(CONCATENATE(Table13[[#This Row],[First_Name]], Table13[[#This Row],[Last_Name]]))</f>
        <v>Charliejohnson</v>
      </c>
      <c r="N423" s="3" t="str">
        <f t="shared" si="6"/>
        <v>Apr</v>
      </c>
      <c r="O423" s="3" t="str">
        <f>TEXT(Table13[[#This Row],[Join_Date]],"yyyy")</f>
        <v>2023</v>
      </c>
      <c r="P423" s="3" t="str">
        <f>LEFT('Main Project Raw Data'!E423,FIND("-",'Main Project Raw Data'!E423)-1)</f>
        <v>Sales</v>
      </c>
      <c r="Q423" s="3" t="str">
        <f>RIGHT('Main Project Raw Data'!E423,LEN('Main Project Raw Data'!E423)-FIND("-",'Main Project Raw Data'!E423))</f>
        <v>Nevada</v>
      </c>
    </row>
    <row r="424" spans="1:17" x14ac:dyDescent="0.3">
      <c r="A424" s="3" t="str">
        <f>TRIM(Table1[[#This Row],[Employee_ID]])</f>
        <v>EMP1422</v>
      </c>
      <c r="B424" s="3" t="str">
        <f>TRIM(Table1[[#This Row],[First_Name]])</f>
        <v>Grace</v>
      </c>
      <c r="C424" s="3" t="str">
        <f>TRIM(Table1[[#This Row],[Last_Name]])</f>
        <v>Miller</v>
      </c>
      <c r="D424" s="3">
        <f>IF(Table1[[#This Row],[Age]]="",AVERAGE(Table1[Age]),Table1[[#This Row],[Age]])</f>
        <v>35</v>
      </c>
      <c r="E424" s="3" t="s">
        <v>139</v>
      </c>
      <c r="F424" s="3" t="s">
        <v>28</v>
      </c>
      <c r="G424" s="5">
        <f>IF(ISNUMBER('Main Project Raw Data'!G424),'Main Project Raw Data'!G424,IF(ISNUMBER(SEARCH("/",'Main Project Raw Data'!G424)),DATE(RIGHT('Main Project Raw Data'!G424,4),LEFT('Main Project Raw Data'!G424,FIND("/",'Main Project Raw Data'!G424)-1),MID('Main Project Raw Data'!G424,FIND("/",'Main Project Raw Data'!G424)+1,2)),DATE(RIGHT('Main Project Raw Data'!G424,4),MID('Main Project Raw Data'!G424,4,2),LEFT('Main Project Raw Data'!G424,2))))</f>
        <v>44594</v>
      </c>
      <c r="H424" s="3">
        <f>IF(Table1[[#This Row],[Salary]]="",AVERAGE(Table1[Salary]),Table1[[#This Row],[Salary]])</f>
        <v>58358.07</v>
      </c>
      <c r="I424" s="3" t="s">
        <v>168</v>
      </c>
      <c r="J424" s="3">
        <f>ABS(Table1[[#This Row],[Phone]])</f>
        <v>2943985297</v>
      </c>
      <c r="K424" s="3" t="str">
        <f>PROPER(TRIM(Table1[[#This Row],[Performance_Score]]))</f>
        <v>Poor</v>
      </c>
      <c r="L424" s="3" t="b">
        <f>Table1[[#This Row],[Remote_Work]]</f>
        <v>1</v>
      </c>
      <c r="M424" s="3" t="str">
        <f>PROPER(CONCATENATE(Table13[[#This Row],[First_Name]], Table13[[#This Row],[Last_Name]]))</f>
        <v>Gracemiller</v>
      </c>
      <c r="N424" s="3" t="str">
        <f t="shared" si="6"/>
        <v>Feb</v>
      </c>
      <c r="O424" s="3" t="str">
        <f>TEXT(Table13[[#This Row],[Join_Date]],"yyyy")</f>
        <v>2022</v>
      </c>
      <c r="P424" s="3" t="str">
        <f>LEFT('Main Project Raw Data'!E424,FIND("-",'Main Project Raw Data'!E424)-1)</f>
        <v>HR</v>
      </c>
      <c r="Q424" s="3" t="str">
        <f>RIGHT('Main Project Raw Data'!E424,LEN('Main Project Raw Data'!E424)-FIND("-",'Main Project Raw Data'!E424))</f>
        <v>Texas</v>
      </c>
    </row>
    <row r="425" spans="1:17" x14ac:dyDescent="0.3">
      <c r="A425" s="3" t="str">
        <f>TRIM(Table1[[#This Row],[Employee_ID]])</f>
        <v>EMP1423</v>
      </c>
      <c r="B425" s="3" t="str">
        <f>TRIM(Table1[[#This Row],[First_Name]])</f>
        <v>Alice</v>
      </c>
      <c r="C425" s="3" t="str">
        <f>TRIM(Table1[[#This Row],[Last_Name]])</f>
        <v>Williams</v>
      </c>
      <c r="D425" s="3">
        <f>IF(Table1[[#This Row],[Age]]="",AVERAGE(Table1[Age]),Table1[[#This Row],[Age]])</f>
        <v>30</v>
      </c>
      <c r="E425" s="3" t="s">
        <v>89</v>
      </c>
      <c r="F425" s="3" t="s">
        <v>16</v>
      </c>
      <c r="G425" s="5">
        <f>IF(ISNUMBER('Main Project Raw Data'!G425),'Main Project Raw Data'!G425,IF(ISNUMBER(SEARCH("/",'Main Project Raw Data'!G425)),DATE(RIGHT('Main Project Raw Data'!G425,4),LEFT('Main Project Raw Data'!G425,FIND("/",'Main Project Raw Data'!G425)-1),MID('Main Project Raw Data'!G425,FIND("/",'Main Project Raw Data'!G425)+1,2)),DATE(RIGHT('Main Project Raw Data'!G425,4),MID('Main Project Raw Data'!G425,4,2),LEFT('Main Project Raw Data'!G425,2))))</f>
        <v>44565</v>
      </c>
      <c r="H425" s="3">
        <f>IF(Table1[[#This Row],[Salary]]="",AVERAGE(Table1[Salary]),Table1[[#This Row],[Salary]])</f>
        <v>54824.85</v>
      </c>
      <c r="I425" s="3" t="s">
        <v>362</v>
      </c>
      <c r="J425" s="3">
        <f>ABS(Table1[[#This Row],[Phone]])</f>
        <v>9406260786</v>
      </c>
      <c r="K425" s="3" t="str">
        <f>PROPER(TRIM(Table1[[#This Row],[Performance_Score]]))</f>
        <v>Average</v>
      </c>
      <c r="L425" s="3" t="b">
        <f>Table1[[#This Row],[Remote_Work]]</f>
        <v>0</v>
      </c>
      <c r="M425" s="3" t="str">
        <f>PROPER(CONCATENATE(Table13[[#This Row],[First_Name]], Table13[[#This Row],[Last_Name]]))</f>
        <v>Alicewilliams</v>
      </c>
      <c r="N425" s="3" t="str">
        <f t="shared" si="6"/>
        <v>Jan</v>
      </c>
      <c r="O425" s="3" t="str">
        <f>TEXT(Table13[[#This Row],[Join_Date]],"yyyy")</f>
        <v>2022</v>
      </c>
      <c r="P425" s="3" t="str">
        <f>LEFT('Main Project Raw Data'!E425,FIND("-",'Main Project Raw Data'!E425)-1)</f>
        <v>Admin</v>
      </c>
      <c r="Q425" s="3" t="str">
        <f>RIGHT('Main Project Raw Data'!E425,LEN('Main Project Raw Data'!E425)-FIND("-",'Main Project Raw Data'!E425))</f>
        <v>Illinois</v>
      </c>
    </row>
    <row r="426" spans="1:17" x14ac:dyDescent="0.3">
      <c r="A426" s="3" t="str">
        <f>TRIM(Table1[[#This Row],[Employee_ID]])</f>
        <v>EMP1424</v>
      </c>
      <c r="B426" s="3" t="str">
        <f>TRIM(Table1[[#This Row],[First_Name]])</f>
        <v>Eva</v>
      </c>
      <c r="C426" s="3" t="str">
        <f>TRIM(Table1[[#This Row],[Last_Name]])</f>
        <v>Garcia</v>
      </c>
      <c r="D426" s="3">
        <f>IF(Table1[[#This Row],[Age]]="",AVERAGE(Table1[Age]),Table1[[#This Row],[Age]])</f>
        <v>35</v>
      </c>
      <c r="E426" s="3" t="s">
        <v>139</v>
      </c>
      <c r="F426" s="3" t="s">
        <v>28</v>
      </c>
      <c r="G426" s="5">
        <f>IF(ISNUMBER('Main Project Raw Data'!G426),'Main Project Raw Data'!G426,IF(ISNUMBER(SEARCH("/",'Main Project Raw Data'!G426)),DATE(RIGHT('Main Project Raw Data'!G426,4),LEFT('Main Project Raw Data'!G426,FIND("/",'Main Project Raw Data'!G426)-1),MID('Main Project Raw Data'!G426,FIND("/",'Main Project Raw Data'!G426)+1,2)),DATE(RIGHT('Main Project Raw Data'!G426,4),MID('Main Project Raw Data'!G426,4,2),LEFT('Main Project Raw Data'!G426,2))))</f>
        <v>44766</v>
      </c>
      <c r="H426" s="3">
        <f>IF(Table1[[#This Row],[Salary]]="",AVERAGE(Table1[Salary]),Table1[[#This Row],[Salary]])</f>
        <v>50557.84</v>
      </c>
      <c r="I426" s="3" t="s">
        <v>296</v>
      </c>
      <c r="J426" s="3">
        <f>ABS(Table1[[#This Row],[Phone]])</f>
        <v>104159148</v>
      </c>
      <c r="K426" s="3" t="str">
        <f>PROPER(TRIM(Table1[[#This Row],[Performance_Score]]))</f>
        <v>Average</v>
      </c>
      <c r="L426" s="3" t="b">
        <f>Table1[[#This Row],[Remote_Work]]</f>
        <v>1</v>
      </c>
      <c r="M426" s="3" t="str">
        <f>PROPER(CONCATENATE(Table13[[#This Row],[First_Name]], Table13[[#This Row],[Last_Name]]))</f>
        <v>Evagarcia</v>
      </c>
      <c r="N426" s="3" t="str">
        <f t="shared" si="6"/>
        <v>Jul</v>
      </c>
      <c r="O426" s="3" t="str">
        <f>TEXT(Table13[[#This Row],[Join_Date]],"yyyy")</f>
        <v>2022</v>
      </c>
      <c r="P426" s="3" t="str">
        <f>LEFT('Main Project Raw Data'!E426,FIND("-",'Main Project Raw Data'!E426)-1)</f>
        <v>HR</v>
      </c>
      <c r="Q426" s="3" t="str">
        <f>RIGHT('Main Project Raw Data'!E426,LEN('Main Project Raw Data'!E426)-FIND("-",'Main Project Raw Data'!E426))</f>
        <v>Texas</v>
      </c>
    </row>
    <row r="427" spans="1:17" x14ac:dyDescent="0.3">
      <c r="A427" s="3" t="str">
        <f>TRIM(Table1[[#This Row],[Employee_ID]])</f>
        <v>EMP1425</v>
      </c>
      <c r="B427" s="3" t="str">
        <f>TRIM(Table1[[#This Row],[First_Name]])</f>
        <v>Eva</v>
      </c>
      <c r="C427" s="3" t="str">
        <f>TRIM(Table1[[#This Row],[Last_Name]])</f>
        <v>Jones</v>
      </c>
      <c r="D427" s="3">
        <f>IF(Table1[[#This Row],[Age]]="",AVERAGE(Table1[Age]),Table1[[#This Row],[Age]])</f>
        <v>32.484548825710753</v>
      </c>
      <c r="E427" s="3" t="s">
        <v>205</v>
      </c>
      <c r="F427" s="3" t="s">
        <v>33</v>
      </c>
      <c r="G427" s="5">
        <f>IF(ISNUMBER('Main Project Raw Data'!G427),'Main Project Raw Data'!G427,IF(ISNUMBER(SEARCH("/",'Main Project Raw Data'!G427)),DATE(RIGHT('Main Project Raw Data'!G427,4),LEFT('Main Project Raw Data'!G427,FIND("/",'Main Project Raw Data'!G427)-1),MID('Main Project Raw Data'!G427,FIND("/",'Main Project Raw Data'!G427)+1,2)),DATE(RIGHT('Main Project Raw Data'!G427,4),MID('Main Project Raw Data'!G427,4,2),LEFT('Main Project Raw Data'!G427,2))))</f>
        <v>45042</v>
      </c>
      <c r="H427" s="3">
        <f>IF(Table1[[#This Row],[Salary]]="",AVERAGE(Table1[Salary]),Table1[[#This Row],[Salary]])</f>
        <v>118030.04</v>
      </c>
      <c r="I427" s="3" t="s">
        <v>277</v>
      </c>
      <c r="J427" s="3">
        <f>ABS(Table1[[#This Row],[Phone]])</f>
        <v>7501980381</v>
      </c>
      <c r="K427" s="3" t="str">
        <f>PROPER(TRIM(Table1[[#This Row],[Performance_Score]]))</f>
        <v>Excellent</v>
      </c>
      <c r="L427" s="3" t="b">
        <f>Table1[[#This Row],[Remote_Work]]</f>
        <v>1</v>
      </c>
      <c r="M427" s="3" t="str">
        <f>PROPER(CONCATENATE(Table13[[#This Row],[First_Name]], Table13[[#This Row],[Last_Name]]))</f>
        <v>Evajones</v>
      </c>
      <c r="N427" s="3" t="str">
        <f t="shared" si="6"/>
        <v>Apr</v>
      </c>
      <c r="O427" s="3" t="str">
        <f>TEXT(Table13[[#This Row],[Join_Date]],"yyyy")</f>
        <v>2023</v>
      </c>
      <c r="P427" s="3" t="str">
        <f>LEFT('Main Project Raw Data'!E427,FIND("-",'Main Project Raw Data'!E427)-1)</f>
        <v>Admin</v>
      </c>
      <c r="Q427" s="3" t="str">
        <f>RIGHT('Main Project Raw Data'!E427,LEN('Main Project Raw Data'!E427)-FIND("-",'Main Project Raw Data'!E427))</f>
        <v>Florida</v>
      </c>
    </row>
    <row r="428" spans="1:17" x14ac:dyDescent="0.3">
      <c r="A428" s="3" t="str">
        <f>TRIM(Table1[[#This Row],[Employee_ID]])</f>
        <v>EMP1426</v>
      </c>
      <c r="B428" s="3" t="str">
        <f>TRIM(Table1[[#This Row],[First_Name]])</f>
        <v>David</v>
      </c>
      <c r="C428" s="3" t="str">
        <f>TRIM(Table1[[#This Row],[Last_Name]])</f>
        <v>Smith</v>
      </c>
      <c r="D428" s="3">
        <f>IF(Table1[[#This Row],[Age]]="",AVERAGE(Table1[Age]),Table1[[#This Row],[Age]])</f>
        <v>32.484548825710753</v>
      </c>
      <c r="E428" s="3" t="s">
        <v>196</v>
      </c>
      <c r="F428" s="3" t="s">
        <v>16</v>
      </c>
      <c r="G428" s="5">
        <f>IF(ISNUMBER('Main Project Raw Data'!G428),'Main Project Raw Data'!G428,IF(ISNUMBER(SEARCH("/",'Main Project Raw Data'!G428)),DATE(RIGHT('Main Project Raw Data'!G428,4),LEFT('Main Project Raw Data'!G428,FIND("/",'Main Project Raw Data'!G428)-1),MID('Main Project Raw Data'!G428,FIND("/",'Main Project Raw Data'!G428)+1,2)),DATE(RIGHT('Main Project Raw Data'!G428,4),MID('Main Project Raw Data'!G428,4,2),LEFT('Main Project Raw Data'!G428,2))))</f>
        <v>44670</v>
      </c>
      <c r="H428" s="3">
        <f>IF(Table1[[#This Row],[Salary]]="",AVERAGE(Table1[Salary]),Table1[[#This Row],[Salary]])</f>
        <v>51673.72</v>
      </c>
      <c r="I428" s="3" t="s">
        <v>340</v>
      </c>
      <c r="J428" s="3">
        <f>ABS(Table1[[#This Row],[Phone]])</f>
        <v>8723244078</v>
      </c>
      <c r="K428" s="3" t="str">
        <f>PROPER(TRIM(Table1[[#This Row],[Performance_Score]]))</f>
        <v>Poor</v>
      </c>
      <c r="L428" s="3" t="b">
        <f>Table1[[#This Row],[Remote_Work]]</f>
        <v>0</v>
      </c>
      <c r="M428" s="3" t="str">
        <f>PROPER(CONCATENATE(Table13[[#This Row],[First_Name]], Table13[[#This Row],[Last_Name]]))</f>
        <v>Davidsmith</v>
      </c>
      <c r="N428" s="3" t="str">
        <f t="shared" si="6"/>
        <v>Apr</v>
      </c>
      <c r="O428" s="3" t="str">
        <f>TEXT(Table13[[#This Row],[Join_Date]],"yyyy")</f>
        <v>2022</v>
      </c>
      <c r="P428" s="3" t="str">
        <f>LEFT('Main Project Raw Data'!E428,FIND("-",'Main Project Raw Data'!E428)-1)</f>
        <v>Admin</v>
      </c>
      <c r="Q428" s="3" t="str">
        <f>RIGHT('Main Project Raw Data'!E428,LEN('Main Project Raw Data'!E428)-FIND("-",'Main Project Raw Data'!E428))</f>
        <v>New York</v>
      </c>
    </row>
    <row r="429" spans="1:17" x14ac:dyDescent="0.3">
      <c r="A429" s="3" t="str">
        <f>TRIM(Table1[[#This Row],[Employee_ID]])</f>
        <v>EMP1427</v>
      </c>
      <c r="B429" s="3" t="str">
        <f>TRIM(Table1[[#This Row],[First_Name]])</f>
        <v>Alice</v>
      </c>
      <c r="C429" s="3" t="str">
        <f>TRIM(Table1[[#This Row],[Last_Name]])</f>
        <v>Brown</v>
      </c>
      <c r="D429" s="3">
        <f>IF(Table1[[#This Row],[Age]]="",AVERAGE(Table1[Age]),Table1[[#This Row],[Age]])</f>
        <v>35</v>
      </c>
      <c r="E429" s="3" t="s">
        <v>85</v>
      </c>
      <c r="F429" s="3" t="s">
        <v>33</v>
      </c>
      <c r="G429" s="5">
        <f>IF(ISNUMBER('Main Project Raw Data'!G429),'Main Project Raw Data'!G429,IF(ISNUMBER(SEARCH("/",'Main Project Raw Data'!G429)),DATE(RIGHT('Main Project Raw Data'!G429,4),LEFT('Main Project Raw Data'!G429,FIND("/",'Main Project Raw Data'!G429)-1),MID('Main Project Raw Data'!G429,FIND("/",'Main Project Raw Data'!G429)+1,2)),DATE(RIGHT('Main Project Raw Data'!G429,4),MID('Main Project Raw Data'!G429,4,2),LEFT('Main Project Raw Data'!G429,2))))</f>
        <v>45392</v>
      </c>
      <c r="H429" s="3">
        <f>IF(Table1[[#This Row],[Salary]]="",AVERAGE(Table1[Salary]),Table1[[#This Row],[Salary]])</f>
        <v>101665.79</v>
      </c>
      <c r="I429" s="3" t="s">
        <v>80</v>
      </c>
      <c r="J429" s="3">
        <f>ABS(Table1[[#This Row],[Phone]])</f>
        <v>3110291812</v>
      </c>
      <c r="K429" s="3" t="str">
        <f>PROPER(TRIM(Table1[[#This Row],[Performance_Score]]))</f>
        <v>Poor</v>
      </c>
      <c r="L429" s="3" t="b">
        <f>Table1[[#This Row],[Remote_Work]]</f>
        <v>1</v>
      </c>
      <c r="M429" s="3" t="str">
        <f>PROPER(CONCATENATE(Table13[[#This Row],[First_Name]], Table13[[#This Row],[Last_Name]]))</f>
        <v>Alicebrown</v>
      </c>
      <c r="N429" s="3" t="str">
        <f t="shared" si="6"/>
        <v>Apr</v>
      </c>
      <c r="O429" s="3" t="str">
        <f>TEXT(Table13[[#This Row],[Join_Date]],"yyyy")</f>
        <v>2024</v>
      </c>
      <c r="P429" s="3" t="str">
        <f>LEFT('Main Project Raw Data'!E429,FIND("-",'Main Project Raw Data'!E429)-1)</f>
        <v>Cloud Tech</v>
      </c>
      <c r="Q429" s="3" t="str">
        <f>RIGHT('Main Project Raw Data'!E429,LEN('Main Project Raw Data'!E429)-FIND("-",'Main Project Raw Data'!E429))</f>
        <v>Nevada</v>
      </c>
    </row>
    <row r="430" spans="1:17" x14ac:dyDescent="0.3">
      <c r="A430" s="3" t="str">
        <f>TRIM(Table1[[#This Row],[Employee_ID]])</f>
        <v>EMP1428</v>
      </c>
      <c r="B430" s="3" t="str">
        <f>TRIM(Table1[[#This Row],[First_Name]])</f>
        <v>David</v>
      </c>
      <c r="C430" s="3" t="str">
        <f>TRIM(Table1[[#This Row],[Last_Name]])</f>
        <v>Smith</v>
      </c>
      <c r="D430" s="3">
        <f>IF(Table1[[#This Row],[Age]]="",AVERAGE(Table1[Age]),Table1[[#This Row],[Age]])</f>
        <v>32.484548825710753</v>
      </c>
      <c r="E430" s="3" t="s">
        <v>205</v>
      </c>
      <c r="F430" s="3" t="s">
        <v>33</v>
      </c>
      <c r="G430" s="5">
        <f>IF(ISNUMBER('Main Project Raw Data'!G430),'Main Project Raw Data'!G430,IF(ISNUMBER(SEARCH("/",'Main Project Raw Data'!G430)),DATE(RIGHT('Main Project Raw Data'!G430,4),LEFT('Main Project Raw Data'!G430,FIND("/",'Main Project Raw Data'!G430)-1),MID('Main Project Raw Data'!G430,FIND("/",'Main Project Raw Data'!G430)+1,2)),DATE(RIGHT('Main Project Raw Data'!G430,4),MID('Main Project Raw Data'!G430,4,2),LEFT('Main Project Raw Data'!G430,2))))</f>
        <v>43866</v>
      </c>
      <c r="H430" s="3">
        <f>IF(Table1[[#This Row],[Salary]]="",AVERAGE(Table1[Salary]),Table1[[#This Row],[Salary]])</f>
        <v>118079.15</v>
      </c>
      <c r="I430" s="3" t="s">
        <v>340</v>
      </c>
      <c r="J430" s="3">
        <f>ABS(Table1[[#This Row],[Phone]])</f>
        <v>3170876013</v>
      </c>
      <c r="K430" s="3" t="str">
        <f>PROPER(TRIM(Table1[[#This Row],[Performance_Score]]))</f>
        <v>Good</v>
      </c>
      <c r="L430" s="3" t="b">
        <f>Table1[[#This Row],[Remote_Work]]</f>
        <v>1</v>
      </c>
      <c r="M430" s="3" t="str">
        <f>PROPER(CONCATENATE(Table13[[#This Row],[First_Name]], Table13[[#This Row],[Last_Name]]))</f>
        <v>Davidsmith</v>
      </c>
      <c r="N430" s="3" t="str">
        <f t="shared" si="6"/>
        <v>Feb</v>
      </c>
      <c r="O430" s="3" t="str">
        <f>TEXT(Table13[[#This Row],[Join_Date]],"yyyy")</f>
        <v>2020</v>
      </c>
      <c r="P430" s="3" t="str">
        <f>LEFT('Main Project Raw Data'!E430,FIND("-",'Main Project Raw Data'!E430)-1)</f>
        <v>Admin</v>
      </c>
      <c r="Q430" s="3" t="str">
        <f>RIGHT('Main Project Raw Data'!E430,LEN('Main Project Raw Data'!E430)-FIND("-",'Main Project Raw Data'!E430))</f>
        <v>Florida</v>
      </c>
    </row>
    <row r="431" spans="1:17" x14ac:dyDescent="0.3">
      <c r="A431" s="3" t="str">
        <f>TRIM(Table1[[#This Row],[Employee_ID]])</f>
        <v>EMP1429</v>
      </c>
      <c r="B431" s="3" t="str">
        <f>TRIM(Table1[[#This Row],[First_Name]])</f>
        <v>Eva</v>
      </c>
      <c r="C431" s="3" t="str">
        <f>TRIM(Table1[[#This Row],[Last_Name]])</f>
        <v>Brown</v>
      </c>
      <c r="D431" s="3">
        <f>IF(Table1[[#This Row],[Age]]="",AVERAGE(Table1[Age]),Table1[[#This Row],[Age]])</f>
        <v>25</v>
      </c>
      <c r="E431" s="3" t="s">
        <v>60</v>
      </c>
      <c r="F431" s="3" t="s">
        <v>28</v>
      </c>
      <c r="G431" s="5">
        <f>IF(ISNUMBER('Main Project Raw Data'!G431),'Main Project Raw Data'!G431,IF(ISNUMBER(SEARCH("/",'Main Project Raw Data'!G431)),DATE(RIGHT('Main Project Raw Data'!G431,4),LEFT('Main Project Raw Data'!G431,FIND("/",'Main Project Raw Data'!G431)-1),MID('Main Project Raw Data'!G431,FIND("/",'Main Project Raw Data'!G431)+1,2)),DATE(RIGHT('Main Project Raw Data'!G431,4),MID('Main Project Raw Data'!G431,4,2),LEFT('Main Project Raw Data'!G431,2))))</f>
        <v>44676</v>
      </c>
      <c r="H431" s="3">
        <f>IF(Table1[[#This Row],[Salary]]="",AVERAGE(Table1[Salary]),Table1[[#This Row],[Salary]])</f>
        <v>99059.28</v>
      </c>
      <c r="I431" s="3" t="s">
        <v>155</v>
      </c>
      <c r="J431" s="3">
        <f>ABS(Table1[[#This Row],[Phone]])</f>
        <v>6723849790</v>
      </c>
      <c r="K431" s="3" t="str">
        <f>PROPER(TRIM(Table1[[#This Row],[Performance_Score]]))</f>
        <v>Poor</v>
      </c>
      <c r="L431" s="3" t="b">
        <f>Table1[[#This Row],[Remote_Work]]</f>
        <v>0</v>
      </c>
      <c r="M431" s="3" t="str">
        <f>PROPER(CONCATENATE(Table13[[#This Row],[First_Name]], Table13[[#This Row],[Last_Name]]))</f>
        <v>Evabrown</v>
      </c>
      <c r="N431" s="3" t="str">
        <f t="shared" si="6"/>
        <v>Apr</v>
      </c>
      <c r="O431" s="3" t="str">
        <f>TEXT(Table13[[#This Row],[Join_Date]],"yyyy")</f>
        <v>2022</v>
      </c>
      <c r="P431" s="3" t="str">
        <f>LEFT('Main Project Raw Data'!E431,FIND("-",'Main Project Raw Data'!E431)-1)</f>
        <v>Cloud Tech</v>
      </c>
      <c r="Q431" s="3" t="str">
        <f>RIGHT('Main Project Raw Data'!E431,LEN('Main Project Raw Data'!E431)-FIND("-",'Main Project Raw Data'!E431))</f>
        <v>New York</v>
      </c>
    </row>
    <row r="432" spans="1:17" x14ac:dyDescent="0.3">
      <c r="A432" s="3" t="str">
        <f>TRIM(Table1[[#This Row],[Employee_ID]])</f>
        <v>EMP1430</v>
      </c>
      <c r="B432" s="3" t="str">
        <f>TRIM(Table1[[#This Row],[First_Name]])</f>
        <v>Bob</v>
      </c>
      <c r="C432" s="3" t="str">
        <f>TRIM(Table1[[#This Row],[Last_Name]])</f>
        <v>Smith</v>
      </c>
      <c r="D432" s="3">
        <f>IF(Table1[[#This Row],[Age]]="",AVERAGE(Table1[Age]),Table1[[#This Row],[Age]])</f>
        <v>32.484548825710753</v>
      </c>
      <c r="E432" s="3" t="s">
        <v>95</v>
      </c>
      <c r="F432" s="3" t="s">
        <v>16</v>
      </c>
      <c r="G432" s="5">
        <f>IF(ISNUMBER('Main Project Raw Data'!G432),'Main Project Raw Data'!G432,IF(ISNUMBER(SEARCH("/",'Main Project Raw Data'!G432)),DATE(RIGHT('Main Project Raw Data'!G432,4),LEFT('Main Project Raw Data'!G432,FIND("/",'Main Project Raw Data'!G432)-1),MID('Main Project Raw Data'!G432,FIND("/",'Main Project Raw Data'!G432)+1,2)),DATE(RIGHT('Main Project Raw Data'!G432,4),MID('Main Project Raw Data'!G432,4,2),LEFT('Main Project Raw Data'!G432,2))))</f>
        <v>45136</v>
      </c>
      <c r="H432" s="3">
        <f>IF(Table1[[#This Row],[Salary]]="",AVERAGE(Table1[Salary]),Table1[[#This Row],[Salary]])</f>
        <v>107397.4</v>
      </c>
      <c r="I432" s="3" t="s">
        <v>123</v>
      </c>
      <c r="J432" s="3">
        <f>ABS(Table1[[#This Row],[Phone]])</f>
        <v>6202232882</v>
      </c>
      <c r="K432" s="3" t="str">
        <f>PROPER(TRIM(Table1[[#This Row],[Performance_Score]]))</f>
        <v>Poor</v>
      </c>
      <c r="L432" s="3" t="b">
        <f>Table1[[#This Row],[Remote_Work]]</f>
        <v>0</v>
      </c>
      <c r="M432" s="3" t="str">
        <f>PROPER(CONCATENATE(Table13[[#This Row],[First_Name]], Table13[[#This Row],[Last_Name]]))</f>
        <v>Bobsmith</v>
      </c>
      <c r="N432" s="3" t="str">
        <f t="shared" si="6"/>
        <v>Jul</v>
      </c>
      <c r="O432" s="3" t="str">
        <f>TEXT(Table13[[#This Row],[Join_Date]],"yyyy")</f>
        <v>2023</v>
      </c>
      <c r="P432" s="3" t="str">
        <f>LEFT('Main Project Raw Data'!E432,FIND("-",'Main Project Raw Data'!E432)-1)</f>
        <v>Cloud Tech</v>
      </c>
      <c r="Q432" s="3" t="str">
        <f>RIGHT('Main Project Raw Data'!E432,LEN('Main Project Raw Data'!E432)-FIND("-",'Main Project Raw Data'!E432))</f>
        <v>Illinois</v>
      </c>
    </row>
    <row r="433" spans="1:17" x14ac:dyDescent="0.3">
      <c r="A433" s="3" t="str">
        <f>TRIM(Table1[[#This Row],[Employee_ID]])</f>
        <v>EMP1431</v>
      </c>
      <c r="B433" s="3" t="str">
        <f>TRIM(Table1[[#This Row],[First_Name]])</f>
        <v>Alice</v>
      </c>
      <c r="C433" s="3" t="str">
        <f>TRIM(Table1[[#This Row],[Last_Name]])</f>
        <v>Miller</v>
      </c>
      <c r="D433" s="3">
        <f>IF(Table1[[#This Row],[Age]]="",AVERAGE(Table1[Age]),Table1[[#This Row],[Age]])</f>
        <v>40</v>
      </c>
      <c r="E433" s="3" t="s">
        <v>56</v>
      </c>
      <c r="F433" s="3" t="s">
        <v>16</v>
      </c>
      <c r="G433" s="5">
        <f>IF(ISNUMBER('Main Project Raw Data'!G433),'Main Project Raw Data'!G433,IF(ISNUMBER(SEARCH("/",'Main Project Raw Data'!G433)),DATE(RIGHT('Main Project Raw Data'!G433,4),LEFT('Main Project Raw Data'!G433,FIND("/",'Main Project Raw Data'!G433)-1),MID('Main Project Raw Data'!G433,FIND("/",'Main Project Raw Data'!G433)+1,2)),DATE(RIGHT('Main Project Raw Data'!G433,4),MID('Main Project Raw Data'!G433,4,2),LEFT('Main Project Raw Data'!G433,2))))</f>
        <v>44428</v>
      </c>
      <c r="H433" s="3">
        <f>IF(Table1[[#This Row],[Salary]]="",AVERAGE(Table1[Salary]),Table1[[#This Row],[Salary]])</f>
        <v>68269.37</v>
      </c>
      <c r="I433" s="3" t="s">
        <v>166</v>
      </c>
      <c r="J433" s="3">
        <f>ABS(Table1[[#This Row],[Phone]])</f>
        <v>7744197545</v>
      </c>
      <c r="K433" s="3" t="str">
        <f>PROPER(TRIM(Table1[[#This Row],[Performance_Score]]))</f>
        <v>Excellent</v>
      </c>
      <c r="L433" s="3" t="b">
        <f>Table1[[#This Row],[Remote_Work]]</f>
        <v>0</v>
      </c>
      <c r="M433" s="3" t="str">
        <f>PROPER(CONCATENATE(Table13[[#This Row],[First_Name]], Table13[[#This Row],[Last_Name]]))</f>
        <v>Alicemiller</v>
      </c>
      <c r="N433" s="3" t="str">
        <f t="shared" si="6"/>
        <v>Aug</v>
      </c>
      <c r="O433" s="3" t="str">
        <f>TEXT(Table13[[#This Row],[Join_Date]],"yyyy")</f>
        <v>2021</v>
      </c>
      <c r="P433" s="3" t="str">
        <f>LEFT('Main Project Raw Data'!E433,FIND("-",'Main Project Raw Data'!E433)-1)</f>
        <v>DevOps</v>
      </c>
      <c r="Q433" s="3" t="str">
        <f>RIGHT('Main Project Raw Data'!E433,LEN('Main Project Raw Data'!E433)-FIND("-",'Main Project Raw Data'!E433))</f>
        <v>New York</v>
      </c>
    </row>
    <row r="434" spans="1:17" x14ac:dyDescent="0.3">
      <c r="A434" s="3" t="str">
        <f>TRIM(Table1[[#This Row],[Employee_ID]])</f>
        <v>EMP1432</v>
      </c>
      <c r="B434" s="3" t="str">
        <f>TRIM(Table1[[#This Row],[First_Name]])</f>
        <v>Grace</v>
      </c>
      <c r="C434" s="3" t="str">
        <f>TRIM(Table1[[#This Row],[Last_Name]])</f>
        <v>Jones</v>
      </c>
      <c r="D434" s="3">
        <f>IF(Table1[[#This Row],[Age]]="",AVERAGE(Table1[Age]),Table1[[#This Row],[Age]])</f>
        <v>35</v>
      </c>
      <c r="E434" s="3" t="s">
        <v>212</v>
      </c>
      <c r="F434" s="3" t="s">
        <v>33</v>
      </c>
      <c r="G434" s="5">
        <f>IF(ISNUMBER('Main Project Raw Data'!G434),'Main Project Raw Data'!G434,IF(ISNUMBER(SEARCH("/",'Main Project Raw Data'!G434)),DATE(RIGHT('Main Project Raw Data'!G434,4),LEFT('Main Project Raw Data'!G434,FIND("/",'Main Project Raw Data'!G434)-1),MID('Main Project Raw Data'!G434,FIND("/",'Main Project Raw Data'!G434)+1,2)),DATE(RIGHT('Main Project Raw Data'!G434,4),MID('Main Project Raw Data'!G434,4,2),LEFT('Main Project Raw Data'!G434,2))))</f>
        <v>44309</v>
      </c>
      <c r="H434" s="3">
        <f>IF(Table1[[#This Row],[Salary]]="",AVERAGE(Table1[Salary]),Table1[[#This Row],[Salary]])</f>
        <v>55228.12</v>
      </c>
      <c r="I434" s="3" t="s">
        <v>76</v>
      </c>
      <c r="J434" s="3">
        <f>ABS(Table1[[#This Row],[Phone]])</f>
        <v>6176620470</v>
      </c>
      <c r="K434" s="3" t="str">
        <f>PROPER(TRIM(Table1[[#This Row],[Performance_Score]]))</f>
        <v>Poor</v>
      </c>
      <c r="L434" s="3" t="b">
        <f>Table1[[#This Row],[Remote_Work]]</f>
        <v>1</v>
      </c>
      <c r="M434" s="3" t="str">
        <f>PROPER(CONCATENATE(Table13[[#This Row],[First_Name]], Table13[[#This Row],[Last_Name]]))</f>
        <v>Gracejones</v>
      </c>
      <c r="N434" s="3" t="str">
        <f t="shared" si="6"/>
        <v>Apr</v>
      </c>
      <c r="O434" s="3" t="str">
        <f>TEXT(Table13[[#This Row],[Join_Date]],"yyyy")</f>
        <v>2021</v>
      </c>
      <c r="P434" s="3" t="str">
        <f>LEFT('Main Project Raw Data'!E434,FIND("-",'Main Project Raw Data'!E434)-1)</f>
        <v>HR</v>
      </c>
      <c r="Q434" s="3" t="str">
        <f>RIGHT('Main Project Raw Data'!E434,LEN('Main Project Raw Data'!E434)-FIND("-",'Main Project Raw Data'!E434))</f>
        <v>Florida</v>
      </c>
    </row>
    <row r="435" spans="1:17" x14ac:dyDescent="0.3">
      <c r="A435" s="3" t="str">
        <f>TRIM(Table1[[#This Row],[Employee_ID]])</f>
        <v>EMP1433</v>
      </c>
      <c r="B435" s="3" t="str">
        <f>TRIM(Table1[[#This Row],[First_Name]])</f>
        <v>Bob</v>
      </c>
      <c r="C435" s="3" t="str">
        <f>TRIM(Table1[[#This Row],[Last_Name]])</f>
        <v>Garcia</v>
      </c>
      <c r="D435" s="3">
        <f>IF(Table1[[#This Row],[Age]]="",AVERAGE(Table1[Age]),Table1[[#This Row],[Age]])</f>
        <v>30</v>
      </c>
      <c r="E435" s="3" t="s">
        <v>60</v>
      </c>
      <c r="F435" s="3" t="s">
        <v>33</v>
      </c>
      <c r="G435" s="5">
        <f>IF(ISNUMBER('Main Project Raw Data'!G435),'Main Project Raw Data'!G435,IF(ISNUMBER(SEARCH("/",'Main Project Raw Data'!G435)),DATE(RIGHT('Main Project Raw Data'!G435,4),LEFT('Main Project Raw Data'!G435,FIND("/",'Main Project Raw Data'!G435)-1),MID('Main Project Raw Data'!G435,FIND("/",'Main Project Raw Data'!G435)+1,2)),DATE(RIGHT('Main Project Raw Data'!G435,4),MID('Main Project Raw Data'!G435,4,2),LEFT('Main Project Raw Data'!G435,2))))</f>
        <v>44903</v>
      </c>
      <c r="H435" s="3">
        <f>IF(Table1[[#This Row],[Salary]]="",AVERAGE(Table1[Salary]),Table1[[#This Row],[Salary]])</f>
        <v>71982.33</v>
      </c>
      <c r="I435" s="3" t="s">
        <v>153</v>
      </c>
      <c r="J435" s="3">
        <f>ABS(Table1[[#This Row],[Phone]])</f>
        <v>9609409704</v>
      </c>
      <c r="K435" s="3" t="str">
        <f>PROPER(TRIM(Table1[[#This Row],[Performance_Score]]))</f>
        <v>Average</v>
      </c>
      <c r="L435" s="3" t="b">
        <f>Table1[[#This Row],[Remote_Work]]</f>
        <v>0</v>
      </c>
      <c r="M435" s="3" t="str">
        <f>PROPER(CONCATENATE(Table13[[#This Row],[First_Name]], Table13[[#This Row],[Last_Name]]))</f>
        <v>Bobgarcia</v>
      </c>
      <c r="N435" s="3" t="str">
        <f t="shared" si="6"/>
        <v>Dec</v>
      </c>
      <c r="O435" s="3" t="str">
        <f>TEXT(Table13[[#This Row],[Join_Date]],"yyyy")</f>
        <v>2022</v>
      </c>
      <c r="P435" s="3" t="str">
        <f>LEFT('Main Project Raw Data'!E435,FIND("-",'Main Project Raw Data'!E435)-1)</f>
        <v>Cloud Tech</v>
      </c>
      <c r="Q435" s="3" t="str">
        <f>RIGHT('Main Project Raw Data'!E435,LEN('Main Project Raw Data'!E435)-FIND("-",'Main Project Raw Data'!E435))</f>
        <v>New York</v>
      </c>
    </row>
    <row r="436" spans="1:17" x14ac:dyDescent="0.3">
      <c r="A436" s="3" t="str">
        <f>TRIM(Table1[[#This Row],[Employee_ID]])</f>
        <v>EMP1434</v>
      </c>
      <c r="B436" s="3" t="str">
        <f>TRIM(Table1[[#This Row],[First_Name]])</f>
        <v>Frank</v>
      </c>
      <c r="C436" s="3" t="str">
        <f>TRIM(Table1[[#This Row],[Last_Name]])</f>
        <v>Brown</v>
      </c>
      <c r="D436" s="3">
        <f>IF(Table1[[#This Row],[Age]]="",AVERAGE(Table1[Age]),Table1[[#This Row],[Age]])</f>
        <v>30</v>
      </c>
      <c r="E436" s="3" t="s">
        <v>70</v>
      </c>
      <c r="F436" s="3" t="s">
        <v>33</v>
      </c>
      <c r="G436" s="5">
        <f>IF(ISNUMBER('Main Project Raw Data'!G436),'Main Project Raw Data'!G436,IF(ISNUMBER(SEARCH("/",'Main Project Raw Data'!G436)),DATE(RIGHT('Main Project Raw Data'!G436,4),LEFT('Main Project Raw Data'!G436,FIND("/",'Main Project Raw Data'!G436)-1),MID('Main Project Raw Data'!G436,FIND("/",'Main Project Raw Data'!G436)+1,2)),DATE(RIGHT('Main Project Raw Data'!G436,4),MID('Main Project Raw Data'!G436,4,2),LEFT('Main Project Raw Data'!G436,2))))</f>
        <v>44373</v>
      </c>
      <c r="H436" s="3">
        <f>IF(Table1[[#This Row],[Salary]]="",AVERAGE(Table1[Salary]),Table1[[#This Row],[Salary]])</f>
        <v>109673.75</v>
      </c>
      <c r="I436" s="3" t="s">
        <v>239</v>
      </c>
      <c r="J436" s="3">
        <f>ABS(Table1[[#This Row],[Phone]])</f>
        <v>2774025882</v>
      </c>
      <c r="K436" s="3" t="str">
        <f>PROPER(TRIM(Table1[[#This Row],[Performance_Score]]))</f>
        <v>Excellent</v>
      </c>
      <c r="L436" s="3" t="b">
        <f>Table1[[#This Row],[Remote_Work]]</f>
        <v>0</v>
      </c>
      <c r="M436" s="3" t="str">
        <f>PROPER(CONCATENATE(Table13[[#This Row],[First_Name]], Table13[[#This Row],[Last_Name]]))</f>
        <v>Frankbrown</v>
      </c>
      <c r="N436" s="3" t="str">
        <f t="shared" si="6"/>
        <v>Jun</v>
      </c>
      <c r="O436" s="3" t="str">
        <f>TEXT(Table13[[#This Row],[Join_Date]],"yyyy")</f>
        <v>2021</v>
      </c>
      <c r="P436" s="3" t="str">
        <f>LEFT('Main Project Raw Data'!E436,FIND("-",'Main Project Raw Data'!E436)-1)</f>
        <v>Finance</v>
      </c>
      <c r="Q436" s="3" t="str">
        <f>RIGHT('Main Project Raw Data'!E436,LEN('Main Project Raw Data'!E436)-FIND("-",'Main Project Raw Data'!E436))</f>
        <v>California</v>
      </c>
    </row>
    <row r="437" spans="1:17" x14ac:dyDescent="0.3">
      <c r="A437" s="3" t="str">
        <f>TRIM(Table1[[#This Row],[Employee_ID]])</f>
        <v>EMP1435</v>
      </c>
      <c r="B437" s="3" t="str">
        <f>TRIM(Table1[[#This Row],[First_Name]])</f>
        <v>Eva</v>
      </c>
      <c r="C437" s="3" t="str">
        <f>TRIM(Table1[[#This Row],[Last_Name]])</f>
        <v>Garcia</v>
      </c>
      <c r="D437" s="3">
        <f>IF(Table1[[#This Row],[Age]]="",AVERAGE(Table1[Age]),Table1[[#This Row],[Age]])</f>
        <v>32.484548825710753</v>
      </c>
      <c r="E437" s="3" t="s">
        <v>60</v>
      </c>
      <c r="F437" s="3" t="s">
        <v>33</v>
      </c>
      <c r="G437" s="5">
        <f>IF(ISNUMBER('Main Project Raw Data'!G437),'Main Project Raw Data'!G437,IF(ISNUMBER(SEARCH("/",'Main Project Raw Data'!G437)),DATE(RIGHT('Main Project Raw Data'!G437,4),LEFT('Main Project Raw Data'!G437,FIND("/",'Main Project Raw Data'!G437)-1),MID('Main Project Raw Data'!G437,FIND("/",'Main Project Raw Data'!G437)+1,2)),DATE(RIGHT('Main Project Raw Data'!G437,4),MID('Main Project Raw Data'!G437,4,2),LEFT('Main Project Raw Data'!G437,2))))</f>
        <v>44134</v>
      </c>
      <c r="H437" s="3">
        <f>IF(Table1[[#This Row],[Salary]]="",AVERAGE(Table1[Salary]),Table1[[#This Row],[Salary]])</f>
        <v>56384.9</v>
      </c>
      <c r="I437" s="3" t="s">
        <v>296</v>
      </c>
      <c r="J437" s="3">
        <f>ABS(Table1[[#This Row],[Phone]])</f>
        <v>5868122594</v>
      </c>
      <c r="K437" s="3" t="str">
        <f>PROPER(TRIM(Table1[[#This Row],[Performance_Score]]))</f>
        <v>Excellent</v>
      </c>
      <c r="L437" s="3" t="b">
        <f>Table1[[#This Row],[Remote_Work]]</f>
        <v>1</v>
      </c>
      <c r="M437" s="3" t="str">
        <f>PROPER(CONCATENATE(Table13[[#This Row],[First_Name]], Table13[[#This Row],[Last_Name]]))</f>
        <v>Evagarcia</v>
      </c>
      <c r="N437" s="3" t="str">
        <f t="shared" si="6"/>
        <v>Oct</v>
      </c>
      <c r="O437" s="3" t="str">
        <f>TEXT(Table13[[#This Row],[Join_Date]],"yyyy")</f>
        <v>2020</v>
      </c>
      <c r="P437" s="3" t="str">
        <f>LEFT('Main Project Raw Data'!E437,FIND("-",'Main Project Raw Data'!E437)-1)</f>
        <v>Cloud Tech</v>
      </c>
      <c r="Q437" s="3" t="str">
        <f>RIGHT('Main Project Raw Data'!E437,LEN('Main Project Raw Data'!E437)-FIND("-",'Main Project Raw Data'!E437))</f>
        <v>New York</v>
      </c>
    </row>
    <row r="438" spans="1:17" x14ac:dyDescent="0.3">
      <c r="A438" s="3" t="str">
        <f>TRIM(Table1[[#This Row],[Employee_ID]])</f>
        <v>EMP1436</v>
      </c>
      <c r="B438" s="3" t="str">
        <f>TRIM(Table1[[#This Row],[First_Name]])</f>
        <v>Frank</v>
      </c>
      <c r="C438" s="3" t="str">
        <f>TRIM(Table1[[#This Row],[Last_Name]])</f>
        <v>Garcia</v>
      </c>
      <c r="D438" s="3">
        <f>IF(Table1[[#This Row],[Age]]="",AVERAGE(Table1[Age]),Table1[[#This Row],[Age]])</f>
        <v>40</v>
      </c>
      <c r="E438" s="3" t="s">
        <v>44</v>
      </c>
      <c r="F438" s="3" t="s">
        <v>28</v>
      </c>
      <c r="G438" s="5">
        <f>IF(ISNUMBER('Main Project Raw Data'!G438),'Main Project Raw Data'!G438,IF(ISNUMBER(SEARCH("/",'Main Project Raw Data'!G438)),DATE(RIGHT('Main Project Raw Data'!G438,4),LEFT('Main Project Raw Data'!G438,FIND("/",'Main Project Raw Data'!G438)-1),MID('Main Project Raw Data'!G438,FIND("/",'Main Project Raw Data'!G438)+1,2)),DATE(RIGHT('Main Project Raw Data'!G438,4),MID('Main Project Raw Data'!G438,4,2),LEFT('Main Project Raw Data'!G438,2))))</f>
        <v>44295</v>
      </c>
      <c r="H438" s="3">
        <f>IF(Table1[[#This Row],[Salary]]="",AVERAGE(Table1[Salary]),Table1[[#This Row],[Salary]])</f>
        <v>68211.679999999993</v>
      </c>
      <c r="I438" s="3" t="s">
        <v>180</v>
      </c>
      <c r="J438" s="3">
        <f>ABS(Table1[[#This Row],[Phone]])</f>
        <v>7244617678</v>
      </c>
      <c r="K438" s="3" t="str">
        <f>PROPER(TRIM(Table1[[#This Row],[Performance_Score]]))</f>
        <v>Good</v>
      </c>
      <c r="L438" s="3" t="b">
        <f>Table1[[#This Row],[Remote_Work]]</f>
        <v>0</v>
      </c>
      <c r="M438" s="3" t="str">
        <f>PROPER(CONCATENATE(Table13[[#This Row],[First_Name]], Table13[[#This Row],[Last_Name]]))</f>
        <v>Frankgarcia</v>
      </c>
      <c r="N438" s="3" t="str">
        <f t="shared" si="6"/>
        <v>Apr</v>
      </c>
      <c r="O438" s="3" t="str">
        <f>TEXT(Table13[[#This Row],[Join_Date]],"yyyy")</f>
        <v>2021</v>
      </c>
      <c r="P438" s="3" t="str">
        <f>LEFT('Main Project Raw Data'!E438,FIND("-",'Main Project Raw Data'!E438)-1)</f>
        <v>Sales</v>
      </c>
      <c r="Q438" s="3" t="str">
        <f>RIGHT('Main Project Raw Data'!E438,LEN('Main Project Raw Data'!E438)-FIND("-",'Main Project Raw Data'!E438))</f>
        <v>Texas</v>
      </c>
    </row>
    <row r="439" spans="1:17" x14ac:dyDescent="0.3">
      <c r="A439" s="3" t="str">
        <f>TRIM(Table1[[#This Row],[Employee_ID]])</f>
        <v>EMP1437</v>
      </c>
      <c r="B439" s="3" t="str">
        <f>TRIM(Table1[[#This Row],[First_Name]])</f>
        <v>Alice</v>
      </c>
      <c r="C439" s="3" t="str">
        <f>TRIM(Table1[[#This Row],[Last_Name]])</f>
        <v>Garcia</v>
      </c>
      <c r="D439" s="3">
        <f>IF(Table1[[#This Row],[Age]]="",AVERAGE(Table1[Age]),Table1[[#This Row],[Age]])</f>
        <v>40</v>
      </c>
      <c r="E439" s="3" t="s">
        <v>265</v>
      </c>
      <c r="F439" s="3" t="s">
        <v>28</v>
      </c>
      <c r="G439" s="5">
        <f>IF(ISNUMBER('Main Project Raw Data'!G439),'Main Project Raw Data'!G439,IF(ISNUMBER(SEARCH("/",'Main Project Raw Data'!G439)),DATE(RIGHT('Main Project Raw Data'!G439,4),LEFT('Main Project Raw Data'!G439,FIND("/",'Main Project Raw Data'!G439)-1),MID('Main Project Raw Data'!G439,FIND("/",'Main Project Raw Data'!G439)+1,2)),DATE(RIGHT('Main Project Raw Data'!G439,4),MID('Main Project Raw Data'!G439,4,2),LEFT('Main Project Raw Data'!G439,2))))</f>
        <v>44957</v>
      </c>
      <c r="H439" s="3">
        <f>IF(Table1[[#This Row],[Salary]]="",AVERAGE(Table1[Salary]),Table1[[#This Row],[Salary]])</f>
        <v>67489.679999999993</v>
      </c>
      <c r="I439" s="3" t="s">
        <v>45</v>
      </c>
      <c r="J439" s="3">
        <f>ABS(Table1[[#This Row],[Phone]])</f>
        <v>2988425994</v>
      </c>
      <c r="K439" s="3" t="str">
        <f>PROPER(TRIM(Table1[[#This Row],[Performance_Score]]))</f>
        <v>Poor</v>
      </c>
      <c r="L439" s="3" t="b">
        <f>Table1[[#This Row],[Remote_Work]]</f>
        <v>0</v>
      </c>
      <c r="M439" s="3" t="str">
        <f>PROPER(CONCATENATE(Table13[[#This Row],[First_Name]], Table13[[#This Row],[Last_Name]]))</f>
        <v>Alicegarcia</v>
      </c>
      <c r="N439" s="3" t="str">
        <f t="shared" si="6"/>
        <v>Jan</v>
      </c>
      <c r="O439" s="3" t="str">
        <f>TEXT(Table13[[#This Row],[Join_Date]],"yyyy")</f>
        <v>2023</v>
      </c>
      <c r="P439" s="3" t="str">
        <f>LEFT('Main Project Raw Data'!E439,FIND("-",'Main Project Raw Data'!E439)-1)</f>
        <v>Finance</v>
      </c>
      <c r="Q439" s="3" t="str">
        <f>RIGHT('Main Project Raw Data'!E439,LEN('Main Project Raw Data'!E439)-FIND("-",'Main Project Raw Data'!E439))</f>
        <v>Illinois</v>
      </c>
    </row>
    <row r="440" spans="1:17" x14ac:dyDescent="0.3">
      <c r="A440" s="3" t="str">
        <f>TRIM(Table1[[#This Row],[Employee_ID]])</f>
        <v>EMP1438</v>
      </c>
      <c r="B440" s="3" t="str">
        <f>TRIM(Table1[[#This Row],[First_Name]])</f>
        <v>Charlie</v>
      </c>
      <c r="C440" s="3" t="str">
        <f>TRIM(Table1[[#This Row],[Last_Name]])</f>
        <v>Davis</v>
      </c>
      <c r="D440" s="3">
        <f>IF(Table1[[#This Row],[Age]]="",AVERAGE(Table1[Age]),Table1[[#This Row],[Age]])</f>
        <v>25</v>
      </c>
      <c r="E440" s="3" t="s">
        <v>159</v>
      </c>
      <c r="F440" s="3" t="s">
        <v>16</v>
      </c>
      <c r="G440" s="5">
        <f>IF(ISNUMBER('Main Project Raw Data'!G440),'Main Project Raw Data'!G440,IF(ISNUMBER(SEARCH("/",'Main Project Raw Data'!G440)),DATE(RIGHT('Main Project Raw Data'!G440,4),LEFT('Main Project Raw Data'!G440,FIND("/",'Main Project Raw Data'!G440)-1),MID('Main Project Raw Data'!G440,FIND("/",'Main Project Raw Data'!G440)+1,2)),DATE(RIGHT('Main Project Raw Data'!G440,4),MID('Main Project Raw Data'!G440,4,2),LEFT('Main Project Raw Data'!G440,2))))</f>
        <v>44098</v>
      </c>
      <c r="H440" s="3">
        <f>IF(Table1[[#This Row],[Salary]]="",AVERAGE(Table1[Salary]),Table1[[#This Row],[Salary]])</f>
        <v>63869.31</v>
      </c>
      <c r="I440" s="3" t="s">
        <v>170</v>
      </c>
      <c r="J440" s="3">
        <f>ABS(Table1[[#This Row],[Phone]])</f>
        <v>9961002310</v>
      </c>
      <c r="K440" s="3" t="str">
        <f>PROPER(TRIM(Table1[[#This Row],[Performance_Score]]))</f>
        <v>Good</v>
      </c>
      <c r="L440" s="3" t="b">
        <f>Table1[[#This Row],[Remote_Work]]</f>
        <v>0</v>
      </c>
      <c r="M440" s="3" t="str">
        <f>PROPER(CONCATENATE(Table13[[#This Row],[First_Name]], Table13[[#This Row],[Last_Name]]))</f>
        <v>Charliedavis</v>
      </c>
      <c r="N440" s="3" t="str">
        <f t="shared" si="6"/>
        <v>Sep</v>
      </c>
      <c r="O440" s="3" t="str">
        <f>TEXT(Table13[[#This Row],[Join_Date]],"yyyy")</f>
        <v>2020</v>
      </c>
      <c r="P440" s="3" t="str">
        <f>LEFT('Main Project Raw Data'!E440,FIND("-",'Main Project Raw Data'!E440)-1)</f>
        <v>Cloud Tech</v>
      </c>
      <c r="Q440" s="3" t="str">
        <f>RIGHT('Main Project Raw Data'!E440,LEN('Main Project Raw Data'!E440)-FIND("-",'Main Project Raw Data'!E440))</f>
        <v>Texas</v>
      </c>
    </row>
    <row r="441" spans="1:17" x14ac:dyDescent="0.3">
      <c r="A441" s="3" t="str">
        <f>TRIM(Table1[[#This Row],[Employee_ID]])</f>
        <v>EMP1439</v>
      </c>
      <c r="B441" s="3" t="str">
        <f>TRIM(Table1[[#This Row],[First_Name]])</f>
        <v>Bob</v>
      </c>
      <c r="C441" s="3" t="str">
        <f>TRIM(Table1[[#This Row],[Last_Name]])</f>
        <v>Williams</v>
      </c>
      <c r="D441" s="3">
        <f>IF(Table1[[#This Row],[Age]]="",AVERAGE(Table1[Age]),Table1[[#This Row],[Age]])</f>
        <v>32.484548825710753</v>
      </c>
      <c r="E441" s="3" t="s">
        <v>177</v>
      </c>
      <c r="F441" s="3" t="s">
        <v>16</v>
      </c>
      <c r="G441" s="5">
        <f>IF(ISNUMBER('Main Project Raw Data'!G441),'Main Project Raw Data'!G441,IF(ISNUMBER(SEARCH("/",'Main Project Raw Data'!G441)),DATE(RIGHT('Main Project Raw Data'!G441,4),LEFT('Main Project Raw Data'!G441,FIND("/",'Main Project Raw Data'!G441)-1),MID('Main Project Raw Data'!G441,FIND("/",'Main Project Raw Data'!G441)+1,2)),DATE(RIGHT('Main Project Raw Data'!G441,4),MID('Main Project Raw Data'!G441,4,2),LEFT('Main Project Raw Data'!G441,2))))</f>
        <v>43875</v>
      </c>
      <c r="H441" s="3">
        <f>IF(Table1[[#This Row],[Salary]]="",AVERAGE(Table1[Salary]),Table1[[#This Row],[Salary]])</f>
        <v>119801.3</v>
      </c>
      <c r="I441" s="3" t="s">
        <v>144</v>
      </c>
      <c r="J441" s="3">
        <f>ABS(Table1[[#This Row],[Phone]])</f>
        <v>7753312660</v>
      </c>
      <c r="K441" s="3" t="str">
        <f>PROPER(TRIM(Table1[[#This Row],[Performance_Score]]))</f>
        <v>Average</v>
      </c>
      <c r="L441" s="3" t="b">
        <f>Table1[[#This Row],[Remote_Work]]</f>
        <v>1</v>
      </c>
      <c r="M441" s="3" t="str">
        <f>PROPER(CONCATENATE(Table13[[#This Row],[First_Name]], Table13[[#This Row],[Last_Name]]))</f>
        <v>Bobwilliams</v>
      </c>
      <c r="N441" s="3" t="str">
        <f t="shared" si="6"/>
        <v>Feb</v>
      </c>
      <c r="O441" s="3" t="str">
        <f>TEXT(Table13[[#This Row],[Join_Date]],"yyyy")</f>
        <v>2020</v>
      </c>
      <c r="P441" s="3" t="str">
        <f>LEFT('Main Project Raw Data'!E441,FIND("-",'Main Project Raw Data'!E441)-1)</f>
        <v>Sales</v>
      </c>
      <c r="Q441" s="3" t="str">
        <f>RIGHT('Main Project Raw Data'!E441,LEN('Main Project Raw Data'!E441)-FIND("-",'Main Project Raw Data'!E441))</f>
        <v>California</v>
      </c>
    </row>
    <row r="442" spans="1:17" x14ac:dyDescent="0.3">
      <c r="A442" s="3" t="str">
        <f>TRIM(Table1[[#This Row],[Employee_ID]])</f>
        <v>EMP1440</v>
      </c>
      <c r="B442" s="3" t="str">
        <f>TRIM(Table1[[#This Row],[First_Name]])</f>
        <v>Heidi</v>
      </c>
      <c r="C442" s="3" t="str">
        <f>TRIM(Table1[[#This Row],[Last_Name]])</f>
        <v>Smith</v>
      </c>
      <c r="D442" s="3">
        <f>IF(Table1[[#This Row],[Age]]="",AVERAGE(Table1[Age]),Table1[[#This Row],[Age]])</f>
        <v>30</v>
      </c>
      <c r="E442" s="3" t="s">
        <v>268</v>
      </c>
      <c r="F442" s="3" t="s">
        <v>16</v>
      </c>
      <c r="G442" s="5">
        <f>IF(ISNUMBER('Main Project Raw Data'!G442),'Main Project Raw Data'!G442,IF(ISNUMBER(SEARCH("/",'Main Project Raw Data'!G442)),DATE(RIGHT('Main Project Raw Data'!G442,4),LEFT('Main Project Raw Data'!G442,FIND("/",'Main Project Raw Data'!G442)-1),MID('Main Project Raw Data'!G442,FIND("/",'Main Project Raw Data'!G442)+1,2)),DATE(RIGHT('Main Project Raw Data'!G442,4),MID('Main Project Raw Data'!G442,4,2),LEFT('Main Project Raw Data'!G442,2))))</f>
        <v>43918</v>
      </c>
      <c r="H442" s="3">
        <f>IF(Table1[[#This Row],[Salary]]="",AVERAGE(Table1[Salary]),Table1[[#This Row],[Salary]])</f>
        <v>115959.65</v>
      </c>
      <c r="I442" s="3" t="s">
        <v>366</v>
      </c>
      <c r="J442" s="3">
        <f>ABS(Table1[[#This Row],[Phone]])</f>
        <v>941017589</v>
      </c>
      <c r="K442" s="3" t="str">
        <f>PROPER(TRIM(Table1[[#This Row],[Performance_Score]]))</f>
        <v>Excellent</v>
      </c>
      <c r="L442" s="3" t="b">
        <f>Table1[[#This Row],[Remote_Work]]</f>
        <v>1</v>
      </c>
      <c r="M442" s="3" t="str">
        <f>PROPER(CONCATENATE(Table13[[#This Row],[First_Name]], Table13[[#This Row],[Last_Name]]))</f>
        <v>Heidismith</v>
      </c>
      <c r="N442" s="3" t="str">
        <f t="shared" si="6"/>
        <v>Mar</v>
      </c>
      <c r="O442" s="3" t="str">
        <f>TEXT(Table13[[#This Row],[Join_Date]],"yyyy")</f>
        <v>2020</v>
      </c>
      <c r="P442" s="3" t="str">
        <f>LEFT('Main Project Raw Data'!E442,FIND("-",'Main Project Raw Data'!E442)-1)</f>
        <v>Cloud Tech</v>
      </c>
      <c r="Q442" s="3" t="str">
        <f>RIGHT('Main Project Raw Data'!E442,LEN('Main Project Raw Data'!E442)-FIND("-",'Main Project Raw Data'!E442))</f>
        <v>California</v>
      </c>
    </row>
    <row r="443" spans="1:17" x14ac:dyDescent="0.3">
      <c r="A443" s="3" t="str">
        <f>TRIM(Table1[[#This Row],[Employee_ID]])</f>
        <v>EMP1441</v>
      </c>
      <c r="B443" s="3" t="str">
        <f>TRIM(Table1[[#This Row],[First_Name]])</f>
        <v>Grace</v>
      </c>
      <c r="C443" s="3" t="str">
        <f>TRIM(Table1[[#This Row],[Last_Name]])</f>
        <v>Garcia</v>
      </c>
      <c r="D443" s="3">
        <f>IF(Table1[[#This Row],[Age]]="",AVERAGE(Table1[Age]),Table1[[#This Row],[Age]])</f>
        <v>40</v>
      </c>
      <c r="E443" s="3" t="s">
        <v>21</v>
      </c>
      <c r="F443" s="3" t="s">
        <v>33</v>
      </c>
      <c r="G443" s="5">
        <f>IF(ISNUMBER('Main Project Raw Data'!G443),'Main Project Raw Data'!G443,IF(ISNUMBER(SEARCH("/",'Main Project Raw Data'!G443)),DATE(RIGHT('Main Project Raw Data'!G443,4),LEFT('Main Project Raw Data'!G443,FIND("/",'Main Project Raw Data'!G443)-1),MID('Main Project Raw Data'!G443,FIND("/",'Main Project Raw Data'!G443)+1,2)),DATE(RIGHT('Main Project Raw Data'!G443,4),MID('Main Project Raw Data'!G443,4,2),LEFT('Main Project Raw Data'!G443,2))))</f>
        <v>45230</v>
      </c>
      <c r="H443" s="3">
        <f>IF(Table1[[#This Row],[Salary]]="",AVERAGE(Table1[Salary]),Table1[[#This Row],[Salary]])</f>
        <v>79866.48</v>
      </c>
      <c r="I443" s="3" t="s">
        <v>83</v>
      </c>
      <c r="J443" s="3">
        <f>ABS(Table1[[#This Row],[Phone]])</f>
        <v>2517629832</v>
      </c>
      <c r="K443" s="3" t="str">
        <f>PROPER(TRIM(Table1[[#This Row],[Performance_Score]]))</f>
        <v>Excellent</v>
      </c>
      <c r="L443" s="3" t="b">
        <f>Table1[[#This Row],[Remote_Work]]</f>
        <v>1</v>
      </c>
      <c r="M443" s="3" t="str">
        <f>PROPER(CONCATENATE(Table13[[#This Row],[First_Name]], Table13[[#This Row],[Last_Name]]))</f>
        <v>Gracegarcia</v>
      </c>
      <c r="N443" s="3" t="str">
        <f t="shared" si="6"/>
        <v>Oct</v>
      </c>
      <c r="O443" s="3" t="str">
        <f>TEXT(Table13[[#This Row],[Join_Date]],"yyyy")</f>
        <v>2023</v>
      </c>
      <c r="P443" s="3" t="str">
        <f>LEFT('Main Project Raw Data'!E443,FIND("-",'Main Project Raw Data'!E443)-1)</f>
        <v>Finance</v>
      </c>
      <c r="Q443" s="3" t="str">
        <f>RIGHT('Main Project Raw Data'!E443,LEN('Main Project Raw Data'!E443)-FIND("-",'Main Project Raw Data'!E443))</f>
        <v>Texas</v>
      </c>
    </row>
    <row r="444" spans="1:17" x14ac:dyDescent="0.3">
      <c r="A444" s="3" t="str">
        <f>TRIM(Table1[[#This Row],[Employee_ID]])</f>
        <v>EMP1442</v>
      </c>
      <c r="B444" s="3" t="str">
        <f>TRIM(Table1[[#This Row],[First_Name]])</f>
        <v>Charlie</v>
      </c>
      <c r="C444" s="3" t="str">
        <f>TRIM(Table1[[#This Row],[Last_Name]])</f>
        <v>Smith</v>
      </c>
      <c r="D444" s="3">
        <f>IF(Table1[[#This Row],[Age]]="",AVERAGE(Table1[Age]),Table1[[#This Row],[Age]])</f>
        <v>35</v>
      </c>
      <c r="E444" s="3" t="s">
        <v>212</v>
      </c>
      <c r="F444" s="3" t="s">
        <v>16</v>
      </c>
      <c r="G444" s="5">
        <f>IF(ISNUMBER('Main Project Raw Data'!G444),'Main Project Raw Data'!G444,IF(ISNUMBER(SEARCH("/",'Main Project Raw Data'!G444)),DATE(RIGHT('Main Project Raw Data'!G444,4),LEFT('Main Project Raw Data'!G444,FIND("/",'Main Project Raw Data'!G444)-1),MID('Main Project Raw Data'!G444,FIND("/",'Main Project Raw Data'!G444)+1,2)),DATE(RIGHT('Main Project Raw Data'!G444,4),MID('Main Project Raw Data'!G444,4,2),LEFT('Main Project Raw Data'!G444,2))))</f>
        <v>44138</v>
      </c>
      <c r="H444" s="3">
        <f>IF(Table1[[#This Row],[Salary]]="",AVERAGE(Table1[Salary]),Table1[[#This Row],[Salary]])</f>
        <v>92987.46</v>
      </c>
      <c r="I444" s="3" t="s">
        <v>194</v>
      </c>
      <c r="J444" s="3">
        <f>ABS(Table1[[#This Row],[Phone]])</f>
        <v>4774332682</v>
      </c>
      <c r="K444" s="3" t="str">
        <f>PROPER(TRIM(Table1[[#This Row],[Performance_Score]]))</f>
        <v>Excellent</v>
      </c>
      <c r="L444" s="3" t="b">
        <f>Table1[[#This Row],[Remote_Work]]</f>
        <v>1</v>
      </c>
      <c r="M444" s="3" t="str">
        <f>PROPER(CONCATENATE(Table13[[#This Row],[First_Name]], Table13[[#This Row],[Last_Name]]))</f>
        <v>Charliesmith</v>
      </c>
      <c r="N444" s="3" t="str">
        <f t="shared" si="6"/>
        <v>Nov</v>
      </c>
      <c r="O444" s="3" t="str">
        <f>TEXT(Table13[[#This Row],[Join_Date]],"yyyy")</f>
        <v>2020</v>
      </c>
      <c r="P444" s="3" t="str">
        <f>LEFT('Main Project Raw Data'!E444,FIND("-",'Main Project Raw Data'!E444)-1)</f>
        <v>HR</v>
      </c>
      <c r="Q444" s="3" t="str">
        <f>RIGHT('Main Project Raw Data'!E444,LEN('Main Project Raw Data'!E444)-FIND("-",'Main Project Raw Data'!E444))</f>
        <v>Florida</v>
      </c>
    </row>
    <row r="445" spans="1:17" x14ac:dyDescent="0.3">
      <c r="A445" s="3" t="str">
        <f>TRIM(Table1[[#This Row],[Employee_ID]])</f>
        <v>EMP1443</v>
      </c>
      <c r="B445" s="3" t="str">
        <f>TRIM(Table1[[#This Row],[First_Name]])</f>
        <v>Eva</v>
      </c>
      <c r="C445" s="3" t="str">
        <f>TRIM(Table1[[#This Row],[Last_Name]])</f>
        <v>Garcia</v>
      </c>
      <c r="D445" s="3">
        <f>IF(Table1[[#This Row],[Age]]="",AVERAGE(Table1[Age]),Table1[[#This Row],[Age]])</f>
        <v>40</v>
      </c>
      <c r="E445" s="3" t="s">
        <v>265</v>
      </c>
      <c r="F445" s="3" t="s">
        <v>33</v>
      </c>
      <c r="G445" s="5">
        <f>IF(ISNUMBER('Main Project Raw Data'!G445),'Main Project Raw Data'!G445,IF(ISNUMBER(SEARCH("/",'Main Project Raw Data'!G445)),DATE(RIGHT('Main Project Raw Data'!G445,4),LEFT('Main Project Raw Data'!G445,FIND("/",'Main Project Raw Data'!G445)-1),MID('Main Project Raw Data'!G445,FIND("/",'Main Project Raw Data'!G445)+1,2)),DATE(RIGHT('Main Project Raw Data'!G445,4),MID('Main Project Raw Data'!G445,4,2),LEFT('Main Project Raw Data'!G445,2))))</f>
        <v>43926</v>
      </c>
      <c r="H445" s="3">
        <f>IF(Table1[[#This Row],[Salary]]="",AVERAGE(Table1[Salary]),Table1[[#This Row],[Salary]])</f>
        <v>56140.51</v>
      </c>
      <c r="I445" s="3" t="s">
        <v>296</v>
      </c>
      <c r="J445" s="3">
        <f>ABS(Table1[[#This Row],[Phone]])</f>
        <v>1901302055</v>
      </c>
      <c r="K445" s="3" t="str">
        <f>PROPER(TRIM(Table1[[#This Row],[Performance_Score]]))</f>
        <v>Average</v>
      </c>
      <c r="L445" s="3" t="b">
        <f>Table1[[#This Row],[Remote_Work]]</f>
        <v>0</v>
      </c>
      <c r="M445" s="3" t="str">
        <f>PROPER(CONCATENATE(Table13[[#This Row],[First_Name]], Table13[[#This Row],[Last_Name]]))</f>
        <v>Evagarcia</v>
      </c>
      <c r="N445" s="3" t="str">
        <f t="shared" si="6"/>
        <v>Apr</v>
      </c>
      <c r="O445" s="3" t="str">
        <f>TEXT(Table13[[#This Row],[Join_Date]],"yyyy")</f>
        <v>2020</v>
      </c>
      <c r="P445" s="3" t="str">
        <f>LEFT('Main Project Raw Data'!E445,FIND("-",'Main Project Raw Data'!E445)-1)</f>
        <v>Finance</v>
      </c>
      <c r="Q445" s="3" t="str">
        <f>RIGHT('Main Project Raw Data'!E445,LEN('Main Project Raw Data'!E445)-FIND("-",'Main Project Raw Data'!E445))</f>
        <v>Illinois</v>
      </c>
    </row>
    <row r="446" spans="1:17" x14ac:dyDescent="0.3">
      <c r="A446" s="3" t="str">
        <f>TRIM(Table1[[#This Row],[Employee_ID]])</f>
        <v>EMP1444</v>
      </c>
      <c r="B446" s="3" t="str">
        <f>TRIM(Table1[[#This Row],[First_Name]])</f>
        <v>Grace</v>
      </c>
      <c r="C446" s="3" t="str">
        <f>TRIM(Table1[[#This Row],[Last_Name]])</f>
        <v>Brown</v>
      </c>
      <c r="D446" s="3">
        <f>IF(Table1[[#This Row],[Age]]="",AVERAGE(Table1[Age]),Table1[[#This Row],[Age]])</f>
        <v>30</v>
      </c>
      <c r="E446" s="3" t="s">
        <v>78</v>
      </c>
      <c r="F446" s="3" t="s">
        <v>16</v>
      </c>
      <c r="G446" s="5">
        <f>IF(ISNUMBER('Main Project Raw Data'!G446),'Main Project Raw Data'!G446,IF(ISNUMBER(SEARCH("/",'Main Project Raw Data'!G446)),DATE(RIGHT('Main Project Raw Data'!G446,4),LEFT('Main Project Raw Data'!G446,FIND("/",'Main Project Raw Data'!G446)-1),MID('Main Project Raw Data'!G446,FIND("/",'Main Project Raw Data'!G446)+1,2)),DATE(RIGHT('Main Project Raw Data'!G446,4),MID('Main Project Raw Data'!G446,4,2),LEFT('Main Project Raw Data'!G446,2))))</f>
        <v>45122</v>
      </c>
      <c r="H446" s="3">
        <f>IF(Table1[[#This Row],[Salary]]="",AVERAGE(Table1[Salary]),Table1[[#This Row],[Salary]])</f>
        <v>119586.11</v>
      </c>
      <c r="I446" s="3" t="s">
        <v>201</v>
      </c>
      <c r="J446" s="3">
        <f>ABS(Table1[[#This Row],[Phone]])</f>
        <v>9815287338</v>
      </c>
      <c r="K446" s="3" t="str">
        <f>PROPER(TRIM(Table1[[#This Row],[Performance_Score]]))</f>
        <v>Average</v>
      </c>
      <c r="L446" s="3" t="b">
        <f>Table1[[#This Row],[Remote_Work]]</f>
        <v>1</v>
      </c>
      <c r="M446" s="3" t="str">
        <f>PROPER(CONCATENATE(Table13[[#This Row],[First_Name]], Table13[[#This Row],[Last_Name]]))</f>
        <v>Gracebrown</v>
      </c>
      <c r="N446" s="3" t="str">
        <f t="shared" si="6"/>
        <v>Jul</v>
      </c>
      <c r="O446" s="3" t="str">
        <f>TEXT(Table13[[#This Row],[Join_Date]],"yyyy")</f>
        <v>2023</v>
      </c>
      <c r="P446" s="3" t="str">
        <f>LEFT('Main Project Raw Data'!E446,FIND("-",'Main Project Raw Data'!E446)-1)</f>
        <v>DevOps</v>
      </c>
      <c r="Q446" s="3" t="str">
        <f>RIGHT('Main Project Raw Data'!E446,LEN('Main Project Raw Data'!E446)-FIND("-",'Main Project Raw Data'!E446))</f>
        <v>Illinois</v>
      </c>
    </row>
    <row r="447" spans="1:17" x14ac:dyDescent="0.3">
      <c r="A447" s="3" t="str">
        <f>TRIM(Table1[[#This Row],[Employee_ID]])</f>
        <v>EMP1445</v>
      </c>
      <c r="B447" s="3" t="str">
        <f>TRIM(Table1[[#This Row],[First_Name]])</f>
        <v>Alice</v>
      </c>
      <c r="C447" s="3" t="str">
        <f>TRIM(Table1[[#This Row],[Last_Name]])</f>
        <v>Williams</v>
      </c>
      <c r="D447" s="3">
        <f>IF(Table1[[#This Row],[Age]]="",AVERAGE(Table1[Age]),Table1[[#This Row],[Age]])</f>
        <v>40</v>
      </c>
      <c r="E447" s="3" t="s">
        <v>15</v>
      </c>
      <c r="F447" s="3" t="s">
        <v>33</v>
      </c>
      <c r="G447" s="5">
        <f>IF(ISNUMBER('Main Project Raw Data'!G447),'Main Project Raw Data'!G447,IF(ISNUMBER(SEARCH("/",'Main Project Raw Data'!G447)),DATE(RIGHT('Main Project Raw Data'!G447,4),LEFT('Main Project Raw Data'!G447,FIND("/",'Main Project Raw Data'!G447)-1),MID('Main Project Raw Data'!G447,FIND("/",'Main Project Raw Data'!G447)+1,2)),DATE(RIGHT('Main Project Raw Data'!G447,4),MID('Main Project Raw Data'!G447,4,2),LEFT('Main Project Raw Data'!G447,2))))</f>
        <v>44946</v>
      </c>
      <c r="H447" s="3">
        <f>IF(Table1[[#This Row],[Salary]]="",AVERAGE(Table1[Salary]),Table1[[#This Row],[Salary]])</f>
        <v>104700.46</v>
      </c>
      <c r="I447" s="3" t="s">
        <v>362</v>
      </c>
      <c r="J447" s="3">
        <f>ABS(Table1[[#This Row],[Phone]])</f>
        <v>7855982175</v>
      </c>
      <c r="K447" s="3" t="str">
        <f>PROPER(TRIM(Table1[[#This Row],[Performance_Score]]))</f>
        <v>Good</v>
      </c>
      <c r="L447" s="3" t="b">
        <f>Table1[[#This Row],[Remote_Work]]</f>
        <v>1</v>
      </c>
      <c r="M447" s="3" t="str">
        <f>PROPER(CONCATENATE(Table13[[#This Row],[First_Name]], Table13[[#This Row],[Last_Name]]))</f>
        <v>Alicewilliams</v>
      </c>
      <c r="N447" s="3" t="str">
        <f t="shared" si="6"/>
        <v>Jan</v>
      </c>
      <c r="O447" s="3" t="str">
        <f>TEXT(Table13[[#This Row],[Join_Date]],"yyyy")</f>
        <v>2023</v>
      </c>
      <c r="P447" s="3" t="str">
        <f>LEFT('Main Project Raw Data'!E447,FIND("-",'Main Project Raw Data'!E447)-1)</f>
        <v>DevOps</v>
      </c>
      <c r="Q447" s="3" t="str">
        <f>RIGHT('Main Project Raw Data'!E447,LEN('Main Project Raw Data'!E447)-FIND("-",'Main Project Raw Data'!E447))</f>
        <v>California</v>
      </c>
    </row>
    <row r="448" spans="1:17" x14ac:dyDescent="0.3">
      <c r="A448" s="3" t="str">
        <f>TRIM(Table1[[#This Row],[Employee_ID]])</f>
        <v>EMP1446</v>
      </c>
      <c r="B448" s="3" t="str">
        <f>TRIM(Table1[[#This Row],[First_Name]])</f>
        <v>Frank</v>
      </c>
      <c r="C448" s="3" t="str">
        <f>TRIM(Table1[[#This Row],[Last_Name]])</f>
        <v>Williams</v>
      </c>
      <c r="D448" s="3">
        <f>IF(Table1[[#This Row],[Age]]="",AVERAGE(Table1[Age]),Table1[[#This Row],[Age]])</f>
        <v>40</v>
      </c>
      <c r="E448" s="3" t="s">
        <v>66</v>
      </c>
      <c r="F448" s="3" t="s">
        <v>16</v>
      </c>
      <c r="G448" s="5">
        <f>IF(ISNUMBER('Main Project Raw Data'!G448),'Main Project Raw Data'!G448,IF(ISNUMBER(SEARCH("/",'Main Project Raw Data'!G448)),DATE(RIGHT('Main Project Raw Data'!G448,4),LEFT('Main Project Raw Data'!G448,FIND("/",'Main Project Raw Data'!G448)-1),MID('Main Project Raw Data'!G448,FIND("/",'Main Project Raw Data'!G448)+1,2)),DATE(RIGHT('Main Project Raw Data'!G448,4),MID('Main Project Raw Data'!G448,4,2),LEFT('Main Project Raw Data'!G448,2))))</f>
        <v>44484</v>
      </c>
      <c r="H448" s="3">
        <f>IF(Table1[[#This Row],[Salary]]="",AVERAGE(Table1[Salary]),Table1[[#This Row],[Salary]])</f>
        <v>91798.14</v>
      </c>
      <c r="I448" s="3" t="s">
        <v>40</v>
      </c>
      <c r="J448" s="3">
        <f>ABS(Table1[[#This Row],[Phone]])</f>
        <v>6191284116</v>
      </c>
      <c r="K448" s="3" t="str">
        <f>PROPER(TRIM(Table1[[#This Row],[Performance_Score]]))</f>
        <v>Good</v>
      </c>
      <c r="L448" s="3" t="b">
        <f>Table1[[#This Row],[Remote_Work]]</f>
        <v>0</v>
      </c>
      <c r="M448" s="3" t="str">
        <f>PROPER(CONCATENATE(Table13[[#This Row],[First_Name]], Table13[[#This Row],[Last_Name]]))</f>
        <v>Frankwilliams</v>
      </c>
      <c r="N448" s="3" t="str">
        <f t="shared" si="6"/>
        <v>Oct</v>
      </c>
      <c r="O448" s="3" t="str">
        <f>TEXT(Table13[[#This Row],[Join_Date]],"yyyy")</f>
        <v>2021</v>
      </c>
      <c r="P448" s="3" t="str">
        <f>LEFT('Main Project Raw Data'!E448,FIND("-",'Main Project Raw Data'!E448)-1)</f>
        <v>HR</v>
      </c>
      <c r="Q448" s="3" t="str">
        <f>RIGHT('Main Project Raw Data'!E448,LEN('Main Project Raw Data'!E448)-FIND("-",'Main Project Raw Data'!E448))</f>
        <v>New York</v>
      </c>
    </row>
    <row r="449" spans="1:17" x14ac:dyDescent="0.3">
      <c r="A449" s="3" t="str">
        <f>TRIM(Table1[[#This Row],[Employee_ID]])</f>
        <v>EMP1447</v>
      </c>
      <c r="B449" s="3" t="str">
        <f>TRIM(Table1[[#This Row],[First_Name]])</f>
        <v>Eva</v>
      </c>
      <c r="C449" s="3" t="str">
        <f>TRIM(Table1[[#This Row],[Last_Name]])</f>
        <v>Miller</v>
      </c>
      <c r="D449" s="3">
        <f>IF(Table1[[#This Row],[Age]]="",AVERAGE(Table1[Age]),Table1[[#This Row],[Age]])</f>
        <v>25</v>
      </c>
      <c r="E449" s="3" t="s">
        <v>265</v>
      </c>
      <c r="F449" s="3" t="s">
        <v>33</v>
      </c>
      <c r="G449" s="5">
        <f>IF(ISNUMBER('Main Project Raw Data'!G449),'Main Project Raw Data'!G449,IF(ISNUMBER(SEARCH("/",'Main Project Raw Data'!G449)),DATE(RIGHT('Main Project Raw Data'!G449,4),LEFT('Main Project Raw Data'!G449,FIND("/",'Main Project Raw Data'!G449)-1),MID('Main Project Raw Data'!G449,FIND("/",'Main Project Raw Data'!G449)+1,2)),DATE(RIGHT('Main Project Raw Data'!G449,4),MID('Main Project Raw Data'!G449,4,2),LEFT('Main Project Raw Data'!G449,2))))</f>
        <v>45401</v>
      </c>
      <c r="H449" s="3">
        <f>IF(Table1[[#This Row],[Salary]]="",AVERAGE(Table1[Salary]),Table1[[#This Row],[Salary]])</f>
        <v>90879.22</v>
      </c>
      <c r="I449" s="3" t="s">
        <v>263</v>
      </c>
      <c r="J449" s="3">
        <f>ABS(Table1[[#This Row],[Phone]])</f>
        <v>3098503445</v>
      </c>
      <c r="K449" s="3" t="str">
        <f>PROPER(TRIM(Table1[[#This Row],[Performance_Score]]))</f>
        <v>Good</v>
      </c>
      <c r="L449" s="3" t="b">
        <f>Table1[[#This Row],[Remote_Work]]</f>
        <v>0</v>
      </c>
      <c r="M449" s="3" t="str">
        <f>PROPER(CONCATENATE(Table13[[#This Row],[First_Name]], Table13[[#This Row],[Last_Name]]))</f>
        <v>Evamiller</v>
      </c>
      <c r="N449" s="3" t="str">
        <f t="shared" si="6"/>
        <v>Apr</v>
      </c>
      <c r="O449" s="3" t="str">
        <f>TEXT(Table13[[#This Row],[Join_Date]],"yyyy")</f>
        <v>2024</v>
      </c>
      <c r="P449" s="3" t="str">
        <f>LEFT('Main Project Raw Data'!E449,FIND("-",'Main Project Raw Data'!E449)-1)</f>
        <v>Finance</v>
      </c>
      <c r="Q449" s="3" t="str">
        <f>RIGHT('Main Project Raw Data'!E449,LEN('Main Project Raw Data'!E449)-FIND("-",'Main Project Raw Data'!E449))</f>
        <v>Illinois</v>
      </c>
    </row>
    <row r="450" spans="1:17" x14ac:dyDescent="0.3">
      <c r="A450" s="3" t="str">
        <f>TRIM(Table1[[#This Row],[Employee_ID]])</f>
        <v>EMP1448</v>
      </c>
      <c r="B450" s="3" t="str">
        <f>TRIM(Table1[[#This Row],[First_Name]])</f>
        <v>Charlie</v>
      </c>
      <c r="C450" s="3" t="str">
        <f>TRIM(Table1[[#This Row],[Last_Name]])</f>
        <v>Davis</v>
      </c>
      <c r="D450" s="3">
        <f>IF(Table1[[#This Row],[Age]]="",AVERAGE(Table1[Age]),Table1[[#This Row],[Age]])</f>
        <v>25</v>
      </c>
      <c r="E450" s="3" t="s">
        <v>27</v>
      </c>
      <c r="F450" s="3" t="s">
        <v>16</v>
      </c>
      <c r="G450" s="5">
        <f>IF(ISNUMBER('Main Project Raw Data'!G450),'Main Project Raw Data'!G450,IF(ISNUMBER(SEARCH("/",'Main Project Raw Data'!G450)),DATE(RIGHT('Main Project Raw Data'!G450,4),LEFT('Main Project Raw Data'!G450,FIND("/",'Main Project Raw Data'!G450)-1),MID('Main Project Raw Data'!G450,FIND("/",'Main Project Raw Data'!G450)+1,2)),DATE(RIGHT('Main Project Raw Data'!G450,4),MID('Main Project Raw Data'!G450,4,2),LEFT('Main Project Raw Data'!G450,2))))</f>
        <v>44376</v>
      </c>
      <c r="H450" s="3">
        <f>IF(Table1[[#This Row],[Salary]]="",AVERAGE(Table1[Salary]),Table1[[#This Row],[Salary]])</f>
        <v>87358.27</v>
      </c>
      <c r="I450" s="3" t="s">
        <v>170</v>
      </c>
      <c r="J450" s="3">
        <f>ABS(Table1[[#This Row],[Phone]])</f>
        <v>5124189388</v>
      </c>
      <c r="K450" s="3" t="str">
        <f>PROPER(TRIM(Table1[[#This Row],[Performance_Score]]))</f>
        <v>Poor</v>
      </c>
      <c r="L450" s="3" t="b">
        <f>Table1[[#This Row],[Remote_Work]]</f>
        <v>0</v>
      </c>
      <c r="M450" s="3" t="str">
        <f>PROPER(CONCATENATE(Table13[[#This Row],[First_Name]], Table13[[#This Row],[Last_Name]]))</f>
        <v>Charliedavis</v>
      </c>
      <c r="N450" s="3" t="str">
        <f t="shared" ref="N450:N513" si="7">TEXT(G450,"mmm")</f>
        <v>Jun</v>
      </c>
      <c r="O450" s="3" t="str">
        <f>TEXT(Table13[[#This Row],[Join_Date]],"yyyy")</f>
        <v>2021</v>
      </c>
      <c r="P450" s="3" t="str">
        <f>LEFT('Main Project Raw Data'!E450,FIND("-",'Main Project Raw Data'!E450)-1)</f>
        <v>Admin</v>
      </c>
      <c r="Q450" s="3" t="str">
        <f>RIGHT('Main Project Raw Data'!E450,LEN('Main Project Raw Data'!E450)-FIND("-",'Main Project Raw Data'!E450))</f>
        <v>Nevada</v>
      </c>
    </row>
    <row r="451" spans="1:17" x14ac:dyDescent="0.3">
      <c r="A451" s="3" t="str">
        <f>TRIM(Table1[[#This Row],[Employee_ID]])</f>
        <v>EMP1449</v>
      </c>
      <c r="B451" s="3" t="str">
        <f>TRIM(Table1[[#This Row],[First_Name]])</f>
        <v>Alice</v>
      </c>
      <c r="C451" s="3" t="str">
        <f>TRIM(Table1[[#This Row],[Last_Name]])</f>
        <v>Miller</v>
      </c>
      <c r="D451" s="3">
        <f>IF(Table1[[#This Row],[Age]]="",AVERAGE(Table1[Age]),Table1[[#This Row],[Age]])</f>
        <v>30</v>
      </c>
      <c r="E451" s="3" t="s">
        <v>74</v>
      </c>
      <c r="F451" s="3" t="s">
        <v>33</v>
      </c>
      <c r="G451" s="5">
        <f>IF(ISNUMBER('Main Project Raw Data'!G451),'Main Project Raw Data'!G451,IF(ISNUMBER(SEARCH("/",'Main Project Raw Data'!G451)),DATE(RIGHT('Main Project Raw Data'!G451,4),LEFT('Main Project Raw Data'!G451,FIND("/",'Main Project Raw Data'!G451)-1),MID('Main Project Raw Data'!G451,FIND("/",'Main Project Raw Data'!G451)+1,2)),DATE(RIGHT('Main Project Raw Data'!G451,4),MID('Main Project Raw Data'!G451,4,2),LEFT('Main Project Raw Data'!G451,2))))</f>
        <v>45549</v>
      </c>
      <c r="H451" s="3">
        <f>IF(Table1[[#This Row],[Salary]]="",AVERAGE(Table1[Salary]),Table1[[#This Row],[Salary]])</f>
        <v>119407.93</v>
      </c>
      <c r="I451" s="3" t="s">
        <v>166</v>
      </c>
      <c r="J451" s="3">
        <f>ABS(Table1[[#This Row],[Phone]])</f>
        <v>8469081973</v>
      </c>
      <c r="K451" s="3" t="str">
        <f>PROPER(TRIM(Table1[[#This Row],[Performance_Score]]))</f>
        <v>Excellent</v>
      </c>
      <c r="L451" s="3" t="b">
        <f>Table1[[#This Row],[Remote_Work]]</f>
        <v>1</v>
      </c>
      <c r="M451" s="3" t="str">
        <f>PROPER(CONCATENATE(Table13[[#This Row],[First_Name]], Table13[[#This Row],[Last_Name]]))</f>
        <v>Alicemiller</v>
      </c>
      <c r="N451" s="3" t="str">
        <f t="shared" si="7"/>
        <v>Sep</v>
      </c>
      <c r="O451" s="3" t="str">
        <f>TEXT(Table13[[#This Row],[Join_Date]],"yyyy")</f>
        <v>2024</v>
      </c>
      <c r="P451" s="3" t="str">
        <f>LEFT('Main Project Raw Data'!E451,FIND("-",'Main Project Raw Data'!E451)-1)</f>
        <v>Sales</v>
      </c>
      <c r="Q451" s="3" t="str">
        <f>RIGHT('Main Project Raw Data'!E451,LEN('Main Project Raw Data'!E451)-FIND("-",'Main Project Raw Data'!E451))</f>
        <v>Florida</v>
      </c>
    </row>
    <row r="452" spans="1:17" x14ac:dyDescent="0.3">
      <c r="A452" s="3" t="str">
        <f>TRIM(Table1[[#This Row],[Employee_ID]])</f>
        <v>EMP1450</v>
      </c>
      <c r="B452" s="3" t="str">
        <f>TRIM(Table1[[#This Row],[First_Name]])</f>
        <v>David</v>
      </c>
      <c r="C452" s="3" t="str">
        <f>TRIM(Table1[[#This Row],[Last_Name]])</f>
        <v>Miller</v>
      </c>
      <c r="D452" s="3">
        <f>IF(Table1[[#This Row],[Age]]="",AVERAGE(Table1[Age]),Table1[[#This Row],[Age]])</f>
        <v>32.484548825710753</v>
      </c>
      <c r="E452" s="3" t="s">
        <v>149</v>
      </c>
      <c r="F452" s="3" t="s">
        <v>28</v>
      </c>
      <c r="G452" s="5">
        <f>IF(ISNUMBER('Main Project Raw Data'!G452),'Main Project Raw Data'!G452,IF(ISNUMBER(SEARCH("/",'Main Project Raw Data'!G452)),DATE(RIGHT('Main Project Raw Data'!G452,4),LEFT('Main Project Raw Data'!G452,FIND("/",'Main Project Raw Data'!G452)-1),MID('Main Project Raw Data'!G452,FIND("/",'Main Project Raw Data'!G452)+1,2)),DATE(RIGHT('Main Project Raw Data'!G452,4),MID('Main Project Raw Data'!G452,4,2),LEFT('Main Project Raw Data'!G452,2))))</f>
        <v>44652</v>
      </c>
      <c r="H452" s="3">
        <f>IF(Table1[[#This Row],[Salary]]="",AVERAGE(Table1[Salary]),Table1[[#This Row],[Salary]])</f>
        <v>113978.6</v>
      </c>
      <c r="I452" s="3" t="s">
        <v>107</v>
      </c>
      <c r="J452" s="3">
        <f>ABS(Table1[[#This Row],[Phone]])</f>
        <v>56435022</v>
      </c>
      <c r="K452" s="3" t="str">
        <f>PROPER(TRIM(Table1[[#This Row],[Performance_Score]]))</f>
        <v>Excellent</v>
      </c>
      <c r="L452" s="3" t="b">
        <f>Table1[[#This Row],[Remote_Work]]</f>
        <v>1</v>
      </c>
      <c r="M452" s="3" t="str">
        <f>PROPER(CONCATENATE(Table13[[#This Row],[First_Name]], Table13[[#This Row],[Last_Name]]))</f>
        <v>Davidmiller</v>
      </c>
      <c r="N452" s="3" t="str">
        <f t="shared" si="7"/>
        <v>Apr</v>
      </c>
      <c r="O452" s="3" t="str">
        <f>TEXT(Table13[[#This Row],[Join_Date]],"yyyy")</f>
        <v>2022</v>
      </c>
      <c r="P452" s="3" t="str">
        <f>LEFT('Main Project Raw Data'!E452,FIND("-",'Main Project Raw Data'!E452)-1)</f>
        <v>HR</v>
      </c>
      <c r="Q452" s="3" t="str">
        <f>RIGHT('Main Project Raw Data'!E452,LEN('Main Project Raw Data'!E452)-FIND("-",'Main Project Raw Data'!E452))</f>
        <v>Nevada</v>
      </c>
    </row>
    <row r="453" spans="1:17" x14ac:dyDescent="0.3">
      <c r="A453" s="3" t="str">
        <f>TRIM(Table1[[#This Row],[Employee_ID]])</f>
        <v>EMP1451</v>
      </c>
      <c r="B453" s="3" t="str">
        <f>TRIM(Table1[[#This Row],[First_Name]])</f>
        <v>Frank</v>
      </c>
      <c r="C453" s="3" t="str">
        <f>TRIM(Table1[[#This Row],[Last_Name]])</f>
        <v>Miller</v>
      </c>
      <c r="D453" s="3">
        <f>IF(Table1[[#This Row],[Age]]="",AVERAGE(Table1[Age]),Table1[[#This Row],[Age]])</f>
        <v>32.484548825710753</v>
      </c>
      <c r="E453" s="3" t="s">
        <v>109</v>
      </c>
      <c r="F453" s="3" t="s">
        <v>28</v>
      </c>
      <c r="G453" s="5">
        <f>IF(ISNUMBER('Main Project Raw Data'!G453),'Main Project Raw Data'!G453,IF(ISNUMBER(SEARCH("/",'Main Project Raw Data'!G453)),DATE(RIGHT('Main Project Raw Data'!G453,4),LEFT('Main Project Raw Data'!G453,FIND("/",'Main Project Raw Data'!G453)-1),MID('Main Project Raw Data'!G453,FIND("/",'Main Project Raw Data'!G453)+1,2)),DATE(RIGHT('Main Project Raw Data'!G453,4),MID('Main Project Raw Data'!G453,4,2),LEFT('Main Project Raw Data'!G453,2))))</f>
        <v>44216</v>
      </c>
      <c r="H453" s="3">
        <f>IF(Table1[[#This Row],[Salary]]="",AVERAGE(Table1[Salary]),Table1[[#This Row],[Salary]])</f>
        <v>108568.78</v>
      </c>
      <c r="I453" s="3" t="s">
        <v>110</v>
      </c>
      <c r="J453" s="3">
        <f>ABS(Table1[[#This Row],[Phone]])</f>
        <v>8503719904</v>
      </c>
      <c r="K453" s="3" t="str">
        <f>PROPER(TRIM(Table1[[#This Row],[Performance_Score]]))</f>
        <v>Good</v>
      </c>
      <c r="L453" s="3" t="b">
        <f>Table1[[#This Row],[Remote_Work]]</f>
        <v>1</v>
      </c>
      <c r="M453" s="3" t="str">
        <f>PROPER(CONCATENATE(Table13[[#This Row],[First_Name]], Table13[[#This Row],[Last_Name]]))</f>
        <v>Frankmiller</v>
      </c>
      <c r="N453" s="3" t="str">
        <f t="shared" si="7"/>
        <v>Jan</v>
      </c>
      <c r="O453" s="3" t="str">
        <f>TEXT(Table13[[#This Row],[Join_Date]],"yyyy")</f>
        <v>2021</v>
      </c>
      <c r="P453" s="3" t="str">
        <f>LEFT('Main Project Raw Data'!E453,FIND("-",'Main Project Raw Data'!E453)-1)</f>
        <v>Sales</v>
      </c>
      <c r="Q453" s="3" t="str">
        <f>RIGHT('Main Project Raw Data'!E453,LEN('Main Project Raw Data'!E453)-FIND("-",'Main Project Raw Data'!E453))</f>
        <v>New York</v>
      </c>
    </row>
    <row r="454" spans="1:17" x14ac:dyDescent="0.3">
      <c r="A454" s="3" t="str">
        <f>TRIM(Table1[[#This Row],[Employee_ID]])</f>
        <v>EMP1452</v>
      </c>
      <c r="B454" s="3" t="str">
        <f>TRIM(Table1[[#This Row],[First_Name]])</f>
        <v>Heidi</v>
      </c>
      <c r="C454" s="3" t="str">
        <f>TRIM(Table1[[#This Row],[Last_Name]])</f>
        <v>Miller</v>
      </c>
      <c r="D454" s="3">
        <f>IF(Table1[[#This Row],[Age]]="",AVERAGE(Table1[Age]),Table1[[#This Row],[Age]])</f>
        <v>32.484548825710753</v>
      </c>
      <c r="E454" s="3" t="s">
        <v>66</v>
      </c>
      <c r="F454" s="3" t="s">
        <v>33</v>
      </c>
      <c r="G454" s="5">
        <f>IF(ISNUMBER('Main Project Raw Data'!G454),'Main Project Raw Data'!G454,IF(ISNUMBER(SEARCH("/",'Main Project Raw Data'!G454)),DATE(RIGHT('Main Project Raw Data'!G454,4),LEFT('Main Project Raw Data'!G454,FIND("/",'Main Project Raw Data'!G454)-1),MID('Main Project Raw Data'!G454,FIND("/",'Main Project Raw Data'!G454)+1,2)),DATE(RIGHT('Main Project Raw Data'!G454,4),MID('Main Project Raw Data'!G454,4,2),LEFT('Main Project Raw Data'!G454,2))))</f>
        <v>43908</v>
      </c>
      <c r="H454" s="3">
        <f>IF(Table1[[#This Row],[Salary]]="",AVERAGE(Table1[Salary]),Table1[[#This Row],[Salary]])</f>
        <v>56318.02</v>
      </c>
      <c r="I454" s="3" t="s">
        <v>130</v>
      </c>
      <c r="J454" s="3">
        <f>ABS(Table1[[#This Row],[Phone]])</f>
        <v>1699187239</v>
      </c>
      <c r="K454" s="3" t="str">
        <f>PROPER(TRIM(Table1[[#This Row],[Performance_Score]]))</f>
        <v>Excellent</v>
      </c>
      <c r="L454" s="3" t="b">
        <f>Table1[[#This Row],[Remote_Work]]</f>
        <v>0</v>
      </c>
      <c r="M454" s="3" t="str">
        <f>PROPER(CONCATENATE(Table13[[#This Row],[First_Name]], Table13[[#This Row],[Last_Name]]))</f>
        <v>Heidimiller</v>
      </c>
      <c r="N454" s="3" t="str">
        <f t="shared" si="7"/>
        <v>Mar</v>
      </c>
      <c r="O454" s="3" t="str">
        <f>TEXT(Table13[[#This Row],[Join_Date]],"yyyy")</f>
        <v>2020</v>
      </c>
      <c r="P454" s="3" t="str">
        <f>LEFT('Main Project Raw Data'!E454,FIND("-",'Main Project Raw Data'!E454)-1)</f>
        <v>HR</v>
      </c>
      <c r="Q454" s="3" t="str">
        <f>RIGHT('Main Project Raw Data'!E454,LEN('Main Project Raw Data'!E454)-FIND("-",'Main Project Raw Data'!E454))</f>
        <v>New York</v>
      </c>
    </row>
    <row r="455" spans="1:17" x14ac:dyDescent="0.3">
      <c r="A455" s="3" t="str">
        <f>TRIM(Table1[[#This Row],[Employee_ID]])</f>
        <v>EMP1453</v>
      </c>
      <c r="B455" s="3" t="str">
        <f>TRIM(Table1[[#This Row],[First_Name]])</f>
        <v>David</v>
      </c>
      <c r="C455" s="3" t="str">
        <f>TRIM(Table1[[#This Row],[Last_Name]])</f>
        <v>Miller</v>
      </c>
      <c r="D455" s="3">
        <f>IF(Table1[[#This Row],[Age]]="",AVERAGE(Table1[Age]),Table1[[#This Row],[Age]])</f>
        <v>25</v>
      </c>
      <c r="E455" s="3" t="s">
        <v>74</v>
      </c>
      <c r="F455" s="3" t="s">
        <v>16</v>
      </c>
      <c r="G455" s="5">
        <f>IF(ISNUMBER('Main Project Raw Data'!G455),'Main Project Raw Data'!G455,IF(ISNUMBER(SEARCH("/",'Main Project Raw Data'!G455)),DATE(RIGHT('Main Project Raw Data'!G455,4),LEFT('Main Project Raw Data'!G455,FIND("/",'Main Project Raw Data'!G455)-1),MID('Main Project Raw Data'!G455,FIND("/",'Main Project Raw Data'!G455)+1,2)),DATE(RIGHT('Main Project Raw Data'!G455,4),MID('Main Project Raw Data'!G455,4,2),LEFT('Main Project Raw Data'!G455,2))))</f>
        <v>44480</v>
      </c>
      <c r="H455" s="3">
        <f>IF(Table1[[#This Row],[Salary]]="",AVERAGE(Table1[Salary]),Table1[[#This Row],[Salary]])</f>
        <v>114252.73</v>
      </c>
      <c r="I455" s="3" t="s">
        <v>107</v>
      </c>
      <c r="J455" s="3">
        <f>ABS(Table1[[#This Row],[Phone]])</f>
        <v>1078356742</v>
      </c>
      <c r="K455" s="3" t="str">
        <f>PROPER(TRIM(Table1[[#This Row],[Performance_Score]]))</f>
        <v>Good</v>
      </c>
      <c r="L455" s="3" t="b">
        <f>Table1[[#This Row],[Remote_Work]]</f>
        <v>0</v>
      </c>
      <c r="M455" s="3" t="str">
        <f>PROPER(CONCATENATE(Table13[[#This Row],[First_Name]], Table13[[#This Row],[Last_Name]]))</f>
        <v>Davidmiller</v>
      </c>
      <c r="N455" s="3" t="str">
        <f t="shared" si="7"/>
        <v>Oct</v>
      </c>
      <c r="O455" s="3" t="str">
        <f>TEXT(Table13[[#This Row],[Join_Date]],"yyyy")</f>
        <v>2021</v>
      </c>
      <c r="P455" s="3" t="str">
        <f>LEFT('Main Project Raw Data'!E455,FIND("-",'Main Project Raw Data'!E455)-1)</f>
        <v>Sales</v>
      </c>
      <c r="Q455" s="3" t="str">
        <f>RIGHT('Main Project Raw Data'!E455,LEN('Main Project Raw Data'!E455)-FIND("-",'Main Project Raw Data'!E455))</f>
        <v>Florida</v>
      </c>
    </row>
    <row r="456" spans="1:17" x14ac:dyDescent="0.3">
      <c r="A456" s="3" t="str">
        <f>TRIM(Table1[[#This Row],[Employee_ID]])</f>
        <v>EMP1454</v>
      </c>
      <c r="B456" s="3" t="str">
        <f>TRIM(Table1[[#This Row],[First_Name]])</f>
        <v>Charlie</v>
      </c>
      <c r="C456" s="3" t="str">
        <f>TRIM(Table1[[#This Row],[Last_Name]])</f>
        <v>Jones</v>
      </c>
      <c r="D456" s="3">
        <f>IF(Table1[[#This Row],[Age]]="",AVERAGE(Table1[Age]),Table1[[#This Row],[Age]])</f>
        <v>35</v>
      </c>
      <c r="E456" s="3" t="s">
        <v>56</v>
      </c>
      <c r="F456" s="3" t="s">
        <v>33</v>
      </c>
      <c r="G456" s="5">
        <f>IF(ISNUMBER('Main Project Raw Data'!G456),'Main Project Raw Data'!G456,IF(ISNUMBER(SEARCH("/",'Main Project Raw Data'!G456)),DATE(RIGHT('Main Project Raw Data'!G456,4),LEFT('Main Project Raw Data'!G456,FIND("/",'Main Project Raw Data'!G456)-1),MID('Main Project Raw Data'!G456,FIND("/",'Main Project Raw Data'!G456)+1,2)),DATE(RIGHT('Main Project Raw Data'!G456,4),MID('Main Project Raw Data'!G456,4,2),LEFT('Main Project Raw Data'!G456,2))))</f>
        <v>43835</v>
      </c>
      <c r="H456" s="3">
        <f>IF(Table1[[#This Row],[Salary]]="",AVERAGE(Table1[Salary]),Table1[[#This Row],[Salary]])</f>
        <v>51533.9</v>
      </c>
      <c r="I456" s="3" t="s">
        <v>120</v>
      </c>
      <c r="J456" s="3">
        <f>ABS(Table1[[#This Row],[Phone]])</f>
        <v>3896086</v>
      </c>
      <c r="K456" s="3" t="str">
        <f>PROPER(TRIM(Table1[[#This Row],[Performance_Score]]))</f>
        <v>Poor</v>
      </c>
      <c r="L456" s="3" t="b">
        <f>Table1[[#This Row],[Remote_Work]]</f>
        <v>1</v>
      </c>
      <c r="M456" s="3" t="str">
        <f>PROPER(CONCATENATE(Table13[[#This Row],[First_Name]], Table13[[#This Row],[Last_Name]]))</f>
        <v>Charliejones</v>
      </c>
      <c r="N456" s="3" t="str">
        <f t="shared" si="7"/>
        <v>Jan</v>
      </c>
      <c r="O456" s="3" t="str">
        <f>TEXT(Table13[[#This Row],[Join_Date]],"yyyy")</f>
        <v>2020</v>
      </c>
      <c r="P456" s="3" t="str">
        <f>LEFT('Main Project Raw Data'!E456,FIND("-",'Main Project Raw Data'!E456)-1)</f>
        <v>DevOps</v>
      </c>
      <c r="Q456" s="3" t="str">
        <f>RIGHT('Main Project Raw Data'!E456,LEN('Main Project Raw Data'!E456)-FIND("-",'Main Project Raw Data'!E456))</f>
        <v>New York</v>
      </c>
    </row>
    <row r="457" spans="1:17" x14ac:dyDescent="0.3">
      <c r="A457" s="3" t="str">
        <f>TRIM(Table1[[#This Row],[Employee_ID]])</f>
        <v>EMP1455</v>
      </c>
      <c r="B457" s="3" t="str">
        <f>TRIM(Table1[[#This Row],[First_Name]])</f>
        <v>Charlie</v>
      </c>
      <c r="C457" s="3" t="str">
        <f>TRIM(Table1[[#This Row],[Last_Name]])</f>
        <v>Williams</v>
      </c>
      <c r="D457" s="3">
        <f>IF(Table1[[#This Row],[Age]]="",AVERAGE(Table1[Age]),Table1[[#This Row],[Age]])</f>
        <v>25</v>
      </c>
      <c r="E457" s="3" t="s">
        <v>177</v>
      </c>
      <c r="F457" s="3" t="s">
        <v>16</v>
      </c>
      <c r="G457" s="5">
        <f>IF(ISNUMBER('Main Project Raw Data'!G457),'Main Project Raw Data'!G457,IF(ISNUMBER(SEARCH("/",'Main Project Raw Data'!G457)),DATE(RIGHT('Main Project Raw Data'!G457,4),LEFT('Main Project Raw Data'!G457,FIND("/",'Main Project Raw Data'!G457)-1),MID('Main Project Raw Data'!G457,FIND("/",'Main Project Raw Data'!G457)+1,2)),DATE(RIGHT('Main Project Raw Data'!G457,4),MID('Main Project Raw Data'!G457,4,2),LEFT('Main Project Raw Data'!G457,2))))</f>
        <v>44653</v>
      </c>
      <c r="H457" s="3">
        <f>IF(Table1[[#This Row],[Salary]]="",AVERAGE(Table1[Salary]),Table1[[#This Row],[Salary]])</f>
        <v>99317.66</v>
      </c>
      <c r="I457" s="3" t="s">
        <v>90</v>
      </c>
      <c r="J457" s="3">
        <f>ABS(Table1[[#This Row],[Phone]])</f>
        <v>662668216</v>
      </c>
      <c r="K457" s="3" t="str">
        <f>PROPER(TRIM(Table1[[#This Row],[Performance_Score]]))</f>
        <v>Poor</v>
      </c>
      <c r="L457" s="3" t="b">
        <f>Table1[[#This Row],[Remote_Work]]</f>
        <v>0</v>
      </c>
      <c r="M457" s="3" t="str">
        <f>PROPER(CONCATENATE(Table13[[#This Row],[First_Name]], Table13[[#This Row],[Last_Name]]))</f>
        <v>Charliewilliams</v>
      </c>
      <c r="N457" s="3" t="str">
        <f t="shared" si="7"/>
        <v>Apr</v>
      </c>
      <c r="O457" s="3" t="str">
        <f>TEXT(Table13[[#This Row],[Join_Date]],"yyyy")</f>
        <v>2022</v>
      </c>
      <c r="P457" s="3" t="str">
        <f>LEFT('Main Project Raw Data'!E457,FIND("-",'Main Project Raw Data'!E457)-1)</f>
        <v>Sales</v>
      </c>
      <c r="Q457" s="3" t="str">
        <f>RIGHT('Main Project Raw Data'!E457,LEN('Main Project Raw Data'!E457)-FIND("-",'Main Project Raw Data'!E457))</f>
        <v>California</v>
      </c>
    </row>
    <row r="458" spans="1:17" x14ac:dyDescent="0.3">
      <c r="A458" s="3" t="str">
        <f>TRIM(Table1[[#This Row],[Employee_ID]])</f>
        <v>EMP1456</v>
      </c>
      <c r="B458" s="3" t="str">
        <f>TRIM(Table1[[#This Row],[First_Name]])</f>
        <v>Bob</v>
      </c>
      <c r="C458" s="3" t="str">
        <f>TRIM(Table1[[#This Row],[Last_Name]])</f>
        <v>Miller</v>
      </c>
      <c r="D458" s="3">
        <f>IF(Table1[[#This Row],[Age]]="",AVERAGE(Table1[Age]),Table1[[#This Row],[Age]])</f>
        <v>35</v>
      </c>
      <c r="E458" s="3" t="s">
        <v>146</v>
      </c>
      <c r="F458" s="3" t="s">
        <v>16</v>
      </c>
      <c r="G458" s="5">
        <f>IF(ISNUMBER('Main Project Raw Data'!G458),'Main Project Raw Data'!G458,IF(ISNUMBER(SEARCH("/",'Main Project Raw Data'!G458)),DATE(RIGHT('Main Project Raw Data'!G458,4),LEFT('Main Project Raw Data'!G458,FIND("/",'Main Project Raw Data'!G458)-1),MID('Main Project Raw Data'!G458,FIND("/",'Main Project Raw Data'!G458)+1,2)),DATE(RIGHT('Main Project Raw Data'!G458,4),MID('Main Project Raw Data'!G458,4,2),LEFT('Main Project Raw Data'!G458,2))))</f>
        <v>44153</v>
      </c>
      <c r="H458" s="3">
        <f>IF(Table1[[#This Row],[Salary]]="",AVERAGE(Table1[Salary]),Table1[[#This Row],[Salary]])</f>
        <v>101264.64</v>
      </c>
      <c r="I458" s="3" t="s">
        <v>93</v>
      </c>
      <c r="J458" s="3">
        <f>ABS(Table1[[#This Row],[Phone]])</f>
        <v>1955356032</v>
      </c>
      <c r="K458" s="3" t="str">
        <f>PROPER(TRIM(Table1[[#This Row],[Performance_Score]]))</f>
        <v>Average</v>
      </c>
      <c r="L458" s="3" t="b">
        <f>Table1[[#This Row],[Remote_Work]]</f>
        <v>0</v>
      </c>
      <c r="M458" s="3" t="str">
        <f>PROPER(CONCATENATE(Table13[[#This Row],[First_Name]], Table13[[#This Row],[Last_Name]]))</f>
        <v>Bobmiller</v>
      </c>
      <c r="N458" s="3" t="str">
        <f t="shared" si="7"/>
        <v>Nov</v>
      </c>
      <c r="O458" s="3" t="str">
        <f>TEXT(Table13[[#This Row],[Join_Date]],"yyyy")</f>
        <v>2020</v>
      </c>
      <c r="P458" s="3" t="str">
        <f>LEFT('Main Project Raw Data'!E458,FIND("-",'Main Project Raw Data'!E458)-1)</f>
        <v>HR</v>
      </c>
      <c r="Q458" s="3" t="str">
        <f>RIGHT('Main Project Raw Data'!E458,LEN('Main Project Raw Data'!E458)-FIND("-",'Main Project Raw Data'!E458))</f>
        <v>California</v>
      </c>
    </row>
    <row r="459" spans="1:17" x14ac:dyDescent="0.3">
      <c r="A459" s="3" t="str">
        <f>TRIM(Table1[[#This Row],[Employee_ID]])</f>
        <v>EMP1457</v>
      </c>
      <c r="B459" s="3" t="str">
        <f>TRIM(Table1[[#This Row],[First_Name]])</f>
        <v>Heidi</v>
      </c>
      <c r="C459" s="3" t="str">
        <f>TRIM(Table1[[#This Row],[Last_Name]])</f>
        <v>Garcia</v>
      </c>
      <c r="D459" s="3">
        <f>IF(Table1[[#This Row],[Age]]="",AVERAGE(Table1[Age]),Table1[[#This Row],[Age]])</f>
        <v>35</v>
      </c>
      <c r="E459" s="3" t="s">
        <v>27</v>
      </c>
      <c r="F459" s="3" t="s">
        <v>28</v>
      </c>
      <c r="G459" s="5">
        <f>IF(ISNUMBER('Main Project Raw Data'!G459),'Main Project Raw Data'!G459,IF(ISNUMBER(SEARCH("/",'Main Project Raw Data'!G459)),DATE(RIGHT('Main Project Raw Data'!G459,4),LEFT('Main Project Raw Data'!G459,FIND("/",'Main Project Raw Data'!G459)-1),MID('Main Project Raw Data'!G459,FIND("/",'Main Project Raw Data'!G459)+1,2)),DATE(RIGHT('Main Project Raw Data'!G459,4),MID('Main Project Raw Data'!G459,4,2),LEFT('Main Project Raw Data'!G459,2))))</f>
        <v>45251</v>
      </c>
      <c r="H459" s="3">
        <f>IF(Table1[[#This Row],[Salary]]="",AVERAGE(Table1[Salary]),Table1[[#This Row],[Salary]])</f>
        <v>112272.02</v>
      </c>
      <c r="I459" s="3" t="s">
        <v>257</v>
      </c>
      <c r="J459" s="3">
        <f>ABS(Table1[[#This Row],[Phone]])</f>
        <v>1903689002</v>
      </c>
      <c r="K459" s="3" t="str">
        <f>PROPER(TRIM(Table1[[#This Row],[Performance_Score]]))</f>
        <v>Poor</v>
      </c>
      <c r="L459" s="3" t="b">
        <f>Table1[[#This Row],[Remote_Work]]</f>
        <v>0</v>
      </c>
      <c r="M459" s="3" t="str">
        <f>PROPER(CONCATENATE(Table13[[#This Row],[First_Name]], Table13[[#This Row],[Last_Name]]))</f>
        <v>Heidigarcia</v>
      </c>
      <c r="N459" s="3" t="str">
        <f t="shared" si="7"/>
        <v>Nov</v>
      </c>
      <c r="O459" s="3" t="str">
        <f>TEXT(Table13[[#This Row],[Join_Date]],"yyyy")</f>
        <v>2023</v>
      </c>
      <c r="P459" s="3" t="str">
        <f>LEFT('Main Project Raw Data'!E459,FIND("-",'Main Project Raw Data'!E459)-1)</f>
        <v>Admin</v>
      </c>
      <c r="Q459" s="3" t="str">
        <f>RIGHT('Main Project Raw Data'!E459,LEN('Main Project Raw Data'!E459)-FIND("-",'Main Project Raw Data'!E459))</f>
        <v>Nevada</v>
      </c>
    </row>
    <row r="460" spans="1:17" x14ac:dyDescent="0.3">
      <c r="A460" s="3" t="str">
        <f>TRIM(Table1[[#This Row],[Employee_ID]])</f>
        <v>EMP1458</v>
      </c>
      <c r="B460" s="3" t="str">
        <f>TRIM(Table1[[#This Row],[First_Name]])</f>
        <v>Frank</v>
      </c>
      <c r="C460" s="3" t="str">
        <f>TRIM(Table1[[#This Row],[Last_Name]])</f>
        <v>Williams</v>
      </c>
      <c r="D460" s="3">
        <f>IF(Table1[[#This Row],[Age]]="",AVERAGE(Table1[Age]),Table1[[#This Row],[Age]])</f>
        <v>30</v>
      </c>
      <c r="E460" s="3" t="s">
        <v>78</v>
      </c>
      <c r="F460" s="3" t="s">
        <v>16</v>
      </c>
      <c r="G460" s="5">
        <f>IF(ISNUMBER('Main Project Raw Data'!G460),'Main Project Raw Data'!G460,IF(ISNUMBER(SEARCH("/",'Main Project Raw Data'!G460)),DATE(RIGHT('Main Project Raw Data'!G460,4),LEFT('Main Project Raw Data'!G460,FIND("/",'Main Project Raw Data'!G460)-1),MID('Main Project Raw Data'!G460,FIND("/",'Main Project Raw Data'!G460)+1,2)),DATE(RIGHT('Main Project Raw Data'!G460,4),MID('Main Project Raw Data'!G460,4,2),LEFT('Main Project Raw Data'!G460,2))))</f>
        <v>44605</v>
      </c>
      <c r="H460" s="3">
        <f>IF(Table1[[#This Row],[Salary]]="",AVERAGE(Table1[Salary]),Table1[[#This Row],[Salary]])</f>
        <v>71477.63</v>
      </c>
      <c r="I460" s="3" t="s">
        <v>40</v>
      </c>
      <c r="J460" s="3">
        <f>ABS(Table1[[#This Row],[Phone]])</f>
        <v>102724054</v>
      </c>
      <c r="K460" s="3" t="str">
        <f>PROPER(TRIM(Table1[[#This Row],[Performance_Score]]))</f>
        <v>Good</v>
      </c>
      <c r="L460" s="3" t="b">
        <f>Table1[[#This Row],[Remote_Work]]</f>
        <v>1</v>
      </c>
      <c r="M460" s="3" t="str">
        <f>PROPER(CONCATENATE(Table13[[#This Row],[First_Name]], Table13[[#This Row],[Last_Name]]))</f>
        <v>Frankwilliams</v>
      </c>
      <c r="N460" s="3" t="str">
        <f t="shared" si="7"/>
        <v>Feb</v>
      </c>
      <c r="O460" s="3" t="str">
        <f>TEXT(Table13[[#This Row],[Join_Date]],"yyyy")</f>
        <v>2022</v>
      </c>
      <c r="P460" s="3" t="str">
        <f>LEFT('Main Project Raw Data'!E460,FIND("-",'Main Project Raw Data'!E460)-1)</f>
        <v>DevOps</v>
      </c>
      <c r="Q460" s="3" t="str">
        <f>RIGHT('Main Project Raw Data'!E460,LEN('Main Project Raw Data'!E460)-FIND("-",'Main Project Raw Data'!E460))</f>
        <v>Illinois</v>
      </c>
    </row>
    <row r="461" spans="1:17" x14ac:dyDescent="0.3">
      <c r="A461" s="3" t="str">
        <f>TRIM(Table1[[#This Row],[Employee_ID]])</f>
        <v>EMP1459</v>
      </c>
      <c r="B461" s="3" t="str">
        <f>TRIM(Table1[[#This Row],[First_Name]])</f>
        <v>Charlie</v>
      </c>
      <c r="C461" s="3" t="str">
        <f>TRIM(Table1[[#This Row],[Last_Name]])</f>
        <v>Williams</v>
      </c>
      <c r="D461" s="3">
        <f>IF(Table1[[#This Row],[Age]]="",AVERAGE(Table1[Age]),Table1[[#This Row],[Age]])</f>
        <v>30</v>
      </c>
      <c r="E461" s="3" t="s">
        <v>237</v>
      </c>
      <c r="F461" s="3" t="s">
        <v>28</v>
      </c>
      <c r="G461" s="5">
        <f>IF(ISNUMBER('Main Project Raw Data'!G461),'Main Project Raw Data'!G461,IF(ISNUMBER(SEARCH("/",'Main Project Raw Data'!G461)),DATE(RIGHT('Main Project Raw Data'!G461,4),LEFT('Main Project Raw Data'!G461,FIND("/",'Main Project Raw Data'!G461)-1),MID('Main Project Raw Data'!G461,FIND("/",'Main Project Raw Data'!G461)+1,2)),DATE(RIGHT('Main Project Raw Data'!G461,4),MID('Main Project Raw Data'!G461,4,2),LEFT('Main Project Raw Data'!G461,2))))</f>
        <v>45004</v>
      </c>
      <c r="H461" s="3">
        <f>IF(Table1[[#This Row],[Salary]]="",AVERAGE(Table1[Salary]),Table1[[#This Row],[Salary]])</f>
        <v>77412.100000000006</v>
      </c>
      <c r="I461" s="3" t="s">
        <v>90</v>
      </c>
      <c r="J461" s="3">
        <f>ABS(Table1[[#This Row],[Phone]])</f>
        <v>9342967110</v>
      </c>
      <c r="K461" s="3" t="str">
        <f>PROPER(TRIM(Table1[[#This Row],[Performance_Score]]))</f>
        <v>Poor</v>
      </c>
      <c r="L461" s="3" t="b">
        <f>Table1[[#This Row],[Remote_Work]]</f>
        <v>0</v>
      </c>
      <c r="M461" s="3" t="str">
        <f>PROPER(CONCATENATE(Table13[[#This Row],[First_Name]], Table13[[#This Row],[Last_Name]]))</f>
        <v>Charliewilliams</v>
      </c>
      <c r="N461" s="3" t="str">
        <f t="shared" si="7"/>
        <v>Mar</v>
      </c>
      <c r="O461" s="3" t="str">
        <f>TEXT(Table13[[#This Row],[Join_Date]],"yyyy")</f>
        <v>2023</v>
      </c>
      <c r="P461" s="3" t="str">
        <f>LEFT('Main Project Raw Data'!E461,FIND("-",'Main Project Raw Data'!E461)-1)</f>
        <v>DevOps</v>
      </c>
      <c r="Q461" s="3" t="str">
        <f>RIGHT('Main Project Raw Data'!E461,LEN('Main Project Raw Data'!E461)-FIND("-",'Main Project Raw Data'!E461))</f>
        <v>Texas</v>
      </c>
    </row>
    <row r="462" spans="1:17" x14ac:dyDescent="0.3">
      <c r="A462" s="3" t="str">
        <f>TRIM(Table1[[#This Row],[Employee_ID]])</f>
        <v>EMP1460</v>
      </c>
      <c r="B462" s="3" t="str">
        <f>TRIM(Table1[[#This Row],[First_Name]])</f>
        <v>Alice</v>
      </c>
      <c r="C462" s="3" t="str">
        <f>TRIM(Table1[[#This Row],[Last_Name]])</f>
        <v>Johnson</v>
      </c>
      <c r="D462" s="3">
        <f>IF(Table1[[#This Row],[Age]]="",AVERAGE(Table1[Age]),Table1[[#This Row],[Age]])</f>
        <v>30</v>
      </c>
      <c r="E462" s="3" t="s">
        <v>177</v>
      </c>
      <c r="F462" s="3" t="s">
        <v>28</v>
      </c>
      <c r="G462" s="5">
        <f>IF(ISNUMBER('Main Project Raw Data'!G462),'Main Project Raw Data'!G462,IF(ISNUMBER(SEARCH("/",'Main Project Raw Data'!G462)),DATE(RIGHT('Main Project Raw Data'!G462,4),LEFT('Main Project Raw Data'!G462,FIND("/",'Main Project Raw Data'!G462)-1),MID('Main Project Raw Data'!G462,FIND("/",'Main Project Raw Data'!G462)+1,2)),DATE(RIGHT('Main Project Raw Data'!G462,4),MID('Main Project Raw Data'!G462,4,2),LEFT('Main Project Raw Data'!G462,2))))</f>
        <v>44283</v>
      </c>
      <c r="H462" s="3">
        <f>IF(Table1[[#This Row],[Salary]]="",AVERAGE(Table1[Salary]),Table1[[#This Row],[Salary]])</f>
        <v>94775.27</v>
      </c>
      <c r="I462" s="3" t="s">
        <v>150</v>
      </c>
      <c r="J462" s="3">
        <f>ABS(Table1[[#This Row],[Phone]])</f>
        <v>4837537457</v>
      </c>
      <c r="K462" s="3" t="str">
        <f>PROPER(TRIM(Table1[[#This Row],[Performance_Score]]))</f>
        <v>Average</v>
      </c>
      <c r="L462" s="3" t="b">
        <f>Table1[[#This Row],[Remote_Work]]</f>
        <v>0</v>
      </c>
      <c r="M462" s="3" t="str">
        <f>PROPER(CONCATENATE(Table13[[#This Row],[First_Name]], Table13[[#This Row],[Last_Name]]))</f>
        <v>Alicejohnson</v>
      </c>
      <c r="N462" s="3" t="str">
        <f t="shared" si="7"/>
        <v>Mar</v>
      </c>
      <c r="O462" s="3" t="str">
        <f>TEXT(Table13[[#This Row],[Join_Date]],"yyyy")</f>
        <v>2021</v>
      </c>
      <c r="P462" s="3" t="str">
        <f>LEFT('Main Project Raw Data'!E462,FIND("-",'Main Project Raw Data'!E462)-1)</f>
        <v>Sales</v>
      </c>
      <c r="Q462" s="3" t="str">
        <f>RIGHT('Main Project Raw Data'!E462,LEN('Main Project Raw Data'!E462)-FIND("-",'Main Project Raw Data'!E462))</f>
        <v>California</v>
      </c>
    </row>
    <row r="463" spans="1:17" x14ac:dyDescent="0.3">
      <c r="A463" s="3" t="str">
        <f>TRIM(Table1[[#This Row],[Employee_ID]])</f>
        <v>EMP1461</v>
      </c>
      <c r="B463" s="3" t="str">
        <f>TRIM(Table1[[#This Row],[First_Name]])</f>
        <v>Heidi</v>
      </c>
      <c r="C463" s="3" t="str">
        <f>TRIM(Table1[[#This Row],[Last_Name]])</f>
        <v>Jones</v>
      </c>
      <c r="D463" s="3">
        <f>IF(Table1[[#This Row],[Age]]="",AVERAGE(Table1[Age]),Table1[[#This Row],[Age]])</f>
        <v>30</v>
      </c>
      <c r="E463" s="3" t="s">
        <v>149</v>
      </c>
      <c r="F463" s="3" t="s">
        <v>16</v>
      </c>
      <c r="G463" s="5">
        <f>IF(ISNUMBER('Main Project Raw Data'!G463),'Main Project Raw Data'!G463,IF(ISNUMBER(SEARCH("/",'Main Project Raw Data'!G463)),DATE(RIGHT('Main Project Raw Data'!G463,4),LEFT('Main Project Raw Data'!G463,FIND("/",'Main Project Raw Data'!G463)-1),MID('Main Project Raw Data'!G463,FIND("/",'Main Project Raw Data'!G463)+1,2)),DATE(RIGHT('Main Project Raw Data'!G463,4),MID('Main Project Raw Data'!G463,4,2),LEFT('Main Project Raw Data'!G463,2))))</f>
        <v>44232</v>
      </c>
      <c r="H463" s="3">
        <f>IF(Table1[[#This Row],[Salary]]="",AVERAGE(Table1[Salary]),Table1[[#This Row],[Salary]])</f>
        <v>74276.710000000006</v>
      </c>
      <c r="I463" s="3" t="s">
        <v>319</v>
      </c>
      <c r="J463" s="3">
        <f>ABS(Table1[[#This Row],[Phone]])</f>
        <v>4384588104</v>
      </c>
      <c r="K463" s="3" t="str">
        <f>PROPER(TRIM(Table1[[#This Row],[Performance_Score]]))</f>
        <v>Excellent</v>
      </c>
      <c r="L463" s="3" t="b">
        <f>Table1[[#This Row],[Remote_Work]]</f>
        <v>1</v>
      </c>
      <c r="M463" s="3" t="str">
        <f>PROPER(CONCATENATE(Table13[[#This Row],[First_Name]], Table13[[#This Row],[Last_Name]]))</f>
        <v>Heidijones</v>
      </c>
      <c r="N463" s="3" t="str">
        <f t="shared" si="7"/>
        <v>Feb</v>
      </c>
      <c r="O463" s="3" t="str">
        <f>TEXT(Table13[[#This Row],[Join_Date]],"yyyy")</f>
        <v>2021</v>
      </c>
      <c r="P463" s="3" t="str">
        <f>LEFT('Main Project Raw Data'!E463,FIND("-",'Main Project Raw Data'!E463)-1)</f>
        <v>HR</v>
      </c>
      <c r="Q463" s="3" t="str">
        <f>RIGHT('Main Project Raw Data'!E463,LEN('Main Project Raw Data'!E463)-FIND("-",'Main Project Raw Data'!E463))</f>
        <v>Nevada</v>
      </c>
    </row>
    <row r="464" spans="1:17" x14ac:dyDescent="0.3">
      <c r="A464" s="3" t="str">
        <f>TRIM(Table1[[#This Row],[Employee_ID]])</f>
        <v>EMP1462</v>
      </c>
      <c r="B464" s="3" t="str">
        <f>TRIM(Table1[[#This Row],[First_Name]])</f>
        <v>Bob</v>
      </c>
      <c r="C464" s="3" t="str">
        <f>TRIM(Table1[[#This Row],[Last_Name]])</f>
        <v>Miller</v>
      </c>
      <c r="D464" s="3">
        <f>IF(Table1[[#This Row],[Age]]="",AVERAGE(Table1[Age]),Table1[[#This Row],[Age]])</f>
        <v>35</v>
      </c>
      <c r="E464" s="3" t="s">
        <v>21</v>
      </c>
      <c r="F464" s="3" t="s">
        <v>33</v>
      </c>
      <c r="G464" s="5">
        <f>IF(ISNUMBER('Main Project Raw Data'!G464),'Main Project Raw Data'!G464,IF(ISNUMBER(SEARCH("/",'Main Project Raw Data'!G464)),DATE(RIGHT('Main Project Raw Data'!G464,4),LEFT('Main Project Raw Data'!G464,FIND("/",'Main Project Raw Data'!G464)-1),MID('Main Project Raw Data'!G464,FIND("/",'Main Project Raw Data'!G464)+1,2)),DATE(RIGHT('Main Project Raw Data'!G464,4),MID('Main Project Raw Data'!G464,4,2),LEFT('Main Project Raw Data'!G464,2))))</f>
        <v>44319</v>
      </c>
      <c r="H464" s="3">
        <f>IF(Table1[[#This Row],[Salary]]="",AVERAGE(Table1[Salary]),Table1[[#This Row],[Salary]])</f>
        <v>67467.86</v>
      </c>
      <c r="I464" s="3" t="s">
        <v>93</v>
      </c>
      <c r="J464" s="3">
        <f>ABS(Table1[[#This Row],[Phone]])</f>
        <v>6974132833</v>
      </c>
      <c r="K464" s="3" t="str">
        <f>PROPER(TRIM(Table1[[#This Row],[Performance_Score]]))</f>
        <v>Good</v>
      </c>
      <c r="L464" s="3" t="b">
        <f>Table1[[#This Row],[Remote_Work]]</f>
        <v>1</v>
      </c>
      <c r="M464" s="3" t="str">
        <f>PROPER(CONCATENATE(Table13[[#This Row],[First_Name]], Table13[[#This Row],[Last_Name]]))</f>
        <v>Bobmiller</v>
      </c>
      <c r="N464" s="3" t="str">
        <f t="shared" si="7"/>
        <v>May</v>
      </c>
      <c r="O464" s="3" t="str">
        <f>TEXT(Table13[[#This Row],[Join_Date]],"yyyy")</f>
        <v>2021</v>
      </c>
      <c r="P464" s="3" t="str">
        <f>LEFT('Main Project Raw Data'!E464,FIND("-",'Main Project Raw Data'!E464)-1)</f>
        <v>Finance</v>
      </c>
      <c r="Q464" s="3" t="str">
        <f>RIGHT('Main Project Raw Data'!E464,LEN('Main Project Raw Data'!E464)-FIND("-",'Main Project Raw Data'!E464))</f>
        <v>Texas</v>
      </c>
    </row>
    <row r="465" spans="1:17" x14ac:dyDescent="0.3">
      <c r="A465" s="3" t="str">
        <f>TRIM(Table1[[#This Row],[Employee_ID]])</f>
        <v>EMP1463</v>
      </c>
      <c r="B465" s="3" t="str">
        <f>TRIM(Table1[[#This Row],[First_Name]])</f>
        <v>Eva</v>
      </c>
      <c r="C465" s="3" t="str">
        <f>TRIM(Table1[[#This Row],[Last_Name]])</f>
        <v>Smith</v>
      </c>
      <c r="D465" s="3">
        <f>IF(Table1[[#This Row],[Age]]="",AVERAGE(Table1[Age]),Table1[[#This Row],[Age]])</f>
        <v>25</v>
      </c>
      <c r="E465" s="3" t="s">
        <v>237</v>
      </c>
      <c r="F465" s="3" t="s">
        <v>16</v>
      </c>
      <c r="G465" s="5">
        <f>IF(ISNUMBER('Main Project Raw Data'!G465),'Main Project Raw Data'!G465,IF(ISNUMBER(SEARCH("/",'Main Project Raw Data'!G465)),DATE(RIGHT('Main Project Raw Data'!G465,4),LEFT('Main Project Raw Data'!G465,FIND("/",'Main Project Raw Data'!G465)-1),MID('Main Project Raw Data'!G465,FIND("/",'Main Project Raw Data'!G465)+1,2)),DATE(RIGHT('Main Project Raw Data'!G465,4),MID('Main Project Raw Data'!G465,4,2),LEFT('Main Project Raw Data'!G465,2))))</f>
        <v>44564</v>
      </c>
      <c r="H465" s="3">
        <f>IF(Table1[[#This Row],[Salary]]="",AVERAGE(Table1[Salary]),Table1[[#This Row],[Salary]])</f>
        <v>80675.41</v>
      </c>
      <c r="I465" s="3" t="s">
        <v>521</v>
      </c>
      <c r="J465" s="3">
        <f>ABS(Table1[[#This Row],[Phone]])</f>
        <v>8315203770</v>
      </c>
      <c r="K465" s="3" t="str">
        <f>PROPER(TRIM(Table1[[#This Row],[Performance_Score]]))</f>
        <v>Excellent</v>
      </c>
      <c r="L465" s="3" t="b">
        <f>Table1[[#This Row],[Remote_Work]]</f>
        <v>0</v>
      </c>
      <c r="M465" s="3" t="str">
        <f>PROPER(CONCATENATE(Table13[[#This Row],[First_Name]], Table13[[#This Row],[Last_Name]]))</f>
        <v>Evasmith</v>
      </c>
      <c r="N465" s="3" t="str">
        <f t="shared" si="7"/>
        <v>Jan</v>
      </c>
      <c r="O465" s="3" t="str">
        <f>TEXT(Table13[[#This Row],[Join_Date]],"yyyy")</f>
        <v>2022</v>
      </c>
      <c r="P465" s="3" t="str">
        <f>LEFT('Main Project Raw Data'!E465,FIND("-",'Main Project Raw Data'!E465)-1)</f>
        <v>DevOps</v>
      </c>
      <c r="Q465" s="3" t="str">
        <f>RIGHT('Main Project Raw Data'!E465,LEN('Main Project Raw Data'!E465)-FIND("-",'Main Project Raw Data'!E465))</f>
        <v>Texas</v>
      </c>
    </row>
    <row r="466" spans="1:17" x14ac:dyDescent="0.3">
      <c r="A466" s="3" t="str">
        <f>TRIM(Table1[[#This Row],[Employee_ID]])</f>
        <v>EMP1464</v>
      </c>
      <c r="B466" s="3" t="str">
        <f>TRIM(Table1[[#This Row],[First_Name]])</f>
        <v>Charlie</v>
      </c>
      <c r="C466" s="3" t="str">
        <f>TRIM(Table1[[#This Row],[Last_Name]])</f>
        <v>Brown</v>
      </c>
      <c r="D466" s="3">
        <f>IF(Table1[[#This Row],[Age]]="",AVERAGE(Table1[Age]),Table1[[#This Row],[Age]])</f>
        <v>40</v>
      </c>
      <c r="E466" s="3" t="s">
        <v>112</v>
      </c>
      <c r="F466" s="3" t="s">
        <v>33</v>
      </c>
      <c r="G466" s="5">
        <f>IF(ISNUMBER('Main Project Raw Data'!G466),'Main Project Raw Data'!G466,IF(ISNUMBER(SEARCH("/",'Main Project Raw Data'!G466)),DATE(RIGHT('Main Project Raw Data'!G466,4),LEFT('Main Project Raw Data'!G466,FIND("/",'Main Project Raw Data'!G466)-1),MID('Main Project Raw Data'!G466,FIND("/",'Main Project Raw Data'!G466)+1,2)),DATE(RIGHT('Main Project Raw Data'!G466,4),MID('Main Project Raw Data'!G466,4,2),LEFT('Main Project Raw Data'!G466,2))))</f>
        <v>44949</v>
      </c>
      <c r="H466" s="3">
        <f>IF(Table1[[#This Row],[Salary]]="",AVERAGE(Table1[Salary]),Table1[[#This Row],[Salary]])</f>
        <v>76274.33</v>
      </c>
      <c r="I466" s="3" t="s">
        <v>125</v>
      </c>
      <c r="J466" s="3">
        <f>ABS(Table1[[#This Row],[Phone]])</f>
        <v>704496409</v>
      </c>
      <c r="K466" s="3" t="str">
        <f>PROPER(TRIM(Table1[[#This Row],[Performance_Score]]))</f>
        <v>Average</v>
      </c>
      <c r="L466" s="3" t="b">
        <f>Table1[[#This Row],[Remote_Work]]</f>
        <v>0</v>
      </c>
      <c r="M466" s="3" t="str">
        <f>PROPER(CONCATENATE(Table13[[#This Row],[First_Name]], Table13[[#This Row],[Last_Name]]))</f>
        <v>Charliebrown</v>
      </c>
      <c r="N466" s="3" t="str">
        <f t="shared" si="7"/>
        <v>Jan</v>
      </c>
      <c r="O466" s="3" t="str">
        <f>TEXT(Table13[[#This Row],[Join_Date]],"yyyy")</f>
        <v>2023</v>
      </c>
      <c r="P466" s="3" t="str">
        <f>LEFT('Main Project Raw Data'!E466,FIND("-",'Main Project Raw Data'!E466)-1)</f>
        <v>Finance</v>
      </c>
      <c r="Q466" s="3" t="str">
        <f>RIGHT('Main Project Raw Data'!E466,LEN('Main Project Raw Data'!E466)-FIND("-",'Main Project Raw Data'!E466))</f>
        <v>Florida</v>
      </c>
    </row>
    <row r="467" spans="1:17" x14ac:dyDescent="0.3">
      <c r="A467" s="3" t="str">
        <f>TRIM(Table1[[#This Row],[Employee_ID]])</f>
        <v>EMP1465</v>
      </c>
      <c r="B467" s="3" t="str">
        <f>TRIM(Table1[[#This Row],[First_Name]])</f>
        <v>David</v>
      </c>
      <c r="C467" s="3" t="str">
        <f>TRIM(Table1[[#This Row],[Last_Name]])</f>
        <v>Davis</v>
      </c>
      <c r="D467" s="3">
        <f>IF(Table1[[#This Row],[Age]]="",AVERAGE(Table1[Age]),Table1[[#This Row],[Age]])</f>
        <v>30</v>
      </c>
      <c r="E467" s="3" t="s">
        <v>21</v>
      </c>
      <c r="F467" s="3" t="s">
        <v>16</v>
      </c>
      <c r="G467" s="5">
        <f>IF(ISNUMBER('Main Project Raw Data'!G467),'Main Project Raw Data'!G467,IF(ISNUMBER(SEARCH("/",'Main Project Raw Data'!G467)),DATE(RIGHT('Main Project Raw Data'!G467,4),LEFT('Main Project Raw Data'!G467,FIND("/",'Main Project Raw Data'!G467)-1),MID('Main Project Raw Data'!G467,FIND("/",'Main Project Raw Data'!G467)+1,2)),DATE(RIGHT('Main Project Raw Data'!G467,4),MID('Main Project Raw Data'!G467,4,2),LEFT('Main Project Raw Data'!G467,2))))</f>
        <v>44434</v>
      </c>
      <c r="H467" s="3">
        <f>IF(Table1[[#This Row],[Salary]]="",AVERAGE(Table1[Salary]),Table1[[#This Row],[Salary]])</f>
        <v>51405.46</v>
      </c>
      <c r="I467" s="3" t="s">
        <v>63</v>
      </c>
      <c r="J467" s="3">
        <f>ABS(Table1[[#This Row],[Phone]])</f>
        <v>4967066702</v>
      </c>
      <c r="K467" s="3" t="str">
        <f>PROPER(TRIM(Table1[[#This Row],[Performance_Score]]))</f>
        <v>Average</v>
      </c>
      <c r="L467" s="3" t="b">
        <f>Table1[[#This Row],[Remote_Work]]</f>
        <v>1</v>
      </c>
      <c r="M467" s="3" t="str">
        <f>PROPER(CONCATENATE(Table13[[#This Row],[First_Name]], Table13[[#This Row],[Last_Name]]))</f>
        <v>Daviddavis</v>
      </c>
      <c r="N467" s="3" t="str">
        <f t="shared" si="7"/>
        <v>Aug</v>
      </c>
      <c r="O467" s="3" t="str">
        <f>TEXT(Table13[[#This Row],[Join_Date]],"yyyy")</f>
        <v>2021</v>
      </c>
      <c r="P467" s="3" t="str">
        <f>LEFT('Main Project Raw Data'!E467,FIND("-",'Main Project Raw Data'!E467)-1)</f>
        <v>Finance</v>
      </c>
      <c r="Q467" s="3" t="str">
        <f>RIGHT('Main Project Raw Data'!E467,LEN('Main Project Raw Data'!E467)-FIND("-",'Main Project Raw Data'!E467))</f>
        <v>Texas</v>
      </c>
    </row>
    <row r="468" spans="1:17" x14ac:dyDescent="0.3">
      <c r="A468" s="3" t="str">
        <f>TRIM(Table1[[#This Row],[Employee_ID]])</f>
        <v>EMP1466</v>
      </c>
      <c r="B468" s="3" t="str">
        <f>TRIM(Table1[[#This Row],[First_Name]])</f>
        <v>Bob</v>
      </c>
      <c r="C468" s="3" t="str">
        <f>TRIM(Table1[[#This Row],[Last_Name]])</f>
        <v>Garcia</v>
      </c>
      <c r="D468" s="3">
        <f>IF(Table1[[#This Row],[Age]]="",AVERAGE(Table1[Age]),Table1[[#This Row],[Age]])</f>
        <v>25</v>
      </c>
      <c r="E468" s="3" t="s">
        <v>66</v>
      </c>
      <c r="F468" s="3" t="s">
        <v>33</v>
      </c>
      <c r="G468" s="5">
        <f>IF(ISNUMBER('Main Project Raw Data'!G468),'Main Project Raw Data'!G468,IF(ISNUMBER(SEARCH("/",'Main Project Raw Data'!G468)),DATE(RIGHT('Main Project Raw Data'!G468,4),LEFT('Main Project Raw Data'!G468,FIND("/",'Main Project Raw Data'!G468)-1),MID('Main Project Raw Data'!G468,FIND("/",'Main Project Raw Data'!G468)+1,2)),DATE(RIGHT('Main Project Raw Data'!G468,4),MID('Main Project Raw Data'!G468,4,2),LEFT('Main Project Raw Data'!G468,2))))</f>
        <v>44160</v>
      </c>
      <c r="H468" s="3">
        <f>IF(Table1[[#This Row],[Salary]]="",AVERAGE(Table1[Salary]),Table1[[#This Row],[Salary]])</f>
        <v>101238.96</v>
      </c>
      <c r="I468" s="3" t="s">
        <v>153</v>
      </c>
      <c r="J468" s="3">
        <f>ABS(Table1[[#This Row],[Phone]])</f>
        <v>3626804084</v>
      </c>
      <c r="K468" s="3" t="str">
        <f>PROPER(TRIM(Table1[[#This Row],[Performance_Score]]))</f>
        <v>Average</v>
      </c>
      <c r="L468" s="3" t="b">
        <f>Table1[[#This Row],[Remote_Work]]</f>
        <v>1</v>
      </c>
      <c r="M468" s="3" t="str">
        <f>PROPER(CONCATENATE(Table13[[#This Row],[First_Name]], Table13[[#This Row],[Last_Name]]))</f>
        <v>Bobgarcia</v>
      </c>
      <c r="N468" s="3" t="str">
        <f t="shared" si="7"/>
        <v>Nov</v>
      </c>
      <c r="O468" s="3" t="str">
        <f>TEXT(Table13[[#This Row],[Join_Date]],"yyyy")</f>
        <v>2020</v>
      </c>
      <c r="P468" s="3" t="str">
        <f>LEFT('Main Project Raw Data'!E468,FIND("-",'Main Project Raw Data'!E468)-1)</f>
        <v>HR</v>
      </c>
      <c r="Q468" s="3" t="str">
        <f>RIGHT('Main Project Raw Data'!E468,LEN('Main Project Raw Data'!E468)-FIND("-",'Main Project Raw Data'!E468))</f>
        <v>New York</v>
      </c>
    </row>
    <row r="469" spans="1:17" x14ac:dyDescent="0.3">
      <c r="A469" s="3" t="str">
        <f>TRIM(Table1[[#This Row],[Employee_ID]])</f>
        <v>EMP1467</v>
      </c>
      <c r="B469" s="3" t="str">
        <f>TRIM(Table1[[#This Row],[First_Name]])</f>
        <v>Bob</v>
      </c>
      <c r="C469" s="3" t="str">
        <f>TRIM(Table1[[#This Row],[Last_Name]])</f>
        <v>Smith</v>
      </c>
      <c r="D469" s="3">
        <f>IF(Table1[[#This Row],[Age]]="",AVERAGE(Table1[Age]),Table1[[#This Row],[Age]])</f>
        <v>35</v>
      </c>
      <c r="E469" s="3" t="s">
        <v>98</v>
      </c>
      <c r="F469" s="3" t="s">
        <v>33</v>
      </c>
      <c r="G469" s="5">
        <f>IF(ISNUMBER('Main Project Raw Data'!G469),'Main Project Raw Data'!G469,IF(ISNUMBER(SEARCH("/",'Main Project Raw Data'!G469)),DATE(RIGHT('Main Project Raw Data'!G469,4),LEFT('Main Project Raw Data'!G469,FIND("/",'Main Project Raw Data'!G469)-1),MID('Main Project Raw Data'!G469,FIND("/",'Main Project Raw Data'!G469)+1,2)),DATE(RIGHT('Main Project Raw Data'!G469,4),MID('Main Project Raw Data'!G469,4,2),LEFT('Main Project Raw Data'!G469,2))))</f>
        <v>45273</v>
      </c>
      <c r="H469" s="3">
        <f>IF(Table1[[#This Row],[Salary]]="",AVERAGE(Table1[Salary]),Table1[[#This Row],[Salary]])</f>
        <v>52169.52</v>
      </c>
      <c r="I469" s="3" t="s">
        <v>123</v>
      </c>
      <c r="J469" s="3">
        <f>ABS(Table1[[#This Row],[Phone]])</f>
        <v>954930595</v>
      </c>
      <c r="K469" s="3" t="str">
        <f>PROPER(TRIM(Table1[[#This Row],[Performance_Score]]))</f>
        <v>Excellent</v>
      </c>
      <c r="L469" s="3" t="b">
        <f>Table1[[#This Row],[Remote_Work]]</f>
        <v>0</v>
      </c>
      <c r="M469" s="3" t="str">
        <f>PROPER(CONCATENATE(Table13[[#This Row],[First_Name]], Table13[[#This Row],[Last_Name]]))</f>
        <v>Bobsmith</v>
      </c>
      <c r="N469" s="3" t="str">
        <f t="shared" si="7"/>
        <v>Dec</v>
      </c>
      <c r="O469" s="3" t="str">
        <f>TEXT(Table13[[#This Row],[Join_Date]],"yyyy")</f>
        <v>2023</v>
      </c>
      <c r="P469" s="3" t="str">
        <f>LEFT('Main Project Raw Data'!E469,FIND("-",'Main Project Raw Data'!E469)-1)</f>
        <v>Sales</v>
      </c>
      <c r="Q469" s="3" t="str">
        <f>RIGHT('Main Project Raw Data'!E469,LEN('Main Project Raw Data'!E469)-FIND("-",'Main Project Raw Data'!E469))</f>
        <v>Illinois</v>
      </c>
    </row>
    <row r="470" spans="1:17" x14ac:dyDescent="0.3">
      <c r="A470" s="3" t="str">
        <f>TRIM(Table1[[#This Row],[Employee_ID]])</f>
        <v>EMP1468</v>
      </c>
      <c r="B470" s="3" t="str">
        <f>TRIM(Table1[[#This Row],[First_Name]])</f>
        <v>Charlie</v>
      </c>
      <c r="C470" s="3" t="str">
        <f>TRIM(Table1[[#This Row],[Last_Name]])</f>
        <v>Jones</v>
      </c>
      <c r="D470" s="3">
        <f>IF(Table1[[#This Row],[Age]]="",AVERAGE(Table1[Age]),Table1[[#This Row],[Age]])</f>
        <v>32.484548825710753</v>
      </c>
      <c r="E470" s="3" t="s">
        <v>227</v>
      </c>
      <c r="F470" s="3" t="s">
        <v>16</v>
      </c>
      <c r="G470" s="5">
        <f>IF(ISNUMBER('Main Project Raw Data'!G470),'Main Project Raw Data'!G470,IF(ISNUMBER(SEARCH("/",'Main Project Raw Data'!G470)),DATE(RIGHT('Main Project Raw Data'!G470,4),LEFT('Main Project Raw Data'!G470,FIND("/",'Main Project Raw Data'!G470)-1),MID('Main Project Raw Data'!G470,FIND("/",'Main Project Raw Data'!G470)+1,2)),DATE(RIGHT('Main Project Raw Data'!G470,4),MID('Main Project Raw Data'!G470,4,2),LEFT('Main Project Raw Data'!G470,2))))</f>
        <v>44038</v>
      </c>
      <c r="H470" s="3">
        <f>IF(Table1[[#This Row],[Salary]]="",AVERAGE(Table1[Salary]),Table1[[#This Row],[Salary]])</f>
        <v>73176.62</v>
      </c>
      <c r="I470" s="3" t="s">
        <v>120</v>
      </c>
      <c r="J470" s="3">
        <f>ABS(Table1[[#This Row],[Phone]])</f>
        <v>6018648768</v>
      </c>
      <c r="K470" s="3" t="str">
        <f>PROPER(TRIM(Table1[[#This Row],[Performance_Score]]))</f>
        <v>Excellent</v>
      </c>
      <c r="L470" s="3" t="b">
        <f>Table1[[#This Row],[Remote_Work]]</f>
        <v>0</v>
      </c>
      <c r="M470" s="3" t="str">
        <f>PROPER(CONCATENATE(Table13[[#This Row],[First_Name]], Table13[[#This Row],[Last_Name]]))</f>
        <v>Charliejones</v>
      </c>
      <c r="N470" s="3" t="str">
        <f t="shared" si="7"/>
        <v>Jul</v>
      </c>
      <c r="O470" s="3" t="str">
        <f>TEXT(Table13[[#This Row],[Join_Date]],"yyyy")</f>
        <v>2020</v>
      </c>
      <c r="P470" s="3" t="str">
        <f>LEFT('Main Project Raw Data'!E470,FIND("-",'Main Project Raw Data'!E470)-1)</f>
        <v>Finance</v>
      </c>
      <c r="Q470" s="3" t="str">
        <f>RIGHT('Main Project Raw Data'!E470,LEN('Main Project Raw Data'!E470)-FIND("-",'Main Project Raw Data'!E470))</f>
        <v>New York</v>
      </c>
    </row>
    <row r="471" spans="1:17" x14ac:dyDescent="0.3">
      <c r="A471" s="3" t="str">
        <f>TRIM(Table1[[#This Row],[Employee_ID]])</f>
        <v>EMP1469</v>
      </c>
      <c r="B471" s="3" t="str">
        <f>TRIM(Table1[[#This Row],[First_Name]])</f>
        <v>Grace</v>
      </c>
      <c r="C471" s="3" t="str">
        <f>TRIM(Table1[[#This Row],[Last_Name]])</f>
        <v>Brown</v>
      </c>
      <c r="D471" s="3">
        <f>IF(Table1[[#This Row],[Age]]="",AVERAGE(Table1[Age]),Table1[[#This Row],[Age]])</f>
        <v>32.484548825710753</v>
      </c>
      <c r="E471" s="3" t="s">
        <v>328</v>
      </c>
      <c r="F471" s="3" t="s">
        <v>28</v>
      </c>
      <c r="G471" s="5">
        <f>IF(ISNUMBER('Main Project Raw Data'!G471),'Main Project Raw Data'!G471,IF(ISNUMBER(SEARCH("/",'Main Project Raw Data'!G471)),DATE(RIGHT('Main Project Raw Data'!G471,4),LEFT('Main Project Raw Data'!G471,FIND("/",'Main Project Raw Data'!G471)-1),MID('Main Project Raw Data'!G471,FIND("/",'Main Project Raw Data'!G471)+1,2)),DATE(RIGHT('Main Project Raw Data'!G471,4),MID('Main Project Raw Data'!G471,4,2),LEFT('Main Project Raw Data'!G471,2))))</f>
        <v>44374</v>
      </c>
      <c r="H471" s="3">
        <f>IF(Table1[[#This Row],[Salary]]="",AVERAGE(Table1[Salary]),Table1[[#This Row],[Salary]])</f>
        <v>96241.85</v>
      </c>
      <c r="I471" s="3" t="s">
        <v>201</v>
      </c>
      <c r="J471" s="3">
        <f>ABS(Table1[[#This Row],[Phone]])</f>
        <v>9842673203</v>
      </c>
      <c r="K471" s="3" t="str">
        <f>PROPER(TRIM(Table1[[#This Row],[Performance_Score]]))</f>
        <v>Excellent</v>
      </c>
      <c r="L471" s="3" t="b">
        <f>Table1[[#This Row],[Remote_Work]]</f>
        <v>0</v>
      </c>
      <c r="M471" s="3" t="str">
        <f>PROPER(CONCATENATE(Table13[[#This Row],[First_Name]], Table13[[#This Row],[Last_Name]]))</f>
        <v>Gracebrown</v>
      </c>
      <c r="N471" s="3" t="str">
        <f t="shared" si="7"/>
        <v>Jun</v>
      </c>
      <c r="O471" s="3" t="str">
        <f>TEXT(Table13[[#This Row],[Join_Date]],"yyyy")</f>
        <v>2021</v>
      </c>
      <c r="P471" s="3" t="str">
        <f>LEFT('Main Project Raw Data'!E471,FIND("-",'Main Project Raw Data'!E471)-1)</f>
        <v>DevOps</v>
      </c>
      <c r="Q471" s="3" t="str">
        <f>RIGHT('Main Project Raw Data'!E471,LEN('Main Project Raw Data'!E471)-FIND("-",'Main Project Raw Data'!E471))</f>
        <v>Nevada</v>
      </c>
    </row>
    <row r="472" spans="1:17" x14ac:dyDescent="0.3">
      <c r="A472" s="3" t="str">
        <f>TRIM(Table1[[#This Row],[Employee_ID]])</f>
        <v>EMP1470</v>
      </c>
      <c r="B472" s="3" t="str">
        <f>TRIM(Table1[[#This Row],[First_Name]])</f>
        <v>Bob</v>
      </c>
      <c r="C472" s="3" t="str">
        <f>TRIM(Table1[[#This Row],[Last_Name]])</f>
        <v>Jones</v>
      </c>
      <c r="D472" s="3">
        <f>IF(Table1[[#This Row],[Age]]="",AVERAGE(Table1[Age]),Table1[[#This Row],[Age]])</f>
        <v>25</v>
      </c>
      <c r="E472" s="3" t="s">
        <v>265</v>
      </c>
      <c r="F472" s="3" t="s">
        <v>28</v>
      </c>
      <c r="G472" s="5">
        <f>IF(ISNUMBER('Main Project Raw Data'!G472),'Main Project Raw Data'!G472,IF(ISNUMBER(SEARCH("/",'Main Project Raw Data'!G472)),DATE(RIGHT('Main Project Raw Data'!G472,4),LEFT('Main Project Raw Data'!G472,FIND("/",'Main Project Raw Data'!G472)-1),MID('Main Project Raw Data'!G472,FIND("/",'Main Project Raw Data'!G472)+1,2)),DATE(RIGHT('Main Project Raw Data'!G472,4),MID('Main Project Raw Data'!G472,4,2),LEFT('Main Project Raw Data'!G472,2))))</f>
        <v>45551</v>
      </c>
      <c r="H472" s="3">
        <f>IF(Table1[[#This Row],[Salary]]="",AVERAGE(Table1[Salary]),Table1[[#This Row],[Salary]])</f>
        <v>84366.38</v>
      </c>
      <c r="I472" s="3" t="s">
        <v>50</v>
      </c>
      <c r="J472" s="3">
        <f>ABS(Table1[[#This Row],[Phone]])</f>
        <v>4138459608</v>
      </c>
      <c r="K472" s="3" t="str">
        <f>PROPER(TRIM(Table1[[#This Row],[Performance_Score]]))</f>
        <v>Excellent</v>
      </c>
      <c r="L472" s="3" t="b">
        <f>Table1[[#This Row],[Remote_Work]]</f>
        <v>0</v>
      </c>
      <c r="M472" s="3" t="str">
        <f>PROPER(CONCATENATE(Table13[[#This Row],[First_Name]], Table13[[#This Row],[Last_Name]]))</f>
        <v>Bobjones</v>
      </c>
      <c r="N472" s="3" t="str">
        <f t="shared" si="7"/>
        <v>Sep</v>
      </c>
      <c r="O472" s="3" t="str">
        <f>TEXT(Table13[[#This Row],[Join_Date]],"yyyy")</f>
        <v>2024</v>
      </c>
      <c r="P472" s="3" t="str">
        <f>LEFT('Main Project Raw Data'!E472,FIND("-",'Main Project Raw Data'!E472)-1)</f>
        <v>Finance</v>
      </c>
      <c r="Q472" s="3" t="str">
        <f>RIGHT('Main Project Raw Data'!E472,LEN('Main Project Raw Data'!E472)-FIND("-",'Main Project Raw Data'!E472))</f>
        <v>Illinois</v>
      </c>
    </row>
    <row r="473" spans="1:17" x14ac:dyDescent="0.3">
      <c r="A473" s="3" t="str">
        <f>TRIM(Table1[[#This Row],[Employee_ID]])</f>
        <v>EMP1471</v>
      </c>
      <c r="B473" s="3" t="str">
        <f>TRIM(Table1[[#This Row],[First_Name]])</f>
        <v>Alice</v>
      </c>
      <c r="C473" s="3" t="str">
        <f>TRIM(Table1[[#This Row],[Last_Name]])</f>
        <v>Garcia</v>
      </c>
      <c r="D473" s="3">
        <f>IF(Table1[[#This Row],[Age]]="",AVERAGE(Table1[Age]),Table1[[#This Row],[Age]])</f>
        <v>40</v>
      </c>
      <c r="E473" s="3" t="s">
        <v>268</v>
      </c>
      <c r="F473" s="3" t="s">
        <v>28</v>
      </c>
      <c r="G473" s="5">
        <f>IF(ISNUMBER('Main Project Raw Data'!G473),'Main Project Raw Data'!G473,IF(ISNUMBER(SEARCH("/",'Main Project Raw Data'!G473)),DATE(RIGHT('Main Project Raw Data'!G473,4),LEFT('Main Project Raw Data'!G473,FIND("/",'Main Project Raw Data'!G473)-1),MID('Main Project Raw Data'!G473,FIND("/",'Main Project Raw Data'!G473)+1,2)),DATE(RIGHT('Main Project Raw Data'!G473,4),MID('Main Project Raw Data'!G473,4,2),LEFT('Main Project Raw Data'!G473,2))))</f>
        <v>45023</v>
      </c>
      <c r="H473" s="3">
        <f>IF(Table1[[#This Row],[Salary]]="",AVERAGE(Table1[Salary]),Table1[[#This Row],[Salary]])</f>
        <v>92015.09</v>
      </c>
      <c r="I473" s="3" t="s">
        <v>45</v>
      </c>
      <c r="J473" s="3">
        <f>ABS(Table1[[#This Row],[Phone]])</f>
        <v>4544901494</v>
      </c>
      <c r="K473" s="3" t="str">
        <f>PROPER(TRIM(Table1[[#This Row],[Performance_Score]]))</f>
        <v>Average</v>
      </c>
      <c r="L473" s="3" t="b">
        <f>Table1[[#This Row],[Remote_Work]]</f>
        <v>1</v>
      </c>
      <c r="M473" s="3" t="str">
        <f>PROPER(CONCATENATE(Table13[[#This Row],[First_Name]], Table13[[#This Row],[Last_Name]]))</f>
        <v>Alicegarcia</v>
      </c>
      <c r="N473" s="3" t="str">
        <f t="shared" si="7"/>
        <v>Apr</v>
      </c>
      <c r="O473" s="3" t="str">
        <f>TEXT(Table13[[#This Row],[Join_Date]],"yyyy")</f>
        <v>2023</v>
      </c>
      <c r="P473" s="3" t="str">
        <f>LEFT('Main Project Raw Data'!E473,FIND("-",'Main Project Raw Data'!E473)-1)</f>
        <v>Cloud Tech</v>
      </c>
      <c r="Q473" s="3" t="str">
        <f>RIGHT('Main Project Raw Data'!E473,LEN('Main Project Raw Data'!E473)-FIND("-",'Main Project Raw Data'!E473))</f>
        <v>California</v>
      </c>
    </row>
    <row r="474" spans="1:17" x14ac:dyDescent="0.3">
      <c r="A474" s="3" t="str">
        <f>TRIM(Table1[[#This Row],[Employee_ID]])</f>
        <v>EMP1472</v>
      </c>
      <c r="B474" s="3" t="str">
        <f>TRIM(Table1[[#This Row],[First_Name]])</f>
        <v>Alice</v>
      </c>
      <c r="C474" s="3" t="str">
        <f>TRIM(Table1[[#This Row],[Last_Name]])</f>
        <v>Williams</v>
      </c>
      <c r="D474" s="3">
        <f>IF(Table1[[#This Row],[Age]]="",AVERAGE(Table1[Age]),Table1[[#This Row],[Age]])</f>
        <v>30</v>
      </c>
      <c r="E474" s="3" t="s">
        <v>27</v>
      </c>
      <c r="F474" s="3" t="s">
        <v>33</v>
      </c>
      <c r="G474" s="5">
        <f>IF(ISNUMBER('Main Project Raw Data'!G474),'Main Project Raw Data'!G474,IF(ISNUMBER(SEARCH("/",'Main Project Raw Data'!G474)),DATE(RIGHT('Main Project Raw Data'!G474,4),LEFT('Main Project Raw Data'!G474,FIND("/",'Main Project Raw Data'!G474)-1),MID('Main Project Raw Data'!G474,FIND("/",'Main Project Raw Data'!G474)+1,2)),DATE(RIGHT('Main Project Raw Data'!G474,4),MID('Main Project Raw Data'!G474,4,2),LEFT('Main Project Raw Data'!G474,2))))</f>
        <v>43998</v>
      </c>
      <c r="H474" s="3">
        <f>IF(Table1[[#This Row],[Salary]]="",AVERAGE(Table1[Salary]),Table1[[#This Row],[Salary]])</f>
        <v>83149.95</v>
      </c>
      <c r="I474" s="3" t="s">
        <v>362</v>
      </c>
      <c r="J474" s="3">
        <f>ABS(Table1[[#This Row],[Phone]])</f>
        <v>4277070704</v>
      </c>
      <c r="K474" s="3" t="str">
        <f>PROPER(TRIM(Table1[[#This Row],[Performance_Score]]))</f>
        <v>Average</v>
      </c>
      <c r="L474" s="3" t="b">
        <f>Table1[[#This Row],[Remote_Work]]</f>
        <v>0</v>
      </c>
      <c r="M474" s="3" t="str">
        <f>PROPER(CONCATENATE(Table13[[#This Row],[First_Name]], Table13[[#This Row],[Last_Name]]))</f>
        <v>Alicewilliams</v>
      </c>
      <c r="N474" s="3" t="str">
        <f t="shared" si="7"/>
        <v>Jun</v>
      </c>
      <c r="O474" s="3" t="str">
        <f>TEXT(Table13[[#This Row],[Join_Date]],"yyyy")</f>
        <v>2020</v>
      </c>
      <c r="P474" s="3" t="str">
        <f>LEFT('Main Project Raw Data'!E474,FIND("-",'Main Project Raw Data'!E474)-1)</f>
        <v>Admin</v>
      </c>
      <c r="Q474" s="3" t="str">
        <f>RIGHT('Main Project Raw Data'!E474,LEN('Main Project Raw Data'!E474)-FIND("-",'Main Project Raw Data'!E474))</f>
        <v>Nevada</v>
      </c>
    </row>
    <row r="475" spans="1:17" x14ac:dyDescent="0.3">
      <c r="A475" s="3" t="str">
        <f>TRIM(Table1[[#This Row],[Employee_ID]])</f>
        <v>EMP1473</v>
      </c>
      <c r="B475" s="3" t="str">
        <f>TRIM(Table1[[#This Row],[First_Name]])</f>
        <v>Grace</v>
      </c>
      <c r="C475" s="3" t="str">
        <f>TRIM(Table1[[#This Row],[Last_Name]])</f>
        <v>Brown</v>
      </c>
      <c r="D475" s="3">
        <f>IF(Table1[[#This Row],[Age]]="",AVERAGE(Table1[Age]),Table1[[#This Row],[Age]])</f>
        <v>40</v>
      </c>
      <c r="E475" s="3" t="s">
        <v>100</v>
      </c>
      <c r="F475" s="3" t="s">
        <v>33</v>
      </c>
      <c r="G475" s="5">
        <f>IF(ISNUMBER('Main Project Raw Data'!G475),'Main Project Raw Data'!G475,IF(ISNUMBER(SEARCH("/",'Main Project Raw Data'!G475)),DATE(RIGHT('Main Project Raw Data'!G475,4),LEFT('Main Project Raw Data'!G475,FIND("/",'Main Project Raw Data'!G475)-1),MID('Main Project Raw Data'!G475,FIND("/",'Main Project Raw Data'!G475)+1,2)),DATE(RIGHT('Main Project Raw Data'!G475,4),MID('Main Project Raw Data'!G475,4,2),LEFT('Main Project Raw Data'!G475,2))))</f>
        <v>43958</v>
      </c>
      <c r="H475" s="3">
        <f>IF(Table1[[#This Row],[Salary]]="",AVERAGE(Table1[Salary]),Table1[[#This Row],[Salary]])</f>
        <v>94930.65</v>
      </c>
      <c r="I475" s="3" t="s">
        <v>201</v>
      </c>
      <c r="J475" s="3">
        <f>ABS(Table1[[#This Row],[Phone]])</f>
        <v>7836091497</v>
      </c>
      <c r="K475" s="3" t="str">
        <f>PROPER(TRIM(Table1[[#This Row],[Performance_Score]]))</f>
        <v>Good</v>
      </c>
      <c r="L475" s="3" t="b">
        <f>Table1[[#This Row],[Remote_Work]]</f>
        <v>0</v>
      </c>
      <c r="M475" s="3" t="str">
        <f>PROPER(CONCATENATE(Table13[[#This Row],[First_Name]], Table13[[#This Row],[Last_Name]]))</f>
        <v>Gracebrown</v>
      </c>
      <c r="N475" s="3" t="str">
        <f t="shared" si="7"/>
        <v>May</v>
      </c>
      <c r="O475" s="3" t="str">
        <f>TEXT(Table13[[#This Row],[Join_Date]],"yyyy")</f>
        <v>2020</v>
      </c>
      <c r="P475" s="3" t="str">
        <f>LEFT('Main Project Raw Data'!E475,FIND("-",'Main Project Raw Data'!E475)-1)</f>
        <v>Finance</v>
      </c>
      <c r="Q475" s="3" t="str">
        <f>RIGHT('Main Project Raw Data'!E475,LEN('Main Project Raw Data'!E475)-FIND("-",'Main Project Raw Data'!E475))</f>
        <v>Nevada</v>
      </c>
    </row>
    <row r="476" spans="1:17" x14ac:dyDescent="0.3">
      <c r="A476" s="3" t="str">
        <f>TRIM(Table1[[#This Row],[Employee_ID]])</f>
        <v>EMP1474</v>
      </c>
      <c r="B476" s="3" t="str">
        <f>TRIM(Table1[[#This Row],[First_Name]])</f>
        <v>Frank</v>
      </c>
      <c r="C476" s="3" t="str">
        <f>TRIM(Table1[[#This Row],[Last_Name]])</f>
        <v>Williams</v>
      </c>
      <c r="D476" s="3">
        <f>IF(Table1[[#This Row],[Age]]="",AVERAGE(Table1[Age]),Table1[[#This Row],[Age]])</f>
        <v>40</v>
      </c>
      <c r="E476" s="3" t="s">
        <v>66</v>
      </c>
      <c r="F476" s="3" t="s">
        <v>33</v>
      </c>
      <c r="G476" s="5">
        <f>IF(ISNUMBER('Main Project Raw Data'!G476),'Main Project Raw Data'!G476,IF(ISNUMBER(SEARCH("/",'Main Project Raw Data'!G476)),DATE(RIGHT('Main Project Raw Data'!G476,4),LEFT('Main Project Raw Data'!G476,FIND("/",'Main Project Raw Data'!G476)-1),MID('Main Project Raw Data'!G476,FIND("/",'Main Project Raw Data'!G476)+1,2)),DATE(RIGHT('Main Project Raw Data'!G476,4),MID('Main Project Raw Data'!G476,4,2),LEFT('Main Project Raw Data'!G476,2))))</f>
        <v>43834</v>
      </c>
      <c r="H476" s="3">
        <f>IF(Table1[[#This Row],[Salary]]="",AVERAGE(Table1[Salary]),Table1[[#This Row],[Salary]])</f>
        <v>68430.720000000001</v>
      </c>
      <c r="I476" s="3" t="s">
        <v>40</v>
      </c>
      <c r="J476" s="3">
        <f>ABS(Table1[[#This Row],[Phone]])</f>
        <v>5172444722</v>
      </c>
      <c r="K476" s="3" t="str">
        <f>PROPER(TRIM(Table1[[#This Row],[Performance_Score]]))</f>
        <v>Good</v>
      </c>
      <c r="L476" s="3" t="b">
        <f>Table1[[#This Row],[Remote_Work]]</f>
        <v>1</v>
      </c>
      <c r="M476" s="3" t="str">
        <f>PROPER(CONCATENATE(Table13[[#This Row],[First_Name]], Table13[[#This Row],[Last_Name]]))</f>
        <v>Frankwilliams</v>
      </c>
      <c r="N476" s="3" t="str">
        <f t="shared" si="7"/>
        <v>Jan</v>
      </c>
      <c r="O476" s="3" t="str">
        <f>TEXT(Table13[[#This Row],[Join_Date]],"yyyy")</f>
        <v>2020</v>
      </c>
      <c r="P476" s="3" t="str">
        <f>LEFT('Main Project Raw Data'!E476,FIND("-",'Main Project Raw Data'!E476)-1)</f>
        <v>HR</v>
      </c>
      <c r="Q476" s="3" t="str">
        <f>RIGHT('Main Project Raw Data'!E476,LEN('Main Project Raw Data'!E476)-FIND("-",'Main Project Raw Data'!E476))</f>
        <v>New York</v>
      </c>
    </row>
    <row r="477" spans="1:17" x14ac:dyDescent="0.3">
      <c r="A477" s="3" t="str">
        <f>TRIM(Table1[[#This Row],[Employee_ID]])</f>
        <v>EMP1475</v>
      </c>
      <c r="B477" s="3" t="str">
        <f>TRIM(Table1[[#This Row],[First_Name]])</f>
        <v>David</v>
      </c>
      <c r="C477" s="3" t="str">
        <f>TRIM(Table1[[#This Row],[Last_Name]])</f>
        <v>Garcia</v>
      </c>
      <c r="D477" s="3">
        <f>IF(Table1[[#This Row],[Age]]="",AVERAGE(Table1[Age]),Table1[[#This Row],[Age]])</f>
        <v>35</v>
      </c>
      <c r="E477" s="3" t="s">
        <v>44</v>
      </c>
      <c r="F477" s="3" t="s">
        <v>16</v>
      </c>
      <c r="G477" s="5">
        <f>IF(ISNUMBER('Main Project Raw Data'!G477),'Main Project Raw Data'!G477,IF(ISNUMBER(SEARCH("/",'Main Project Raw Data'!G477)),DATE(RIGHT('Main Project Raw Data'!G477,4),LEFT('Main Project Raw Data'!G477,FIND("/",'Main Project Raw Data'!G477)-1),MID('Main Project Raw Data'!G477,FIND("/",'Main Project Raw Data'!G477)+1,2)),DATE(RIGHT('Main Project Raw Data'!G477,4),MID('Main Project Raw Data'!G477,4,2),LEFT('Main Project Raw Data'!G477,2))))</f>
        <v>45371</v>
      </c>
      <c r="H477" s="3">
        <f>IF(Table1[[#This Row],[Salary]]="",AVERAGE(Table1[Salary]),Table1[[#This Row],[Salary]])</f>
        <v>98752.97</v>
      </c>
      <c r="I477" s="3" t="s">
        <v>101</v>
      </c>
      <c r="J477" s="3">
        <f>ABS(Table1[[#This Row],[Phone]])</f>
        <v>2290310286</v>
      </c>
      <c r="K477" s="3" t="str">
        <f>PROPER(TRIM(Table1[[#This Row],[Performance_Score]]))</f>
        <v>Excellent</v>
      </c>
      <c r="L477" s="3" t="b">
        <f>Table1[[#This Row],[Remote_Work]]</f>
        <v>0</v>
      </c>
      <c r="M477" s="3" t="str">
        <f>PROPER(CONCATENATE(Table13[[#This Row],[First_Name]], Table13[[#This Row],[Last_Name]]))</f>
        <v>Davidgarcia</v>
      </c>
      <c r="N477" s="3" t="str">
        <f t="shared" si="7"/>
        <v>Mar</v>
      </c>
      <c r="O477" s="3" t="str">
        <f>TEXT(Table13[[#This Row],[Join_Date]],"yyyy")</f>
        <v>2024</v>
      </c>
      <c r="P477" s="3" t="str">
        <f>LEFT('Main Project Raw Data'!E477,FIND("-",'Main Project Raw Data'!E477)-1)</f>
        <v>Sales</v>
      </c>
      <c r="Q477" s="3" t="str">
        <f>RIGHT('Main Project Raw Data'!E477,LEN('Main Project Raw Data'!E477)-FIND("-",'Main Project Raw Data'!E477))</f>
        <v>Texas</v>
      </c>
    </row>
    <row r="478" spans="1:17" x14ac:dyDescent="0.3">
      <c r="A478" s="3" t="str">
        <f>TRIM(Table1[[#This Row],[Employee_ID]])</f>
        <v>EMP1476</v>
      </c>
      <c r="B478" s="3" t="str">
        <f>TRIM(Table1[[#This Row],[First_Name]])</f>
        <v>Frank</v>
      </c>
      <c r="C478" s="3" t="str">
        <f>TRIM(Table1[[#This Row],[Last_Name]])</f>
        <v>Smith</v>
      </c>
      <c r="D478" s="3">
        <f>IF(Table1[[#This Row],[Age]]="",AVERAGE(Table1[Age]),Table1[[#This Row],[Age]])</f>
        <v>32.484548825710753</v>
      </c>
      <c r="E478" s="3" t="s">
        <v>265</v>
      </c>
      <c r="F478" s="3" t="s">
        <v>16</v>
      </c>
      <c r="G478" s="5">
        <f>IF(ISNUMBER('Main Project Raw Data'!G478),'Main Project Raw Data'!G478,IF(ISNUMBER(SEARCH("/",'Main Project Raw Data'!G478)),DATE(RIGHT('Main Project Raw Data'!G478,4),LEFT('Main Project Raw Data'!G478,FIND("/",'Main Project Raw Data'!G478)-1),MID('Main Project Raw Data'!G478,FIND("/",'Main Project Raw Data'!G478)+1,2)),DATE(RIGHT('Main Project Raw Data'!G478,4),MID('Main Project Raw Data'!G478,4,2),LEFT('Main Project Raw Data'!G478,2))))</f>
        <v>45109</v>
      </c>
      <c r="H478" s="3">
        <f>IF(Table1[[#This Row],[Salary]]="",AVERAGE(Table1[Salary]),Table1[[#This Row],[Salary]])</f>
        <v>54268.86</v>
      </c>
      <c r="I478" s="3" t="s">
        <v>137</v>
      </c>
      <c r="J478" s="3">
        <f>ABS(Table1[[#This Row],[Phone]])</f>
        <v>9508304404</v>
      </c>
      <c r="K478" s="3" t="str">
        <f>PROPER(TRIM(Table1[[#This Row],[Performance_Score]]))</f>
        <v>Poor</v>
      </c>
      <c r="L478" s="3" t="b">
        <f>Table1[[#This Row],[Remote_Work]]</f>
        <v>1</v>
      </c>
      <c r="M478" s="3" t="str">
        <f>PROPER(CONCATENATE(Table13[[#This Row],[First_Name]], Table13[[#This Row],[Last_Name]]))</f>
        <v>Franksmith</v>
      </c>
      <c r="N478" s="3" t="str">
        <f t="shared" si="7"/>
        <v>Jul</v>
      </c>
      <c r="O478" s="3" t="str">
        <f>TEXT(Table13[[#This Row],[Join_Date]],"yyyy")</f>
        <v>2023</v>
      </c>
      <c r="P478" s="3" t="str">
        <f>LEFT('Main Project Raw Data'!E478,FIND("-",'Main Project Raw Data'!E478)-1)</f>
        <v>Finance</v>
      </c>
      <c r="Q478" s="3" t="str">
        <f>RIGHT('Main Project Raw Data'!E478,LEN('Main Project Raw Data'!E478)-FIND("-",'Main Project Raw Data'!E478))</f>
        <v>Illinois</v>
      </c>
    </row>
    <row r="479" spans="1:17" x14ac:dyDescent="0.3">
      <c r="A479" s="3" t="str">
        <f>TRIM(Table1[[#This Row],[Employee_ID]])</f>
        <v>EMP1477</v>
      </c>
      <c r="B479" s="3" t="str">
        <f>TRIM(Table1[[#This Row],[First_Name]])</f>
        <v>Grace</v>
      </c>
      <c r="C479" s="3" t="str">
        <f>TRIM(Table1[[#This Row],[Last_Name]])</f>
        <v>Garcia</v>
      </c>
      <c r="D479" s="3">
        <f>IF(Table1[[#This Row],[Age]]="",AVERAGE(Table1[Age]),Table1[[#This Row],[Age]])</f>
        <v>32.484548825710753</v>
      </c>
      <c r="E479" s="3" t="s">
        <v>230</v>
      </c>
      <c r="F479" s="3" t="s">
        <v>28</v>
      </c>
      <c r="G479" s="5">
        <f>IF(ISNUMBER('Main Project Raw Data'!G479),'Main Project Raw Data'!G479,IF(ISNUMBER(SEARCH("/",'Main Project Raw Data'!G479)),DATE(RIGHT('Main Project Raw Data'!G479,4),LEFT('Main Project Raw Data'!G479,FIND("/",'Main Project Raw Data'!G479)-1),MID('Main Project Raw Data'!G479,FIND("/",'Main Project Raw Data'!G479)+1,2)),DATE(RIGHT('Main Project Raw Data'!G479,4),MID('Main Project Raw Data'!G479,4,2),LEFT('Main Project Raw Data'!G479,2))))</f>
        <v>45577</v>
      </c>
      <c r="H479" s="3">
        <f>IF(Table1[[#This Row],[Salary]]="",AVERAGE(Table1[Salary]),Table1[[#This Row],[Salary]])</f>
        <v>66494.94</v>
      </c>
      <c r="I479" s="3" t="s">
        <v>83</v>
      </c>
      <c r="J479" s="3">
        <f>ABS(Table1[[#This Row],[Phone]])</f>
        <v>8093511870</v>
      </c>
      <c r="K479" s="3" t="str">
        <f>PROPER(TRIM(Table1[[#This Row],[Performance_Score]]))</f>
        <v>Poor</v>
      </c>
      <c r="L479" s="3" t="b">
        <f>Table1[[#This Row],[Remote_Work]]</f>
        <v>0</v>
      </c>
      <c r="M479" s="3" t="str">
        <f>PROPER(CONCATENATE(Table13[[#This Row],[First_Name]], Table13[[#This Row],[Last_Name]]))</f>
        <v>Gracegarcia</v>
      </c>
      <c r="N479" s="3" t="str">
        <f t="shared" si="7"/>
        <v>Oct</v>
      </c>
      <c r="O479" s="3" t="str">
        <f>TEXT(Table13[[#This Row],[Join_Date]],"yyyy")</f>
        <v>2024</v>
      </c>
      <c r="P479" s="3" t="str">
        <f>LEFT('Main Project Raw Data'!E479,FIND("-",'Main Project Raw Data'!E479)-1)</f>
        <v>DevOps</v>
      </c>
      <c r="Q479" s="3" t="str">
        <f>RIGHT('Main Project Raw Data'!E479,LEN('Main Project Raw Data'!E479)-FIND("-",'Main Project Raw Data'!E479))</f>
        <v>Florida</v>
      </c>
    </row>
    <row r="480" spans="1:17" x14ac:dyDescent="0.3">
      <c r="A480" s="3" t="str">
        <f>TRIM(Table1[[#This Row],[Employee_ID]])</f>
        <v>EMP1478</v>
      </c>
      <c r="B480" s="3" t="str">
        <f>TRIM(Table1[[#This Row],[First_Name]])</f>
        <v>Grace</v>
      </c>
      <c r="C480" s="3" t="str">
        <f>TRIM(Table1[[#This Row],[Last_Name]])</f>
        <v>Smith</v>
      </c>
      <c r="D480" s="3">
        <f>IF(Table1[[#This Row],[Age]]="",AVERAGE(Table1[Age]),Table1[[#This Row],[Age]])</f>
        <v>25</v>
      </c>
      <c r="E480" s="3" t="s">
        <v>98</v>
      </c>
      <c r="F480" s="3" t="s">
        <v>28</v>
      </c>
      <c r="G480" s="5">
        <f>IF(ISNUMBER('Main Project Raw Data'!G480),'Main Project Raw Data'!G480,IF(ISNUMBER(SEARCH("/",'Main Project Raw Data'!G480)),DATE(RIGHT('Main Project Raw Data'!G480,4),LEFT('Main Project Raw Data'!G480,FIND("/",'Main Project Raw Data'!G480)-1),MID('Main Project Raw Data'!G480,FIND("/",'Main Project Raw Data'!G480)+1,2)),DATE(RIGHT('Main Project Raw Data'!G480,4),MID('Main Project Raw Data'!G480,4,2),LEFT('Main Project Raw Data'!G480,2))))</f>
        <v>45470</v>
      </c>
      <c r="H480" s="3">
        <f>IF(Table1[[#This Row],[Salary]]="",AVERAGE(Table1[Salary]),Table1[[#This Row],[Salary]])</f>
        <v>90003.98</v>
      </c>
      <c r="I480" s="3" t="s">
        <v>135</v>
      </c>
      <c r="J480" s="3">
        <f>ABS(Table1[[#This Row],[Phone]])</f>
        <v>8133595615</v>
      </c>
      <c r="K480" s="3" t="str">
        <f>PROPER(TRIM(Table1[[#This Row],[Performance_Score]]))</f>
        <v>Average</v>
      </c>
      <c r="L480" s="3" t="b">
        <f>Table1[[#This Row],[Remote_Work]]</f>
        <v>0</v>
      </c>
      <c r="M480" s="3" t="str">
        <f>PROPER(CONCATENATE(Table13[[#This Row],[First_Name]], Table13[[#This Row],[Last_Name]]))</f>
        <v>Gracesmith</v>
      </c>
      <c r="N480" s="3" t="str">
        <f t="shared" si="7"/>
        <v>Jun</v>
      </c>
      <c r="O480" s="3" t="str">
        <f>TEXT(Table13[[#This Row],[Join_Date]],"yyyy")</f>
        <v>2024</v>
      </c>
      <c r="P480" s="3" t="str">
        <f>LEFT('Main Project Raw Data'!E480,FIND("-",'Main Project Raw Data'!E480)-1)</f>
        <v>Sales</v>
      </c>
      <c r="Q480" s="3" t="str">
        <f>RIGHT('Main Project Raw Data'!E480,LEN('Main Project Raw Data'!E480)-FIND("-",'Main Project Raw Data'!E480))</f>
        <v>Illinois</v>
      </c>
    </row>
    <row r="481" spans="1:17" x14ac:dyDescent="0.3">
      <c r="A481" s="3" t="str">
        <f>TRIM(Table1[[#This Row],[Employee_ID]])</f>
        <v>EMP1479</v>
      </c>
      <c r="B481" s="3" t="str">
        <f>TRIM(Table1[[#This Row],[First_Name]])</f>
        <v>Charlie</v>
      </c>
      <c r="C481" s="3" t="str">
        <f>TRIM(Table1[[#This Row],[Last_Name]])</f>
        <v>Brown</v>
      </c>
      <c r="D481" s="3">
        <f>IF(Table1[[#This Row],[Age]]="",AVERAGE(Table1[Age]),Table1[[#This Row],[Age]])</f>
        <v>25</v>
      </c>
      <c r="E481" s="3" t="s">
        <v>227</v>
      </c>
      <c r="F481" s="3" t="s">
        <v>16</v>
      </c>
      <c r="G481" s="5">
        <f>IF(ISNUMBER('Main Project Raw Data'!G481),'Main Project Raw Data'!G481,IF(ISNUMBER(SEARCH("/",'Main Project Raw Data'!G481)),DATE(RIGHT('Main Project Raw Data'!G481,4),LEFT('Main Project Raw Data'!G481,FIND("/",'Main Project Raw Data'!G481)-1),MID('Main Project Raw Data'!G481,FIND("/",'Main Project Raw Data'!G481)+1,2)),DATE(RIGHT('Main Project Raw Data'!G481,4),MID('Main Project Raw Data'!G481,4,2),LEFT('Main Project Raw Data'!G481,2))))</f>
        <v>44442</v>
      </c>
      <c r="H481" s="3">
        <f>IF(Table1[[#This Row],[Salary]]="",AVERAGE(Table1[Salary]),Table1[[#This Row],[Salary]])</f>
        <v>106592.25</v>
      </c>
      <c r="I481" s="3" t="s">
        <v>125</v>
      </c>
      <c r="J481" s="3">
        <f>ABS(Table1[[#This Row],[Phone]])</f>
        <v>4205955656</v>
      </c>
      <c r="K481" s="3" t="str">
        <f>PROPER(TRIM(Table1[[#This Row],[Performance_Score]]))</f>
        <v>Average</v>
      </c>
      <c r="L481" s="3" t="b">
        <f>Table1[[#This Row],[Remote_Work]]</f>
        <v>1</v>
      </c>
      <c r="M481" s="3" t="str">
        <f>PROPER(CONCATENATE(Table13[[#This Row],[First_Name]], Table13[[#This Row],[Last_Name]]))</f>
        <v>Charliebrown</v>
      </c>
      <c r="N481" s="3" t="str">
        <f t="shared" si="7"/>
        <v>Sep</v>
      </c>
      <c r="O481" s="3" t="str">
        <f>TEXT(Table13[[#This Row],[Join_Date]],"yyyy")</f>
        <v>2021</v>
      </c>
      <c r="P481" s="3" t="str">
        <f>LEFT('Main Project Raw Data'!E481,FIND("-",'Main Project Raw Data'!E481)-1)</f>
        <v>Finance</v>
      </c>
      <c r="Q481" s="3" t="str">
        <f>RIGHT('Main Project Raw Data'!E481,LEN('Main Project Raw Data'!E481)-FIND("-",'Main Project Raw Data'!E481))</f>
        <v>New York</v>
      </c>
    </row>
    <row r="482" spans="1:17" x14ac:dyDescent="0.3">
      <c r="A482" s="3" t="str">
        <f>TRIM(Table1[[#This Row],[Employee_ID]])</f>
        <v>EMP1480</v>
      </c>
      <c r="B482" s="3" t="str">
        <f>TRIM(Table1[[#This Row],[First_Name]])</f>
        <v>Grace</v>
      </c>
      <c r="C482" s="3" t="str">
        <f>TRIM(Table1[[#This Row],[Last_Name]])</f>
        <v>Brown</v>
      </c>
      <c r="D482" s="3">
        <f>IF(Table1[[#This Row],[Age]]="",AVERAGE(Table1[Age]),Table1[[#This Row],[Age]])</f>
        <v>25</v>
      </c>
      <c r="E482" s="3" t="s">
        <v>230</v>
      </c>
      <c r="F482" s="3" t="s">
        <v>16</v>
      </c>
      <c r="G482" s="5">
        <f>IF(ISNUMBER('Main Project Raw Data'!G482),'Main Project Raw Data'!G482,IF(ISNUMBER(SEARCH("/",'Main Project Raw Data'!G482)),DATE(RIGHT('Main Project Raw Data'!G482,4),LEFT('Main Project Raw Data'!G482,FIND("/",'Main Project Raw Data'!G482)-1),MID('Main Project Raw Data'!G482,FIND("/",'Main Project Raw Data'!G482)+1,2)),DATE(RIGHT('Main Project Raw Data'!G482,4),MID('Main Project Raw Data'!G482,4,2),LEFT('Main Project Raw Data'!G482,2))))</f>
        <v>45604</v>
      </c>
      <c r="H482" s="3">
        <f>IF(Table1[[#This Row],[Salary]]="",AVERAGE(Table1[Salary]),Table1[[#This Row],[Salary]])</f>
        <v>93905.83</v>
      </c>
      <c r="I482" s="3" t="s">
        <v>201</v>
      </c>
      <c r="J482" s="3">
        <f>ABS(Table1[[#This Row],[Phone]])</f>
        <v>4902504289</v>
      </c>
      <c r="K482" s="3" t="str">
        <f>PROPER(TRIM(Table1[[#This Row],[Performance_Score]]))</f>
        <v>Average</v>
      </c>
      <c r="L482" s="3" t="b">
        <f>Table1[[#This Row],[Remote_Work]]</f>
        <v>1</v>
      </c>
      <c r="M482" s="3" t="str">
        <f>PROPER(CONCATENATE(Table13[[#This Row],[First_Name]], Table13[[#This Row],[Last_Name]]))</f>
        <v>Gracebrown</v>
      </c>
      <c r="N482" s="3" t="str">
        <f t="shared" si="7"/>
        <v>Nov</v>
      </c>
      <c r="O482" s="3" t="str">
        <f>TEXT(Table13[[#This Row],[Join_Date]],"yyyy")</f>
        <v>2024</v>
      </c>
      <c r="P482" s="3" t="str">
        <f>LEFT('Main Project Raw Data'!E482,FIND("-",'Main Project Raw Data'!E482)-1)</f>
        <v>DevOps</v>
      </c>
      <c r="Q482" s="3" t="str">
        <f>RIGHT('Main Project Raw Data'!E482,LEN('Main Project Raw Data'!E482)-FIND("-",'Main Project Raw Data'!E482))</f>
        <v>Florida</v>
      </c>
    </row>
    <row r="483" spans="1:17" x14ac:dyDescent="0.3">
      <c r="A483" s="3" t="str">
        <f>TRIM(Table1[[#This Row],[Employee_ID]])</f>
        <v>EMP1481</v>
      </c>
      <c r="B483" s="3" t="str">
        <f>TRIM(Table1[[#This Row],[First_Name]])</f>
        <v>Eva</v>
      </c>
      <c r="C483" s="3" t="str">
        <f>TRIM(Table1[[#This Row],[Last_Name]])</f>
        <v>Miller</v>
      </c>
      <c r="D483" s="3">
        <f>IF(Table1[[#This Row],[Age]]="",AVERAGE(Table1[Age]),Table1[[#This Row],[Age]])</f>
        <v>35</v>
      </c>
      <c r="E483" s="3" t="s">
        <v>237</v>
      </c>
      <c r="F483" s="3" t="s">
        <v>16</v>
      </c>
      <c r="G483" s="5">
        <f>IF(ISNUMBER('Main Project Raw Data'!G483),'Main Project Raw Data'!G483,IF(ISNUMBER(SEARCH("/",'Main Project Raw Data'!G483)),DATE(RIGHT('Main Project Raw Data'!G483,4),LEFT('Main Project Raw Data'!G483,FIND("/",'Main Project Raw Data'!G483)-1),MID('Main Project Raw Data'!G483,FIND("/",'Main Project Raw Data'!G483)+1,2)),DATE(RIGHT('Main Project Raw Data'!G483,4),MID('Main Project Raw Data'!G483,4,2),LEFT('Main Project Raw Data'!G483,2))))</f>
        <v>44684</v>
      </c>
      <c r="H483" s="3">
        <f>IF(Table1[[#This Row],[Salary]]="",AVERAGE(Table1[Salary]),Table1[[#This Row],[Salary]])</f>
        <v>88945.49</v>
      </c>
      <c r="I483" s="3" t="s">
        <v>263</v>
      </c>
      <c r="J483" s="3">
        <f>ABS(Table1[[#This Row],[Phone]])</f>
        <v>1935889535</v>
      </c>
      <c r="K483" s="3" t="str">
        <f>PROPER(TRIM(Table1[[#This Row],[Performance_Score]]))</f>
        <v>Good</v>
      </c>
      <c r="L483" s="3" t="b">
        <f>Table1[[#This Row],[Remote_Work]]</f>
        <v>0</v>
      </c>
      <c r="M483" s="3" t="str">
        <f>PROPER(CONCATENATE(Table13[[#This Row],[First_Name]], Table13[[#This Row],[Last_Name]]))</f>
        <v>Evamiller</v>
      </c>
      <c r="N483" s="3" t="str">
        <f t="shared" si="7"/>
        <v>May</v>
      </c>
      <c r="O483" s="3" t="str">
        <f>TEXT(Table13[[#This Row],[Join_Date]],"yyyy")</f>
        <v>2022</v>
      </c>
      <c r="P483" s="3" t="str">
        <f>LEFT('Main Project Raw Data'!E483,FIND("-",'Main Project Raw Data'!E483)-1)</f>
        <v>DevOps</v>
      </c>
      <c r="Q483" s="3" t="str">
        <f>RIGHT('Main Project Raw Data'!E483,LEN('Main Project Raw Data'!E483)-FIND("-",'Main Project Raw Data'!E483))</f>
        <v>Texas</v>
      </c>
    </row>
    <row r="484" spans="1:17" x14ac:dyDescent="0.3">
      <c r="A484" s="3" t="str">
        <f>TRIM(Table1[[#This Row],[Employee_ID]])</f>
        <v>EMP1482</v>
      </c>
      <c r="B484" s="3" t="str">
        <f>TRIM(Table1[[#This Row],[First_Name]])</f>
        <v>Eva</v>
      </c>
      <c r="C484" s="3" t="str">
        <f>TRIM(Table1[[#This Row],[Last_Name]])</f>
        <v>Jones</v>
      </c>
      <c r="D484" s="3">
        <f>IF(Table1[[#This Row],[Age]]="",AVERAGE(Table1[Age]),Table1[[#This Row],[Age]])</f>
        <v>32.484548825710753</v>
      </c>
      <c r="E484" s="3" t="s">
        <v>21</v>
      </c>
      <c r="F484" s="3" t="s">
        <v>28</v>
      </c>
      <c r="G484" s="5">
        <f>IF(ISNUMBER('Main Project Raw Data'!G484),'Main Project Raw Data'!G484,IF(ISNUMBER(SEARCH("/",'Main Project Raw Data'!G484)),DATE(RIGHT('Main Project Raw Data'!G484,4),LEFT('Main Project Raw Data'!G484,FIND("/",'Main Project Raw Data'!G484)-1),MID('Main Project Raw Data'!G484,FIND("/",'Main Project Raw Data'!G484)+1,2)),DATE(RIGHT('Main Project Raw Data'!G484,4),MID('Main Project Raw Data'!G484,4,2),LEFT('Main Project Raw Data'!G484,2))))</f>
        <v>45107</v>
      </c>
      <c r="H484" s="3">
        <f>IF(Table1[[#This Row],[Salary]]="",AVERAGE(Table1[Salary]),Table1[[#This Row],[Salary]])</f>
        <v>91130.33</v>
      </c>
      <c r="I484" s="3" t="s">
        <v>277</v>
      </c>
      <c r="J484" s="3">
        <f>ABS(Table1[[#This Row],[Phone]])</f>
        <v>9026113988</v>
      </c>
      <c r="K484" s="3" t="str">
        <f>PROPER(TRIM(Table1[[#This Row],[Performance_Score]]))</f>
        <v>Good</v>
      </c>
      <c r="L484" s="3" t="b">
        <f>Table1[[#This Row],[Remote_Work]]</f>
        <v>0</v>
      </c>
      <c r="M484" s="3" t="str">
        <f>PROPER(CONCATENATE(Table13[[#This Row],[First_Name]], Table13[[#This Row],[Last_Name]]))</f>
        <v>Evajones</v>
      </c>
      <c r="N484" s="3" t="str">
        <f t="shared" si="7"/>
        <v>Jun</v>
      </c>
      <c r="O484" s="3" t="str">
        <f>TEXT(Table13[[#This Row],[Join_Date]],"yyyy")</f>
        <v>2023</v>
      </c>
      <c r="P484" s="3" t="str">
        <f>LEFT('Main Project Raw Data'!E484,FIND("-",'Main Project Raw Data'!E484)-1)</f>
        <v>Finance</v>
      </c>
      <c r="Q484" s="3" t="str">
        <f>RIGHT('Main Project Raw Data'!E484,LEN('Main Project Raw Data'!E484)-FIND("-",'Main Project Raw Data'!E484))</f>
        <v>Texas</v>
      </c>
    </row>
    <row r="485" spans="1:17" x14ac:dyDescent="0.3">
      <c r="A485" s="3" t="str">
        <f>TRIM(Table1[[#This Row],[Employee_ID]])</f>
        <v>EMP1483</v>
      </c>
      <c r="B485" s="3" t="str">
        <f>TRIM(Table1[[#This Row],[First_Name]])</f>
        <v>Bob</v>
      </c>
      <c r="C485" s="3" t="str">
        <f>TRIM(Table1[[#This Row],[Last_Name]])</f>
        <v>Miller</v>
      </c>
      <c r="D485" s="3">
        <f>IF(Table1[[#This Row],[Age]]="",AVERAGE(Table1[Age]),Table1[[#This Row],[Age]])</f>
        <v>40</v>
      </c>
      <c r="E485" s="3" t="s">
        <v>196</v>
      </c>
      <c r="F485" s="3" t="s">
        <v>28</v>
      </c>
      <c r="G485" s="5">
        <f>IF(ISNUMBER('Main Project Raw Data'!G485),'Main Project Raw Data'!G485,IF(ISNUMBER(SEARCH("/",'Main Project Raw Data'!G485)),DATE(RIGHT('Main Project Raw Data'!G485,4),LEFT('Main Project Raw Data'!G485,FIND("/",'Main Project Raw Data'!G485)-1),MID('Main Project Raw Data'!G485,FIND("/",'Main Project Raw Data'!G485)+1,2)),DATE(RIGHT('Main Project Raw Data'!G485,4),MID('Main Project Raw Data'!G485,4,2),LEFT('Main Project Raw Data'!G485,2))))</f>
        <v>45035</v>
      </c>
      <c r="H485" s="3">
        <f>IF(Table1[[#This Row],[Salary]]="",AVERAGE(Table1[Salary]),Table1[[#This Row],[Salary]])</f>
        <v>90787.4</v>
      </c>
      <c r="I485" s="3" t="s">
        <v>93</v>
      </c>
      <c r="J485" s="3">
        <f>ABS(Table1[[#This Row],[Phone]])</f>
        <v>8681809787</v>
      </c>
      <c r="K485" s="3" t="str">
        <f>PROPER(TRIM(Table1[[#This Row],[Performance_Score]]))</f>
        <v>Average</v>
      </c>
      <c r="L485" s="3" t="b">
        <f>Table1[[#This Row],[Remote_Work]]</f>
        <v>0</v>
      </c>
      <c r="M485" s="3" t="str">
        <f>PROPER(CONCATENATE(Table13[[#This Row],[First_Name]], Table13[[#This Row],[Last_Name]]))</f>
        <v>Bobmiller</v>
      </c>
      <c r="N485" s="3" t="str">
        <f t="shared" si="7"/>
        <v>Apr</v>
      </c>
      <c r="O485" s="3" t="str">
        <f>TEXT(Table13[[#This Row],[Join_Date]],"yyyy")</f>
        <v>2023</v>
      </c>
      <c r="P485" s="3" t="str">
        <f>LEFT('Main Project Raw Data'!E485,FIND("-",'Main Project Raw Data'!E485)-1)</f>
        <v>Admin</v>
      </c>
      <c r="Q485" s="3" t="str">
        <f>RIGHT('Main Project Raw Data'!E485,LEN('Main Project Raw Data'!E485)-FIND("-",'Main Project Raw Data'!E485))</f>
        <v>New York</v>
      </c>
    </row>
    <row r="486" spans="1:17" x14ac:dyDescent="0.3">
      <c r="A486" s="3" t="str">
        <f>TRIM(Table1[[#This Row],[Employee_ID]])</f>
        <v>EMP1484</v>
      </c>
      <c r="B486" s="3" t="str">
        <f>TRIM(Table1[[#This Row],[First_Name]])</f>
        <v>Bob</v>
      </c>
      <c r="C486" s="3" t="str">
        <f>TRIM(Table1[[#This Row],[Last_Name]])</f>
        <v>Jones</v>
      </c>
      <c r="D486" s="3">
        <f>IF(Table1[[#This Row],[Age]]="",AVERAGE(Table1[Age]),Table1[[#This Row],[Age]])</f>
        <v>25</v>
      </c>
      <c r="E486" s="3" t="s">
        <v>44</v>
      </c>
      <c r="F486" s="3" t="s">
        <v>33</v>
      </c>
      <c r="G486" s="5">
        <f>IF(ISNUMBER('Main Project Raw Data'!G486),'Main Project Raw Data'!G486,IF(ISNUMBER(SEARCH("/",'Main Project Raw Data'!G486)),DATE(RIGHT('Main Project Raw Data'!G486,4),LEFT('Main Project Raw Data'!G486,FIND("/",'Main Project Raw Data'!G486)-1),MID('Main Project Raw Data'!G486,FIND("/",'Main Project Raw Data'!G486)+1,2)),DATE(RIGHT('Main Project Raw Data'!G486,4),MID('Main Project Raw Data'!G486,4,2),LEFT('Main Project Raw Data'!G486,2))))</f>
        <v>45607</v>
      </c>
      <c r="H486" s="3">
        <f>IF(Table1[[#This Row],[Salary]]="",AVERAGE(Table1[Salary]),Table1[[#This Row],[Salary]])</f>
        <v>87494.34</v>
      </c>
      <c r="I486" s="3" t="s">
        <v>50</v>
      </c>
      <c r="J486" s="3">
        <f>ABS(Table1[[#This Row],[Phone]])</f>
        <v>7543943534</v>
      </c>
      <c r="K486" s="3" t="str">
        <f>PROPER(TRIM(Table1[[#This Row],[Performance_Score]]))</f>
        <v>Average</v>
      </c>
      <c r="L486" s="3" t="b">
        <f>Table1[[#This Row],[Remote_Work]]</f>
        <v>1</v>
      </c>
      <c r="M486" s="3" t="str">
        <f>PROPER(CONCATENATE(Table13[[#This Row],[First_Name]], Table13[[#This Row],[Last_Name]]))</f>
        <v>Bobjones</v>
      </c>
      <c r="N486" s="3" t="str">
        <f t="shared" si="7"/>
        <v>Nov</v>
      </c>
      <c r="O486" s="3" t="str">
        <f>TEXT(Table13[[#This Row],[Join_Date]],"yyyy")</f>
        <v>2024</v>
      </c>
      <c r="P486" s="3" t="str">
        <f>LEFT('Main Project Raw Data'!E486,FIND("-",'Main Project Raw Data'!E486)-1)</f>
        <v>Sales</v>
      </c>
      <c r="Q486" s="3" t="str">
        <f>RIGHT('Main Project Raw Data'!E486,LEN('Main Project Raw Data'!E486)-FIND("-",'Main Project Raw Data'!E486))</f>
        <v>Texas</v>
      </c>
    </row>
    <row r="487" spans="1:17" x14ac:dyDescent="0.3">
      <c r="A487" s="3" t="str">
        <f>TRIM(Table1[[#This Row],[Employee_ID]])</f>
        <v>EMP1485</v>
      </c>
      <c r="B487" s="3" t="str">
        <f>TRIM(Table1[[#This Row],[First_Name]])</f>
        <v>Grace</v>
      </c>
      <c r="C487" s="3" t="str">
        <f>TRIM(Table1[[#This Row],[Last_Name]])</f>
        <v>Miller</v>
      </c>
      <c r="D487" s="3">
        <f>IF(Table1[[#This Row],[Age]]="",AVERAGE(Table1[Age]),Table1[[#This Row],[Age]])</f>
        <v>35</v>
      </c>
      <c r="E487" s="3" t="s">
        <v>100</v>
      </c>
      <c r="F487" s="3" t="s">
        <v>33</v>
      </c>
      <c r="G487" s="5">
        <f>IF(ISNUMBER('Main Project Raw Data'!G487),'Main Project Raw Data'!G487,IF(ISNUMBER(SEARCH("/",'Main Project Raw Data'!G487)),DATE(RIGHT('Main Project Raw Data'!G487,4),LEFT('Main Project Raw Data'!G487,FIND("/",'Main Project Raw Data'!G487)-1),MID('Main Project Raw Data'!G487,FIND("/",'Main Project Raw Data'!G487)+1,2)),DATE(RIGHT('Main Project Raw Data'!G487,4),MID('Main Project Raw Data'!G487,4,2),LEFT('Main Project Raw Data'!G487,2))))</f>
        <v>45002</v>
      </c>
      <c r="H487" s="3">
        <f>IF(Table1[[#This Row],[Salary]]="",AVERAGE(Table1[Salary]),Table1[[#This Row],[Salary]])</f>
        <v>92627.35</v>
      </c>
      <c r="I487" s="3" t="s">
        <v>168</v>
      </c>
      <c r="J487" s="3">
        <f>ABS(Table1[[#This Row],[Phone]])</f>
        <v>3751376514</v>
      </c>
      <c r="K487" s="3" t="str">
        <f>PROPER(TRIM(Table1[[#This Row],[Performance_Score]]))</f>
        <v>Average</v>
      </c>
      <c r="L487" s="3" t="b">
        <f>Table1[[#This Row],[Remote_Work]]</f>
        <v>0</v>
      </c>
      <c r="M487" s="3" t="str">
        <f>PROPER(CONCATENATE(Table13[[#This Row],[First_Name]], Table13[[#This Row],[Last_Name]]))</f>
        <v>Gracemiller</v>
      </c>
      <c r="N487" s="3" t="str">
        <f t="shared" si="7"/>
        <v>Mar</v>
      </c>
      <c r="O487" s="3" t="str">
        <f>TEXT(Table13[[#This Row],[Join_Date]],"yyyy")</f>
        <v>2023</v>
      </c>
      <c r="P487" s="3" t="str">
        <f>LEFT('Main Project Raw Data'!E487,FIND("-",'Main Project Raw Data'!E487)-1)</f>
        <v>Finance</v>
      </c>
      <c r="Q487" s="3" t="str">
        <f>RIGHT('Main Project Raw Data'!E487,LEN('Main Project Raw Data'!E487)-FIND("-",'Main Project Raw Data'!E487))</f>
        <v>Nevada</v>
      </c>
    </row>
    <row r="488" spans="1:17" x14ac:dyDescent="0.3">
      <c r="A488" s="3" t="str">
        <f>TRIM(Table1[[#This Row],[Employee_ID]])</f>
        <v>EMP1486</v>
      </c>
      <c r="B488" s="3" t="str">
        <f>TRIM(Table1[[#This Row],[First_Name]])</f>
        <v>Eva</v>
      </c>
      <c r="C488" s="3" t="str">
        <f>TRIM(Table1[[#This Row],[Last_Name]])</f>
        <v>Williams</v>
      </c>
      <c r="D488" s="3">
        <f>IF(Table1[[#This Row],[Age]]="",AVERAGE(Table1[Age]),Table1[[#This Row],[Age]])</f>
        <v>40</v>
      </c>
      <c r="E488" s="3" t="s">
        <v>89</v>
      </c>
      <c r="F488" s="3" t="s">
        <v>28</v>
      </c>
      <c r="G488" s="5">
        <f>IF(ISNUMBER('Main Project Raw Data'!G488),'Main Project Raw Data'!G488,IF(ISNUMBER(SEARCH("/",'Main Project Raw Data'!G488)),DATE(RIGHT('Main Project Raw Data'!G488,4),LEFT('Main Project Raw Data'!G488,FIND("/",'Main Project Raw Data'!G488)-1),MID('Main Project Raw Data'!G488,FIND("/",'Main Project Raw Data'!G488)+1,2)),DATE(RIGHT('Main Project Raw Data'!G488,4),MID('Main Project Raw Data'!G488,4,2),LEFT('Main Project Raw Data'!G488,2))))</f>
        <v>45225</v>
      </c>
      <c r="H488" s="3">
        <f>IF(Table1[[#This Row],[Salary]]="",AVERAGE(Table1[Salary]),Table1[[#This Row],[Salary]])</f>
        <v>98556.29</v>
      </c>
      <c r="I488" s="3" t="s">
        <v>141</v>
      </c>
      <c r="J488" s="3">
        <f>ABS(Table1[[#This Row],[Phone]])</f>
        <v>8815793762</v>
      </c>
      <c r="K488" s="3" t="str">
        <f>PROPER(TRIM(Table1[[#This Row],[Performance_Score]]))</f>
        <v>Poor</v>
      </c>
      <c r="L488" s="3" t="b">
        <f>Table1[[#This Row],[Remote_Work]]</f>
        <v>1</v>
      </c>
      <c r="M488" s="3" t="str">
        <f>PROPER(CONCATENATE(Table13[[#This Row],[First_Name]], Table13[[#This Row],[Last_Name]]))</f>
        <v>Evawilliams</v>
      </c>
      <c r="N488" s="3" t="str">
        <f t="shared" si="7"/>
        <v>Oct</v>
      </c>
      <c r="O488" s="3" t="str">
        <f>TEXT(Table13[[#This Row],[Join_Date]],"yyyy")</f>
        <v>2023</v>
      </c>
      <c r="P488" s="3" t="str">
        <f>LEFT('Main Project Raw Data'!E488,FIND("-",'Main Project Raw Data'!E488)-1)</f>
        <v>Admin</v>
      </c>
      <c r="Q488" s="3" t="str">
        <f>RIGHT('Main Project Raw Data'!E488,LEN('Main Project Raw Data'!E488)-FIND("-",'Main Project Raw Data'!E488))</f>
        <v>Illinois</v>
      </c>
    </row>
    <row r="489" spans="1:17" x14ac:dyDescent="0.3">
      <c r="A489" s="3" t="str">
        <f>TRIM(Table1[[#This Row],[Employee_ID]])</f>
        <v>EMP1487</v>
      </c>
      <c r="B489" s="3" t="str">
        <f>TRIM(Table1[[#This Row],[First_Name]])</f>
        <v>Frank</v>
      </c>
      <c r="C489" s="3" t="str">
        <f>TRIM(Table1[[#This Row],[Last_Name]])</f>
        <v>Brown</v>
      </c>
      <c r="D489" s="3">
        <f>IF(Table1[[#This Row],[Age]]="",AVERAGE(Table1[Age]),Table1[[#This Row],[Age]])</f>
        <v>30</v>
      </c>
      <c r="E489" s="3" t="s">
        <v>85</v>
      </c>
      <c r="F489" s="3" t="s">
        <v>33</v>
      </c>
      <c r="G489" s="5">
        <f>IF(ISNUMBER('Main Project Raw Data'!G489),'Main Project Raw Data'!G489,IF(ISNUMBER(SEARCH("/",'Main Project Raw Data'!G489)),DATE(RIGHT('Main Project Raw Data'!G489,4),LEFT('Main Project Raw Data'!G489,FIND("/",'Main Project Raw Data'!G489)-1),MID('Main Project Raw Data'!G489,FIND("/",'Main Project Raw Data'!G489)+1,2)),DATE(RIGHT('Main Project Raw Data'!G489,4),MID('Main Project Raw Data'!G489,4,2),LEFT('Main Project Raw Data'!G489,2))))</f>
        <v>44293</v>
      </c>
      <c r="H489" s="3">
        <f>IF(Table1[[#This Row],[Salary]]="",AVERAGE(Table1[Salary]),Table1[[#This Row],[Salary]])</f>
        <v>112792.2</v>
      </c>
      <c r="I489" s="3" t="s">
        <v>239</v>
      </c>
      <c r="J489" s="3">
        <f>ABS(Table1[[#This Row],[Phone]])</f>
        <v>9283692943</v>
      </c>
      <c r="K489" s="3" t="str">
        <f>PROPER(TRIM(Table1[[#This Row],[Performance_Score]]))</f>
        <v>Good</v>
      </c>
      <c r="L489" s="3" t="b">
        <f>Table1[[#This Row],[Remote_Work]]</f>
        <v>1</v>
      </c>
      <c r="M489" s="3" t="str">
        <f>PROPER(CONCATENATE(Table13[[#This Row],[First_Name]], Table13[[#This Row],[Last_Name]]))</f>
        <v>Frankbrown</v>
      </c>
      <c r="N489" s="3" t="str">
        <f t="shared" si="7"/>
        <v>Apr</v>
      </c>
      <c r="O489" s="3" t="str">
        <f>TEXT(Table13[[#This Row],[Join_Date]],"yyyy")</f>
        <v>2021</v>
      </c>
      <c r="P489" s="3" t="str">
        <f>LEFT('Main Project Raw Data'!E489,FIND("-",'Main Project Raw Data'!E489)-1)</f>
        <v>Cloud Tech</v>
      </c>
      <c r="Q489" s="3" t="str">
        <f>RIGHT('Main Project Raw Data'!E489,LEN('Main Project Raw Data'!E489)-FIND("-",'Main Project Raw Data'!E489))</f>
        <v>Nevada</v>
      </c>
    </row>
    <row r="490" spans="1:17" x14ac:dyDescent="0.3">
      <c r="A490" s="3" t="str">
        <f>TRIM(Table1[[#This Row],[Employee_ID]])</f>
        <v>EMP1488</v>
      </c>
      <c r="B490" s="3" t="str">
        <f>TRIM(Table1[[#This Row],[First_Name]])</f>
        <v>Eva</v>
      </c>
      <c r="C490" s="3" t="str">
        <f>TRIM(Table1[[#This Row],[Last_Name]])</f>
        <v>Smith</v>
      </c>
      <c r="D490" s="3">
        <f>IF(Table1[[#This Row],[Age]]="",AVERAGE(Table1[Age]),Table1[[#This Row],[Age]])</f>
        <v>35</v>
      </c>
      <c r="E490" s="3" t="s">
        <v>212</v>
      </c>
      <c r="F490" s="3" t="s">
        <v>28</v>
      </c>
      <c r="G490" s="5">
        <f>IF(ISNUMBER('Main Project Raw Data'!G490),'Main Project Raw Data'!G490,IF(ISNUMBER(SEARCH("/",'Main Project Raw Data'!G490)),DATE(RIGHT('Main Project Raw Data'!G490,4),LEFT('Main Project Raw Data'!G490,FIND("/",'Main Project Raw Data'!G490)-1),MID('Main Project Raw Data'!G490,FIND("/",'Main Project Raw Data'!G490)+1,2)),DATE(RIGHT('Main Project Raw Data'!G490,4),MID('Main Project Raw Data'!G490,4,2),LEFT('Main Project Raw Data'!G490,2))))</f>
        <v>44996</v>
      </c>
      <c r="H490" s="3">
        <f>IF(Table1[[#This Row],[Salary]]="",AVERAGE(Table1[Salary]),Table1[[#This Row],[Salary]])</f>
        <v>56875.22</v>
      </c>
      <c r="I490" s="3" t="s">
        <v>521</v>
      </c>
      <c r="J490" s="3">
        <f>ABS(Table1[[#This Row],[Phone]])</f>
        <v>5511668296</v>
      </c>
      <c r="K490" s="3" t="str">
        <f>PROPER(TRIM(Table1[[#This Row],[Performance_Score]]))</f>
        <v>Poor</v>
      </c>
      <c r="L490" s="3" t="b">
        <f>Table1[[#This Row],[Remote_Work]]</f>
        <v>0</v>
      </c>
      <c r="M490" s="3" t="str">
        <f>PROPER(CONCATENATE(Table13[[#This Row],[First_Name]], Table13[[#This Row],[Last_Name]]))</f>
        <v>Evasmith</v>
      </c>
      <c r="N490" s="3" t="str">
        <f t="shared" si="7"/>
        <v>Mar</v>
      </c>
      <c r="O490" s="3" t="str">
        <f>TEXT(Table13[[#This Row],[Join_Date]],"yyyy")</f>
        <v>2023</v>
      </c>
      <c r="P490" s="3" t="str">
        <f>LEFT('Main Project Raw Data'!E490,FIND("-",'Main Project Raw Data'!E490)-1)</f>
        <v>HR</v>
      </c>
      <c r="Q490" s="3" t="str">
        <f>RIGHT('Main Project Raw Data'!E490,LEN('Main Project Raw Data'!E490)-FIND("-",'Main Project Raw Data'!E490))</f>
        <v>Florida</v>
      </c>
    </row>
    <row r="491" spans="1:17" x14ac:dyDescent="0.3">
      <c r="A491" s="3" t="str">
        <f>TRIM(Table1[[#This Row],[Employee_ID]])</f>
        <v>EMP1489</v>
      </c>
      <c r="B491" s="3" t="str">
        <f>TRIM(Table1[[#This Row],[First_Name]])</f>
        <v>Charlie</v>
      </c>
      <c r="C491" s="3" t="str">
        <f>TRIM(Table1[[#This Row],[Last_Name]])</f>
        <v>Jones</v>
      </c>
      <c r="D491" s="3">
        <f>IF(Table1[[#This Row],[Age]]="",AVERAGE(Table1[Age]),Table1[[#This Row],[Age]])</f>
        <v>35</v>
      </c>
      <c r="E491" s="3" t="s">
        <v>230</v>
      </c>
      <c r="F491" s="3" t="s">
        <v>33</v>
      </c>
      <c r="G491" s="5">
        <f>IF(ISNUMBER('Main Project Raw Data'!G491),'Main Project Raw Data'!G491,IF(ISNUMBER(SEARCH("/",'Main Project Raw Data'!G491)),DATE(RIGHT('Main Project Raw Data'!G491,4),LEFT('Main Project Raw Data'!G491,FIND("/",'Main Project Raw Data'!G491)-1),MID('Main Project Raw Data'!G491,FIND("/",'Main Project Raw Data'!G491)+1,2)),DATE(RIGHT('Main Project Raw Data'!G491,4),MID('Main Project Raw Data'!G491,4,2),LEFT('Main Project Raw Data'!G491,2))))</f>
        <v>44323</v>
      </c>
      <c r="H491" s="3">
        <f>IF(Table1[[#This Row],[Salary]]="",AVERAGE(Table1[Salary]),Table1[[#This Row],[Salary]])</f>
        <v>101015.96</v>
      </c>
      <c r="I491" s="3" t="s">
        <v>120</v>
      </c>
      <c r="J491" s="3">
        <f>ABS(Table1[[#This Row],[Phone]])</f>
        <v>3270216486</v>
      </c>
      <c r="K491" s="3" t="str">
        <f>PROPER(TRIM(Table1[[#This Row],[Performance_Score]]))</f>
        <v>Poor</v>
      </c>
      <c r="L491" s="3" t="b">
        <f>Table1[[#This Row],[Remote_Work]]</f>
        <v>1</v>
      </c>
      <c r="M491" s="3" t="str">
        <f>PROPER(CONCATENATE(Table13[[#This Row],[First_Name]], Table13[[#This Row],[Last_Name]]))</f>
        <v>Charliejones</v>
      </c>
      <c r="N491" s="3" t="str">
        <f t="shared" si="7"/>
        <v>May</v>
      </c>
      <c r="O491" s="3" t="str">
        <f>TEXT(Table13[[#This Row],[Join_Date]],"yyyy")</f>
        <v>2021</v>
      </c>
      <c r="P491" s="3" t="str">
        <f>LEFT('Main Project Raw Data'!E491,FIND("-",'Main Project Raw Data'!E491)-1)</f>
        <v>DevOps</v>
      </c>
      <c r="Q491" s="3" t="str">
        <f>RIGHT('Main Project Raw Data'!E491,LEN('Main Project Raw Data'!E491)-FIND("-",'Main Project Raw Data'!E491))</f>
        <v>Florida</v>
      </c>
    </row>
    <row r="492" spans="1:17" x14ac:dyDescent="0.3">
      <c r="A492" s="3" t="str">
        <f>TRIM(Table1[[#This Row],[Employee_ID]])</f>
        <v>EMP1490</v>
      </c>
      <c r="B492" s="3" t="str">
        <f>TRIM(Table1[[#This Row],[First_Name]])</f>
        <v>Bob</v>
      </c>
      <c r="C492" s="3" t="str">
        <f>TRIM(Table1[[#This Row],[Last_Name]])</f>
        <v>Garcia</v>
      </c>
      <c r="D492" s="3">
        <f>IF(Table1[[#This Row],[Age]]="",AVERAGE(Table1[Age]),Table1[[#This Row],[Age]])</f>
        <v>30</v>
      </c>
      <c r="E492" s="3" t="s">
        <v>227</v>
      </c>
      <c r="F492" s="3" t="s">
        <v>33</v>
      </c>
      <c r="G492" s="5">
        <f>IF(ISNUMBER('Main Project Raw Data'!G492),'Main Project Raw Data'!G492,IF(ISNUMBER(SEARCH("/",'Main Project Raw Data'!G492)),DATE(RIGHT('Main Project Raw Data'!G492,4),LEFT('Main Project Raw Data'!G492,FIND("/",'Main Project Raw Data'!G492)-1),MID('Main Project Raw Data'!G492,FIND("/",'Main Project Raw Data'!G492)+1,2)),DATE(RIGHT('Main Project Raw Data'!G492,4),MID('Main Project Raw Data'!G492,4,2),LEFT('Main Project Raw Data'!G492,2))))</f>
        <v>45348</v>
      </c>
      <c r="H492" s="3">
        <f>IF(Table1[[#This Row],[Salary]]="",AVERAGE(Table1[Salary]),Table1[[#This Row],[Salary]])</f>
        <v>83912.22</v>
      </c>
      <c r="I492" s="3" t="s">
        <v>153</v>
      </c>
      <c r="J492" s="3">
        <f>ABS(Table1[[#This Row],[Phone]])</f>
        <v>1206021287</v>
      </c>
      <c r="K492" s="3" t="str">
        <f>PROPER(TRIM(Table1[[#This Row],[Performance_Score]]))</f>
        <v>Average</v>
      </c>
      <c r="L492" s="3" t="b">
        <f>Table1[[#This Row],[Remote_Work]]</f>
        <v>0</v>
      </c>
      <c r="M492" s="3" t="str">
        <f>PROPER(CONCATENATE(Table13[[#This Row],[First_Name]], Table13[[#This Row],[Last_Name]]))</f>
        <v>Bobgarcia</v>
      </c>
      <c r="N492" s="3" t="str">
        <f t="shared" si="7"/>
        <v>Feb</v>
      </c>
      <c r="O492" s="3" t="str">
        <f>TEXT(Table13[[#This Row],[Join_Date]],"yyyy")</f>
        <v>2024</v>
      </c>
      <c r="P492" s="3" t="str">
        <f>LEFT('Main Project Raw Data'!E492,FIND("-",'Main Project Raw Data'!E492)-1)</f>
        <v>Finance</v>
      </c>
      <c r="Q492" s="3" t="str">
        <f>RIGHT('Main Project Raw Data'!E492,LEN('Main Project Raw Data'!E492)-FIND("-",'Main Project Raw Data'!E492))</f>
        <v>New York</v>
      </c>
    </row>
    <row r="493" spans="1:17" x14ac:dyDescent="0.3">
      <c r="A493" s="3" t="str">
        <f>TRIM(Table1[[#This Row],[Employee_ID]])</f>
        <v>EMP1491</v>
      </c>
      <c r="B493" s="3" t="str">
        <f>TRIM(Table1[[#This Row],[First_Name]])</f>
        <v>Frank</v>
      </c>
      <c r="C493" s="3" t="str">
        <f>TRIM(Table1[[#This Row],[Last_Name]])</f>
        <v>Jones</v>
      </c>
      <c r="D493" s="3">
        <f>IF(Table1[[#This Row],[Age]]="",AVERAGE(Table1[Age]),Table1[[#This Row],[Age]])</f>
        <v>25</v>
      </c>
      <c r="E493" s="3" t="s">
        <v>109</v>
      </c>
      <c r="F493" s="3" t="s">
        <v>16</v>
      </c>
      <c r="G493" s="5">
        <f>IF(ISNUMBER('Main Project Raw Data'!G493),'Main Project Raw Data'!G493,IF(ISNUMBER(SEARCH("/",'Main Project Raw Data'!G493)),DATE(RIGHT('Main Project Raw Data'!G493,4),LEFT('Main Project Raw Data'!G493,FIND("/",'Main Project Raw Data'!G493)-1),MID('Main Project Raw Data'!G493,FIND("/",'Main Project Raw Data'!G493)+1,2)),DATE(RIGHT('Main Project Raw Data'!G493,4),MID('Main Project Raw Data'!G493,4,2),LEFT('Main Project Raw Data'!G493,2))))</f>
        <v>44468</v>
      </c>
      <c r="H493" s="3">
        <f>IF(Table1[[#This Row],[Salary]]="",AVERAGE(Table1[Salary]),Table1[[#This Row],[Salary]])</f>
        <v>99669.86</v>
      </c>
      <c r="I493" s="3" t="s">
        <v>47</v>
      </c>
      <c r="J493" s="3">
        <f>ABS(Table1[[#This Row],[Phone]])</f>
        <v>6652683414</v>
      </c>
      <c r="K493" s="3" t="str">
        <f>PROPER(TRIM(Table1[[#This Row],[Performance_Score]]))</f>
        <v>Average</v>
      </c>
      <c r="L493" s="3" t="b">
        <f>Table1[[#This Row],[Remote_Work]]</f>
        <v>0</v>
      </c>
      <c r="M493" s="3" t="str">
        <f>PROPER(CONCATENATE(Table13[[#This Row],[First_Name]], Table13[[#This Row],[Last_Name]]))</f>
        <v>Frankjones</v>
      </c>
      <c r="N493" s="3" t="str">
        <f t="shared" si="7"/>
        <v>Sep</v>
      </c>
      <c r="O493" s="3" t="str">
        <f>TEXT(Table13[[#This Row],[Join_Date]],"yyyy")</f>
        <v>2021</v>
      </c>
      <c r="P493" s="3" t="str">
        <f>LEFT('Main Project Raw Data'!E493,FIND("-",'Main Project Raw Data'!E493)-1)</f>
        <v>Sales</v>
      </c>
      <c r="Q493" s="3" t="str">
        <f>RIGHT('Main Project Raw Data'!E493,LEN('Main Project Raw Data'!E493)-FIND("-",'Main Project Raw Data'!E493))</f>
        <v>New York</v>
      </c>
    </row>
    <row r="494" spans="1:17" x14ac:dyDescent="0.3">
      <c r="A494" s="3" t="str">
        <f>TRIM(Table1[[#This Row],[Employee_ID]])</f>
        <v>EMP1492</v>
      </c>
      <c r="B494" s="3" t="str">
        <f>TRIM(Table1[[#This Row],[First_Name]])</f>
        <v>Alice</v>
      </c>
      <c r="C494" s="3" t="str">
        <f>TRIM(Table1[[#This Row],[Last_Name]])</f>
        <v>Smith</v>
      </c>
      <c r="D494" s="3">
        <f>IF(Table1[[#This Row],[Age]]="",AVERAGE(Table1[Age]),Table1[[#This Row],[Age]])</f>
        <v>30</v>
      </c>
      <c r="E494" s="3" t="s">
        <v>196</v>
      </c>
      <c r="F494" s="3" t="s">
        <v>16</v>
      </c>
      <c r="G494" s="5">
        <f>IF(ISNUMBER('Main Project Raw Data'!G494),'Main Project Raw Data'!G494,IF(ISNUMBER(SEARCH("/",'Main Project Raw Data'!G494)),DATE(RIGHT('Main Project Raw Data'!G494,4),LEFT('Main Project Raw Data'!G494,FIND("/",'Main Project Raw Data'!G494)-1),MID('Main Project Raw Data'!G494,FIND("/",'Main Project Raw Data'!G494)+1,2)),DATE(RIGHT('Main Project Raw Data'!G494,4),MID('Main Project Raw Data'!G494,4,2),LEFT('Main Project Raw Data'!G494,2))))</f>
        <v>44341</v>
      </c>
      <c r="H494" s="3">
        <f>IF(Table1[[#This Row],[Salary]]="",AVERAGE(Table1[Salary]),Table1[[#This Row],[Salary]])</f>
        <v>52314.97</v>
      </c>
      <c r="I494" s="3" t="s">
        <v>182</v>
      </c>
      <c r="J494" s="3">
        <f>ABS(Table1[[#This Row],[Phone]])</f>
        <v>5999101575</v>
      </c>
      <c r="K494" s="3" t="str">
        <f>PROPER(TRIM(Table1[[#This Row],[Performance_Score]]))</f>
        <v>Excellent</v>
      </c>
      <c r="L494" s="3" t="b">
        <f>Table1[[#This Row],[Remote_Work]]</f>
        <v>0</v>
      </c>
      <c r="M494" s="3" t="str">
        <f>PROPER(CONCATENATE(Table13[[#This Row],[First_Name]], Table13[[#This Row],[Last_Name]]))</f>
        <v>Alicesmith</v>
      </c>
      <c r="N494" s="3" t="str">
        <f t="shared" si="7"/>
        <v>May</v>
      </c>
      <c r="O494" s="3" t="str">
        <f>TEXT(Table13[[#This Row],[Join_Date]],"yyyy")</f>
        <v>2021</v>
      </c>
      <c r="P494" s="3" t="str">
        <f>LEFT('Main Project Raw Data'!E494,FIND("-",'Main Project Raw Data'!E494)-1)</f>
        <v>Admin</v>
      </c>
      <c r="Q494" s="3" t="str">
        <f>RIGHT('Main Project Raw Data'!E494,LEN('Main Project Raw Data'!E494)-FIND("-",'Main Project Raw Data'!E494))</f>
        <v>New York</v>
      </c>
    </row>
    <row r="495" spans="1:17" x14ac:dyDescent="0.3">
      <c r="A495" s="3" t="str">
        <f>TRIM(Table1[[#This Row],[Employee_ID]])</f>
        <v>EMP1493</v>
      </c>
      <c r="B495" s="3" t="str">
        <f>TRIM(Table1[[#This Row],[First_Name]])</f>
        <v>Frank</v>
      </c>
      <c r="C495" s="3" t="str">
        <f>TRIM(Table1[[#This Row],[Last_Name]])</f>
        <v>Miller</v>
      </c>
      <c r="D495" s="3">
        <f>IF(Table1[[#This Row],[Age]]="",AVERAGE(Table1[Age]),Table1[[#This Row],[Age]])</f>
        <v>30</v>
      </c>
      <c r="E495" s="3" t="s">
        <v>146</v>
      </c>
      <c r="F495" s="3" t="s">
        <v>33</v>
      </c>
      <c r="G495" s="5">
        <f>IF(ISNUMBER('Main Project Raw Data'!G495),'Main Project Raw Data'!G495,IF(ISNUMBER(SEARCH("/",'Main Project Raw Data'!G495)),DATE(RIGHT('Main Project Raw Data'!G495,4),LEFT('Main Project Raw Data'!G495,FIND("/",'Main Project Raw Data'!G495)-1),MID('Main Project Raw Data'!G495,FIND("/",'Main Project Raw Data'!G495)+1,2)),DATE(RIGHT('Main Project Raw Data'!G495,4),MID('Main Project Raw Data'!G495,4,2),LEFT('Main Project Raw Data'!G495,2))))</f>
        <v>44865</v>
      </c>
      <c r="H495" s="3">
        <f>IF(Table1[[#This Row],[Salary]]="",AVERAGE(Table1[Salary]),Table1[[#This Row],[Salary]])</f>
        <v>77785.960000000006</v>
      </c>
      <c r="I495" s="3" t="s">
        <v>110</v>
      </c>
      <c r="J495" s="3">
        <f>ABS(Table1[[#This Row],[Phone]])</f>
        <v>7647229811</v>
      </c>
      <c r="K495" s="3" t="str">
        <f>PROPER(TRIM(Table1[[#This Row],[Performance_Score]]))</f>
        <v>Excellent</v>
      </c>
      <c r="L495" s="3" t="b">
        <f>Table1[[#This Row],[Remote_Work]]</f>
        <v>0</v>
      </c>
      <c r="M495" s="3" t="str">
        <f>PROPER(CONCATENATE(Table13[[#This Row],[First_Name]], Table13[[#This Row],[Last_Name]]))</f>
        <v>Frankmiller</v>
      </c>
      <c r="N495" s="3" t="str">
        <f t="shared" si="7"/>
        <v>Oct</v>
      </c>
      <c r="O495" s="3" t="str">
        <f>TEXT(Table13[[#This Row],[Join_Date]],"yyyy")</f>
        <v>2022</v>
      </c>
      <c r="P495" s="3" t="str">
        <f>LEFT('Main Project Raw Data'!E495,FIND("-",'Main Project Raw Data'!E495)-1)</f>
        <v>HR</v>
      </c>
      <c r="Q495" s="3" t="str">
        <f>RIGHT('Main Project Raw Data'!E495,LEN('Main Project Raw Data'!E495)-FIND("-",'Main Project Raw Data'!E495))</f>
        <v>California</v>
      </c>
    </row>
    <row r="496" spans="1:17" x14ac:dyDescent="0.3">
      <c r="A496" s="3" t="str">
        <f>TRIM(Table1[[#This Row],[Employee_ID]])</f>
        <v>EMP1494</v>
      </c>
      <c r="B496" s="3" t="str">
        <f>TRIM(Table1[[#This Row],[First_Name]])</f>
        <v>Alice</v>
      </c>
      <c r="C496" s="3" t="str">
        <f>TRIM(Table1[[#This Row],[Last_Name]])</f>
        <v>Jones</v>
      </c>
      <c r="D496" s="3">
        <f>IF(Table1[[#This Row],[Age]]="",AVERAGE(Table1[Age]),Table1[[#This Row],[Age]])</f>
        <v>30</v>
      </c>
      <c r="E496" s="3" t="s">
        <v>212</v>
      </c>
      <c r="F496" s="3" t="s">
        <v>28</v>
      </c>
      <c r="G496" s="5">
        <f>IF(ISNUMBER('Main Project Raw Data'!G496),'Main Project Raw Data'!G496,IF(ISNUMBER(SEARCH("/",'Main Project Raw Data'!G496)),DATE(RIGHT('Main Project Raw Data'!G496,4),LEFT('Main Project Raw Data'!G496,FIND("/",'Main Project Raw Data'!G496)-1),MID('Main Project Raw Data'!G496,FIND("/",'Main Project Raw Data'!G496)+1,2)),DATE(RIGHT('Main Project Raw Data'!G496,4),MID('Main Project Raw Data'!G496,4,2),LEFT('Main Project Raw Data'!G496,2))))</f>
        <v>44599</v>
      </c>
      <c r="H496" s="3">
        <f>IF(Table1[[#This Row],[Salary]]="",AVERAGE(Table1[Salary]),Table1[[#This Row],[Salary]])</f>
        <v>62430.86</v>
      </c>
      <c r="I496" s="3" t="s">
        <v>29</v>
      </c>
      <c r="J496" s="3">
        <f>ABS(Table1[[#This Row],[Phone]])</f>
        <v>995765727</v>
      </c>
      <c r="K496" s="3" t="str">
        <f>PROPER(TRIM(Table1[[#This Row],[Performance_Score]]))</f>
        <v>Poor</v>
      </c>
      <c r="L496" s="3" t="b">
        <f>Table1[[#This Row],[Remote_Work]]</f>
        <v>0</v>
      </c>
      <c r="M496" s="3" t="str">
        <f>PROPER(CONCATENATE(Table13[[#This Row],[First_Name]], Table13[[#This Row],[Last_Name]]))</f>
        <v>Alicejones</v>
      </c>
      <c r="N496" s="3" t="str">
        <f t="shared" si="7"/>
        <v>Feb</v>
      </c>
      <c r="O496" s="3" t="str">
        <f>TEXT(Table13[[#This Row],[Join_Date]],"yyyy")</f>
        <v>2022</v>
      </c>
      <c r="P496" s="3" t="str">
        <f>LEFT('Main Project Raw Data'!E496,FIND("-",'Main Project Raw Data'!E496)-1)</f>
        <v>HR</v>
      </c>
      <c r="Q496" s="3" t="str">
        <f>RIGHT('Main Project Raw Data'!E496,LEN('Main Project Raw Data'!E496)-FIND("-",'Main Project Raw Data'!E496))</f>
        <v>Florida</v>
      </c>
    </row>
    <row r="497" spans="1:17" x14ac:dyDescent="0.3">
      <c r="A497" s="3" t="str">
        <f>TRIM(Table1[[#This Row],[Employee_ID]])</f>
        <v>EMP1495</v>
      </c>
      <c r="B497" s="3" t="str">
        <f>TRIM(Table1[[#This Row],[First_Name]])</f>
        <v>Frank</v>
      </c>
      <c r="C497" s="3" t="str">
        <f>TRIM(Table1[[#This Row],[Last_Name]])</f>
        <v>Davis</v>
      </c>
      <c r="D497" s="3">
        <f>IF(Table1[[#This Row],[Age]]="",AVERAGE(Table1[Age]),Table1[[#This Row],[Age]])</f>
        <v>35</v>
      </c>
      <c r="E497" s="3" t="s">
        <v>118</v>
      </c>
      <c r="F497" s="3" t="s">
        <v>28</v>
      </c>
      <c r="G497" s="5">
        <f>IF(ISNUMBER('Main Project Raw Data'!G497),'Main Project Raw Data'!G497,IF(ISNUMBER(SEARCH("/",'Main Project Raw Data'!G497)),DATE(RIGHT('Main Project Raw Data'!G497,4),LEFT('Main Project Raw Data'!G497,FIND("/",'Main Project Raw Data'!G497)-1),MID('Main Project Raw Data'!G497,FIND("/",'Main Project Raw Data'!G497)+1,2)),DATE(RIGHT('Main Project Raw Data'!G497,4),MID('Main Project Raw Data'!G497,4,2),LEFT('Main Project Raw Data'!G497,2))))</f>
        <v>45532</v>
      </c>
      <c r="H497" s="3">
        <f>IF(Table1[[#This Row],[Salary]]="",AVERAGE(Table1[Salary]),Table1[[#This Row],[Salary]])</f>
        <v>98219.54</v>
      </c>
      <c r="I497" s="3" t="s">
        <v>52</v>
      </c>
      <c r="J497" s="3">
        <f>ABS(Table1[[#This Row],[Phone]])</f>
        <v>9413475097</v>
      </c>
      <c r="K497" s="3" t="str">
        <f>PROPER(TRIM(Table1[[#This Row],[Performance_Score]]))</f>
        <v>Good</v>
      </c>
      <c r="L497" s="3" t="b">
        <f>Table1[[#This Row],[Remote_Work]]</f>
        <v>1</v>
      </c>
      <c r="M497" s="3" t="str">
        <f>PROPER(CONCATENATE(Table13[[#This Row],[First_Name]], Table13[[#This Row],[Last_Name]]))</f>
        <v>Frankdavis</v>
      </c>
      <c r="N497" s="3" t="str">
        <f t="shared" si="7"/>
        <v>Aug</v>
      </c>
      <c r="O497" s="3" t="str">
        <f>TEXT(Table13[[#This Row],[Join_Date]],"yyyy")</f>
        <v>2024</v>
      </c>
      <c r="P497" s="3" t="str">
        <f>LEFT('Main Project Raw Data'!E497,FIND("-",'Main Project Raw Data'!E497)-1)</f>
        <v>Admin</v>
      </c>
      <c r="Q497" s="3" t="str">
        <f>RIGHT('Main Project Raw Data'!E497,LEN('Main Project Raw Data'!E497)-FIND("-",'Main Project Raw Data'!E497))</f>
        <v>California</v>
      </c>
    </row>
    <row r="498" spans="1:17" x14ac:dyDescent="0.3">
      <c r="A498" s="3" t="str">
        <f>TRIM(Table1[[#This Row],[Employee_ID]])</f>
        <v>EMP1496</v>
      </c>
      <c r="B498" s="3" t="str">
        <f>TRIM(Table1[[#This Row],[First_Name]])</f>
        <v>Grace</v>
      </c>
      <c r="C498" s="3" t="str">
        <f>TRIM(Table1[[#This Row],[Last_Name]])</f>
        <v>Williams</v>
      </c>
      <c r="D498" s="3">
        <f>IF(Table1[[#This Row],[Age]]="",AVERAGE(Table1[Age]),Table1[[#This Row],[Age]])</f>
        <v>25</v>
      </c>
      <c r="E498" s="3" t="s">
        <v>89</v>
      </c>
      <c r="F498" s="3" t="s">
        <v>16</v>
      </c>
      <c r="G498" s="5">
        <f>IF(ISNUMBER('Main Project Raw Data'!G498),'Main Project Raw Data'!G498,IF(ISNUMBER(SEARCH("/",'Main Project Raw Data'!G498)),DATE(RIGHT('Main Project Raw Data'!G498,4),LEFT('Main Project Raw Data'!G498,FIND("/",'Main Project Raw Data'!G498)-1),MID('Main Project Raw Data'!G498,FIND("/",'Main Project Raw Data'!G498)+1,2)),DATE(RIGHT('Main Project Raw Data'!G498,4),MID('Main Project Raw Data'!G498,4,2),LEFT('Main Project Raw Data'!G498,2))))</f>
        <v>45586</v>
      </c>
      <c r="H498" s="3">
        <f>IF(Table1[[#This Row],[Salary]]="",AVERAGE(Table1[Salary]),Table1[[#This Row],[Salary]])</f>
        <v>65494.58</v>
      </c>
      <c r="I498" s="3" t="s">
        <v>71</v>
      </c>
      <c r="J498" s="3">
        <f>ABS(Table1[[#This Row],[Phone]])</f>
        <v>8986456521</v>
      </c>
      <c r="K498" s="3" t="str">
        <f>PROPER(TRIM(Table1[[#This Row],[Performance_Score]]))</f>
        <v>Average</v>
      </c>
      <c r="L498" s="3" t="b">
        <f>Table1[[#This Row],[Remote_Work]]</f>
        <v>1</v>
      </c>
      <c r="M498" s="3" t="str">
        <f>PROPER(CONCATENATE(Table13[[#This Row],[First_Name]], Table13[[#This Row],[Last_Name]]))</f>
        <v>Gracewilliams</v>
      </c>
      <c r="N498" s="3" t="str">
        <f t="shared" si="7"/>
        <v>Oct</v>
      </c>
      <c r="O498" s="3" t="str">
        <f>TEXT(Table13[[#This Row],[Join_Date]],"yyyy")</f>
        <v>2024</v>
      </c>
      <c r="P498" s="3" t="str">
        <f>LEFT('Main Project Raw Data'!E498,FIND("-",'Main Project Raw Data'!E498)-1)</f>
        <v>Admin</v>
      </c>
      <c r="Q498" s="3" t="str">
        <f>RIGHT('Main Project Raw Data'!E498,LEN('Main Project Raw Data'!E498)-FIND("-",'Main Project Raw Data'!E498))</f>
        <v>Illinois</v>
      </c>
    </row>
    <row r="499" spans="1:17" x14ac:dyDescent="0.3">
      <c r="A499" s="3" t="str">
        <f>TRIM(Table1[[#This Row],[Employee_ID]])</f>
        <v>EMP1497</v>
      </c>
      <c r="B499" s="3" t="str">
        <f>TRIM(Table1[[#This Row],[First_Name]])</f>
        <v>David</v>
      </c>
      <c r="C499" s="3" t="str">
        <f>TRIM(Table1[[#This Row],[Last_Name]])</f>
        <v>Brown</v>
      </c>
      <c r="D499" s="3">
        <f>IF(Table1[[#This Row],[Age]]="",AVERAGE(Table1[Age]),Table1[[#This Row],[Age]])</f>
        <v>35</v>
      </c>
      <c r="E499" s="3" t="s">
        <v>230</v>
      </c>
      <c r="F499" s="3" t="s">
        <v>28</v>
      </c>
      <c r="G499" s="5">
        <f>IF(ISNUMBER('Main Project Raw Data'!G499),'Main Project Raw Data'!G499,IF(ISNUMBER(SEARCH("/",'Main Project Raw Data'!G499)),DATE(RIGHT('Main Project Raw Data'!G499,4),LEFT('Main Project Raw Data'!G499,FIND("/",'Main Project Raw Data'!G499)-1),MID('Main Project Raw Data'!G499,FIND("/",'Main Project Raw Data'!G499)+1,2)),DATE(RIGHT('Main Project Raw Data'!G499,4),MID('Main Project Raw Data'!G499,4,2),LEFT('Main Project Raw Data'!G499,2))))</f>
        <v>44137</v>
      </c>
      <c r="H499" s="3">
        <f>IF(Table1[[#This Row],[Salary]]="",AVERAGE(Table1[Salary]),Table1[[#This Row],[Salary]])</f>
        <v>110524.1</v>
      </c>
      <c r="I499" s="3" t="s">
        <v>225</v>
      </c>
      <c r="J499" s="3">
        <f>ABS(Table1[[#This Row],[Phone]])</f>
        <v>368499514</v>
      </c>
      <c r="K499" s="3" t="str">
        <f>PROPER(TRIM(Table1[[#This Row],[Performance_Score]]))</f>
        <v>Average</v>
      </c>
      <c r="L499" s="3" t="b">
        <f>Table1[[#This Row],[Remote_Work]]</f>
        <v>0</v>
      </c>
      <c r="M499" s="3" t="str">
        <f>PROPER(CONCATENATE(Table13[[#This Row],[First_Name]], Table13[[#This Row],[Last_Name]]))</f>
        <v>Davidbrown</v>
      </c>
      <c r="N499" s="3" t="str">
        <f t="shared" si="7"/>
        <v>Nov</v>
      </c>
      <c r="O499" s="3" t="str">
        <f>TEXT(Table13[[#This Row],[Join_Date]],"yyyy")</f>
        <v>2020</v>
      </c>
      <c r="P499" s="3" t="str">
        <f>LEFT('Main Project Raw Data'!E499,FIND("-",'Main Project Raw Data'!E499)-1)</f>
        <v>DevOps</v>
      </c>
      <c r="Q499" s="3" t="str">
        <f>RIGHT('Main Project Raw Data'!E499,LEN('Main Project Raw Data'!E499)-FIND("-",'Main Project Raw Data'!E499))</f>
        <v>Florida</v>
      </c>
    </row>
    <row r="500" spans="1:17" x14ac:dyDescent="0.3">
      <c r="A500" s="3" t="str">
        <f>TRIM(Table1[[#This Row],[Employee_ID]])</f>
        <v>EMP1498</v>
      </c>
      <c r="B500" s="3" t="str">
        <f>TRIM(Table1[[#This Row],[First_Name]])</f>
        <v>Alice</v>
      </c>
      <c r="C500" s="3" t="str">
        <f>TRIM(Table1[[#This Row],[Last_Name]])</f>
        <v>Smith</v>
      </c>
      <c r="D500" s="3">
        <f>IF(Table1[[#This Row],[Age]]="",AVERAGE(Table1[Age]),Table1[[#This Row],[Age]])</f>
        <v>40</v>
      </c>
      <c r="E500" s="3" t="s">
        <v>27</v>
      </c>
      <c r="F500" s="3" t="s">
        <v>16</v>
      </c>
      <c r="G500" s="5">
        <f>IF(ISNUMBER('Main Project Raw Data'!G500),'Main Project Raw Data'!G500,IF(ISNUMBER(SEARCH("/",'Main Project Raw Data'!G500)),DATE(RIGHT('Main Project Raw Data'!G500,4),LEFT('Main Project Raw Data'!G500,FIND("/",'Main Project Raw Data'!G500)-1),MID('Main Project Raw Data'!G500,FIND("/",'Main Project Raw Data'!G500)+1,2)),DATE(RIGHT('Main Project Raw Data'!G500,4),MID('Main Project Raw Data'!G500,4,2),LEFT('Main Project Raw Data'!G500,2))))</f>
        <v>45062</v>
      </c>
      <c r="H500" s="3">
        <f>IF(Table1[[#This Row],[Salary]]="",AVERAGE(Table1[Salary]),Table1[[#This Row],[Salary]])</f>
        <v>106060.54</v>
      </c>
      <c r="I500" s="3" t="s">
        <v>182</v>
      </c>
      <c r="J500" s="3">
        <f>ABS(Table1[[#This Row],[Phone]])</f>
        <v>4214477323</v>
      </c>
      <c r="K500" s="3" t="str">
        <f>PROPER(TRIM(Table1[[#This Row],[Performance_Score]]))</f>
        <v>Poor</v>
      </c>
      <c r="L500" s="3" t="b">
        <f>Table1[[#This Row],[Remote_Work]]</f>
        <v>0</v>
      </c>
      <c r="M500" s="3" t="str">
        <f>PROPER(CONCATENATE(Table13[[#This Row],[First_Name]], Table13[[#This Row],[Last_Name]]))</f>
        <v>Alicesmith</v>
      </c>
      <c r="N500" s="3" t="str">
        <f t="shared" si="7"/>
        <v>May</v>
      </c>
      <c r="O500" s="3" t="str">
        <f>TEXT(Table13[[#This Row],[Join_Date]],"yyyy")</f>
        <v>2023</v>
      </c>
      <c r="P500" s="3" t="str">
        <f>LEFT('Main Project Raw Data'!E500,FIND("-",'Main Project Raw Data'!E500)-1)</f>
        <v>Admin</v>
      </c>
      <c r="Q500" s="3" t="str">
        <f>RIGHT('Main Project Raw Data'!E500,LEN('Main Project Raw Data'!E500)-FIND("-",'Main Project Raw Data'!E500))</f>
        <v>Nevada</v>
      </c>
    </row>
    <row r="501" spans="1:17" x14ac:dyDescent="0.3">
      <c r="A501" s="3" t="str">
        <f>TRIM(Table1[[#This Row],[Employee_ID]])</f>
        <v>EMP1499</v>
      </c>
      <c r="B501" s="3" t="str">
        <f>TRIM(Table1[[#This Row],[First_Name]])</f>
        <v>Eva</v>
      </c>
      <c r="C501" s="3" t="str">
        <f>TRIM(Table1[[#This Row],[Last_Name]])</f>
        <v>Brown</v>
      </c>
      <c r="D501" s="3">
        <f>IF(Table1[[#This Row],[Age]]="",AVERAGE(Table1[Age]),Table1[[#This Row],[Age]])</f>
        <v>35</v>
      </c>
      <c r="E501" s="3" t="s">
        <v>112</v>
      </c>
      <c r="F501" s="3" t="s">
        <v>33</v>
      </c>
      <c r="G501" s="5">
        <f>IF(ISNUMBER('Main Project Raw Data'!G501),'Main Project Raw Data'!G501,IF(ISNUMBER(SEARCH("/",'Main Project Raw Data'!G501)),DATE(RIGHT('Main Project Raw Data'!G501,4),LEFT('Main Project Raw Data'!G501,FIND("/",'Main Project Raw Data'!G501)-1),MID('Main Project Raw Data'!G501,FIND("/",'Main Project Raw Data'!G501)+1,2)),DATE(RIGHT('Main Project Raw Data'!G501,4),MID('Main Project Raw Data'!G501,4,2),LEFT('Main Project Raw Data'!G501,2))))</f>
        <v>44771</v>
      </c>
      <c r="H501" s="3">
        <f>IF(Table1[[#This Row],[Salary]]="",AVERAGE(Table1[Salary]),Table1[[#This Row],[Salary]])</f>
        <v>67639.91</v>
      </c>
      <c r="I501" s="3" t="s">
        <v>155</v>
      </c>
      <c r="J501" s="3">
        <f>ABS(Table1[[#This Row],[Phone]])</f>
        <v>4913421387</v>
      </c>
      <c r="K501" s="3" t="str">
        <f>PROPER(TRIM(Table1[[#This Row],[Performance_Score]]))</f>
        <v>Excellent</v>
      </c>
      <c r="L501" s="3" t="b">
        <f>Table1[[#This Row],[Remote_Work]]</f>
        <v>1</v>
      </c>
      <c r="M501" s="3" t="str">
        <f>PROPER(CONCATENATE(Table13[[#This Row],[First_Name]], Table13[[#This Row],[Last_Name]]))</f>
        <v>Evabrown</v>
      </c>
      <c r="N501" s="3" t="str">
        <f t="shared" si="7"/>
        <v>Jul</v>
      </c>
      <c r="O501" s="3" t="str">
        <f>TEXT(Table13[[#This Row],[Join_Date]],"yyyy")</f>
        <v>2022</v>
      </c>
      <c r="P501" s="3" t="str">
        <f>LEFT('Main Project Raw Data'!E501,FIND("-",'Main Project Raw Data'!E501)-1)</f>
        <v>Finance</v>
      </c>
      <c r="Q501" s="3" t="str">
        <f>RIGHT('Main Project Raw Data'!E501,LEN('Main Project Raw Data'!E501)-FIND("-",'Main Project Raw Data'!E501))</f>
        <v>Florida</v>
      </c>
    </row>
    <row r="502" spans="1:17" x14ac:dyDescent="0.3">
      <c r="A502" s="3" t="str">
        <f>TRIM(Table1[[#This Row],[Employee_ID]])</f>
        <v>EMP1500</v>
      </c>
      <c r="B502" s="3" t="str">
        <f>TRIM(Table1[[#This Row],[First_Name]])</f>
        <v>Grace</v>
      </c>
      <c r="C502" s="3" t="str">
        <f>TRIM(Table1[[#This Row],[Last_Name]])</f>
        <v>Davis</v>
      </c>
      <c r="D502" s="3">
        <f>IF(Table1[[#This Row],[Age]]="",AVERAGE(Table1[Age]),Table1[[#This Row],[Age]])</f>
        <v>32.484548825710753</v>
      </c>
      <c r="E502" s="3" t="s">
        <v>159</v>
      </c>
      <c r="F502" s="3" t="s">
        <v>28</v>
      </c>
      <c r="G502" s="5">
        <f>IF(ISNUMBER('Main Project Raw Data'!G502),'Main Project Raw Data'!G502,IF(ISNUMBER(SEARCH("/",'Main Project Raw Data'!G502)),DATE(RIGHT('Main Project Raw Data'!G502,4),LEFT('Main Project Raw Data'!G502,FIND("/",'Main Project Raw Data'!G502)-1),MID('Main Project Raw Data'!G502,FIND("/",'Main Project Raw Data'!G502)+1,2)),DATE(RIGHT('Main Project Raw Data'!G502,4),MID('Main Project Raw Data'!G502,4,2),LEFT('Main Project Raw Data'!G502,2))))</f>
        <v>45187</v>
      </c>
      <c r="H502" s="3">
        <f>IF(Table1[[#This Row],[Salary]]="",AVERAGE(Table1[Salary]),Table1[[#This Row],[Salary]])</f>
        <v>117653.98</v>
      </c>
      <c r="I502" s="3" t="s">
        <v>235</v>
      </c>
      <c r="J502" s="3">
        <f>ABS(Table1[[#This Row],[Phone]])</f>
        <v>2090883069</v>
      </c>
      <c r="K502" s="3" t="str">
        <f>PROPER(TRIM(Table1[[#This Row],[Performance_Score]]))</f>
        <v>Good</v>
      </c>
      <c r="L502" s="3" t="b">
        <f>Table1[[#This Row],[Remote_Work]]</f>
        <v>1</v>
      </c>
      <c r="M502" s="3" t="str">
        <f>PROPER(CONCATENATE(Table13[[#This Row],[First_Name]], Table13[[#This Row],[Last_Name]]))</f>
        <v>Gracedavis</v>
      </c>
      <c r="N502" s="3" t="str">
        <f t="shared" si="7"/>
        <v>Sep</v>
      </c>
      <c r="O502" s="3" t="str">
        <f>TEXT(Table13[[#This Row],[Join_Date]],"yyyy")</f>
        <v>2023</v>
      </c>
      <c r="P502" s="3" t="str">
        <f>LEFT('Main Project Raw Data'!E502,FIND("-",'Main Project Raw Data'!E502)-1)</f>
        <v>Cloud Tech</v>
      </c>
      <c r="Q502" s="3" t="str">
        <f>RIGHT('Main Project Raw Data'!E502,LEN('Main Project Raw Data'!E502)-FIND("-",'Main Project Raw Data'!E502))</f>
        <v>Texas</v>
      </c>
    </row>
    <row r="503" spans="1:17" x14ac:dyDescent="0.3">
      <c r="A503" s="3" t="str">
        <f>TRIM(Table1[[#This Row],[Employee_ID]])</f>
        <v>EMP1501</v>
      </c>
      <c r="B503" s="3" t="str">
        <f>TRIM(Table1[[#This Row],[First_Name]])</f>
        <v>Eva</v>
      </c>
      <c r="C503" s="3" t="str">
        <f>TRIM(Table1[[#This Row],[Last_Name]])</f>
        <v>Jones</v>
      </c>
      <c r="D503" s="3">
        <f>IF(Table1[[#This Row],[Age]]="",AVERAGE(Table1[Age]),Table1[[#This Row],[Age]])</f>
        <v>35</v>
      </c>
      <c r="E503" s="3" t="s">
        <v>237</v>
      </c>
      <c r="F503" s="3" t="s">
        <v>33</v>
      </c>
      <c r="G503" s="5">
        <f>IF(ISNUMBER('Main Project Raw Data'!G503),'Main Project Raw Data'!G503,IF(ISNUMBER(SEARCH("/",'Main Project Raw Data'!G503)),DATE(RIGHT('Main Project Raw Data'!G503,4),LEFT('Main Project Raw Data'!G503,FIND("/",'Main Project Raw Data'!G503)-1),MID('Main Project Raw Data'!G503,FIND("/",'Main Project Raw Data'!G503)+1,2)),DATE(RIGHT('Main Project Raw Data'!G503,4),MID('Main Project Raw Data'!G503,4,2),LEFT('Main Project Raw Data'!G503,2))))</f>
        <v>44109</v>
      </c>
      <c r="H503" s="3">
        <f>IF(Table1[[#This Row],[Salary]]="",AVERAGE(Table1[Salary]),Table1[[#This Row],[Salary]])</f>
        <v>73539.86</v>
      </c>
      <c r="I503" s="3" t="s">
        <v>277</v>
      </c>
      <c r="J503" s="3">
        <f>ABS(Table1[[#This Row],[Phone]])</f>
        <v>5349678273</v>
      </c>
      <c r="K503" s="3" t="str">
        <f>PROPER(TRIM(Table1[[#This Row],[Performance_Score]]))</f>
        <v>Excellent</v>
      </c>
      <c r="L503" s="3" t="b">
        <f>Table1[[#This Row],[Remote_Work]]</f>
        <v>1</v>
      </c>
      <c r="M503" s="3" t="str">
        <f>PROPER(CONCATENATE(Table13[[#This Row],[First_Name]], Table13[[#This Row],[Last_Name]]))</f>
        <v>Evajones</v>
      </c>
      <c r="N503" s="3" t="str">
        <f t="shared" si="7"/>
        <v>Oct</v>
      </c>
      <c r="O503" s="3" t="str">
        <f>TEXT(Table13[[#This Row],[Join_Date]],"yyyy")</f>
        <v>2020</v>
      </c>
      <c r="P503" s="3" t="str">
        <f>LEFT('Main Project Raw Data'!E503,FIND("-",'Main Project Raw Data'!E503)-1)</f>
        <v>DevOps</v>
      </c>
      <c r="Q503" s="3" t="str">
        <f>RIGHT('Main Project Raw Data'!E503,LEN('Main Project Raw Data'!E503)-FIND("-",'Main Project Raw Data'!E503))</f>
        <v>Texas</v>
      </c>
    </row>
    <row r="504" spans="1:17" x14ac:dyDescent="0.3">
      <c r="A504" s="3" t="str">
        <f>TRIM(Table1[[#This Row],[Employee_ID]])</f>
        <v>EMP1502</v>
      </c>
      <c r="B504" s="3" t="str">
        <f>TRIM(Table1[[#This Row],[First_Name]])</f>
        <v>Frank</v>
      </c>
      <c r="C504" s="3" t="str">
        <f>TRIM(Table1[[#This Row],[Last_Name]])</f>
        <v>Jones</v>
      </c>
      <c r="D504" s="3">
        <f>IF(Table1[[#This Row],[Age]]="",AVERAGE(Table1[Age]),Table1[[#This Row],[Age]])</f>
        <v>35</v>
      </c>
      <c r="E504" s="3" t="s">
        <v>149</v>
      </c>
      <c r="F504" s="3" t="s">
        <v>28</v>
      </c>
      <c r="G504" s="5">
        <f>IF(ISNUMBER('Main Project Raw Data'!G504),'Main Project Raw Data'!G504,IF(ISNUMBER(SEARCH("/",'Main Project Raw Data'!G504)),DATE(RIGHT('Main Project Raw Data'!G504,4),LEFT('Main Project Raw Data'!G504,FIND("/",'Main Project Raw Data'!G504)-1),MID('Main Project Raw Data'!G504,FIND("/",'Main Project Raw Data'!G504)+1,2)),DATE(RIGHT('Main Project Raw Data'!G504,4),MID('Main Project Raw Data'!G504,4,2),LEFT('Main Project Raw Data'!G504,2))))</f>
        <v>45165</v>
      </c>
      <c r="H504" s="3">
        <f>IF(Table1[[#This Row],[Salary]]="",AVERAGE(Table1[Salary]),Table1[[#This Row],[Salary]])</f>
        <v>70915.38</v>
      </c>
      <c r="I504" s="3" t="s">
        <v>47</v>
      </c>
      <c r="J504" s="3">
        <f>ABS(Table1[[#This Row],[Phone]])</f>
        <v>1176741240</v>
      </c>
      <c r="K504" s="3" t="str">
        <f>PROPER(TRIM(Table1[[#This Row],[Performance_Score]]))</f>
        <v>Excellent</v>
      </c>
      <c r="L504" s="3" t="b">
        <f>Table1[[#This Row],[Remote_Work]]</f>
        <v>1</v>
      </c>
      <c r="M504" s="3" t="str">
        <f>PROPER(CONCATENATE(Table13[[#This Row],[First_Name]], Table13[[#This Row],[Last_Name]]))</f>
        <v>Frankjones</v>
      </c>
      <c r="N504" s="3" t="str">
        <f t="shared" si="7"/>
        <v>Aug</v>
      </c>
      <c r="O504" s="3" t="str">
        <f>TEXT(Table13[[#This Row],[Join_Date]],"yyyy")</f>
        <v>2023</v>
      </c>
      <c r="P504" s="3" t="str">
        <f>LEFT('Main Project Raw Data'!E504,FIND("-",'Main Project Raw Data'!E504)-1)</f>
        <v>HR</v>
      </c>
      <c r="Q504" s="3" t="str">
        <f>RIGHT('Main Project Raw Data'!E504,LEN('Main Project Raw Data'!E504)-FIND("-",'Main Project Raw Data'!E504))</f>
        <v>Nevada</v>
      </c>
    </row>
    <row r="505" spans="1:17" x14ac:dyDescent="0.3">
      <c r="A505" s="3" t="str">
        <f>TRIM(Table1[[#This Row],[Employee_ID]])</f>
        <v>EMP1503</v>
      </c>
      <c r="B505" s="3" t="str">
        <f>TRIM(Table1[[#This Row],[First_Name]])</f>
        <v>David</v>
      </c>
      <c r="C505" s="3" t="str">
        <f>TRIM(Table1[[#This Row],[Last_Name]])</f>
        <v>Garcia</v>
      </c>
      <c r="D505" s="3">
        <f>IF(Table1[[#This Row],[Age]]="",AVERAGE(Table1[Age]),Table1[[#This Row],[Age]])</f>
        <v>25</v>
      </c>
      <c r="E505" s="3" t="s">
        <v>74</v>
      </c>
      <c r="F505" s="3" t="s">
        <v>28</v>
      </c>
      <c r="G505" s="5">
        <f>IF(ISNUMBER('Main Project Raw Data'!G505),'Main Project Raw Data'!G505,IF(ISNUMBER(SEARCH("/",'Main Project Raw Data'!G505)),DATE(RIGHT('Main Project Raw Data'!G505,4),LEFT('Main Project Raw Data'!G505,FIND("/",'Main Project Raw Data'!G505)-1),MID('Main Project Raw Data'!G505,FIND("/",'Main Project Raw Data'!G505)+1,2)),DATE(RIGHT('Main Project Raw Data'!G505,4),MID('Main Project Raw Data'!G505,4,2),LEFT('Main Project Raw Data'!G505,2))))</f>
        <v>44485</v>
      </c>
      <c r="H505" s="3">
        <f>IF(Table1[[#This Row],[Salary]]="",AVERAGE(Table1[Salary]),Table1[[#This Row],[Salary]])</f>
        <v>97652.9</v>
      </c>
      <c r="I505" s="3" t="s">
        <v>101</v>
      </c>
      <c r="J505" s="3">
        <f>ABS(Table1[[#This Row],[Phone]])</f>
        <v>5131528546</v>
      </c>
      <c r="K505" s="3" t="str">
        <f>PROPER(TRIM(Table1[[#This Row],[Performance_Score]]))</f>
        <v>Excellent</v>
      </c>
      <c r="L505" s="3" t="b">
        <f>Table1[[#This Row],[Remote_Work]]</f>
        <v>0</v>
      </c>
      <c r="M505" s="3" t="str">
        <f>PROPER(CONCATENATE(Table13[[#This Row],[First_Name]], Table13[[#This Row],[Last_Name]]))</f>
        <v>Davidgarcia</v>
      </c>
      <c r="N505" s="3" t="str">
        <f t="shared" si="7"/>
        <v>Oct</v>
      </c>
      <c r="O505" s="3" t="str">
        <f>TEXT(Table13[[#This Row],[Join_Date]],"yyyy")</f>
        <v>2021</v>
      </c>
      <c r="P505" s="3" t="str">
        <f>LEFT('Main Project Raw Data'!E505,FIND("-",'Main Project Raw Data'!E505)-1)</f>
        <v>Sales</v>
      </c>
      <c r="Q505" s="3" t="str">
        <f>RIGHT('Main Project Raw Data'!E505,LEN('Main Project Raw Data'!E505)-FIND("-",'Main Project Raw Data'!E505))</f>
        <v>Florida</v>
      </c>
    </row>
    <row r="506" spans="1:17" x14ac:dyDescent="0.3">
      <c r="A506" s="3" t="str">
        <f>TRIM(Table1[[#This Row],[Employee_ID]])</f>
        <v>EMP1504</v>
      </c>
      <c r="B506" s="3" t="str">
        <f>TRIM(Table1[[#This Row],[First_Name]])</f>
        <v>Heidi</v>
      </c>
      <c r="C506" s="3" t="str">
        <f>TRIM(Table1[[#This Row],[Last_Name]])</f>
        <v>Davis</v>
      </c>
      <c r="D506" s="3">
        <f>IF(Table1[[#This Row],[Age]]="",AVERAGE(Table1[Age]),Table1[[#This Row],[Age]])</f>
        <v>35</v>
      </c>
      <c r="E506" s="3" t="s">
        <v>212</v>
      </c>
      <c r="F506" s="3" t="s">
        <v>33</v>
      </c>
      <c r="G506" s="5">
        <f>IF(ISNUMBER('Main Project Raw Data'!G506),'Main Project Raw Data'!G506,IF(ISNUMBER(SEARCH("/",'Main Project Raw Data'!G506)),DATE(RIGHT('Main Project Raw Data'!G506,4),LEFT('Main Project Raw Data'!G506,FIND("/",'Main Project Raw Data'!G506)-1),MID('Main Project Raw Data'!G506,FIND("/",'Main Project Raw Data'!G506)+1,2)),DATE(RIGHT('Main Project Raw Data'!G506,4),MID('Main Project Raw Data'!G506,4,2),LEFT('Main Project Raw Data'!G506,2))))</f>
        <v>44715</v>
      </c>
      <c r="H506" s="3">
        <f>IF(Table1[[#This Row],[Salary]]="",AVERAGE(Table1[Salary]),Table1[[#This Row],[Salary]])</f>
        <v>101571.25</v>
      </c>
      <c r="I506" s="3" t="s">
        <v>394</v>
      </c>
      <c r="J506" s="3">
        <f>ABS(Table1[[#This Row],[Phone]])</f>
        <v>8150618537</v>
      </c>
      <c r="K506" s="3" t="str">
        <f>PROPER(TRIM(Table1[[#This Row],[Performance_Score]]))</f>
        <v>Excellent</v>
      </c>
      <c r="L506" s="3" t="b">
        <f>Table1[[#This Row],[Remote_Work]]</f>
        <v>0</v>
      </c>
      <c r="M506" s="3" t="str">
        <f>PROPER(CONCATENATE(Table13[[#This Row],[First_Name]], Table13[[#This Row],[Last_Name]]))</f>
        <v>Heididavis</v>
      </c>
      <c r="N506" s="3" t="str">
        <f t="shared" si="7"/>
        <v>Jun</v>
      </c>
      <c r="O506" s="3" t="str">
        <f>TEXT(Table13[[#This Row],[Join_Date]],"yyyy")</f>
        <v>2022</v>
      </c>
      <c r="P506" s="3" t="str">
        <f>LEFT('Main Project Raw Data'!E506,FIND("-",'Main Project Raw Data'!E506)-1)</f>
        <v>HR</v>
      </c>
      <c r="Q506" s="3" t="str">
        <f>RIGHT('Main Project Raw Data'!E506,LEN('Main Project Raw Data'!E506)-FIND("-",'Main Project Raw Data'!E506))</f>
        <v>Florida</v>
      </c>
    </row>
    <row r="507" spans="1:17" x14ac:dyDescent="0.3">
      <c r="A507" s="3" t="str">
        <f>TRIM(Table1[[#This Row],[Employee_ID]])</f>
        <v>EMP1505</v>
      </c>
      <c r="B507" s="3" t="str">
        <f>TRIM(Table1[[#This Row],[First_Name]])</f>
        <v>David</v>
      </c>
      <c r="C507" s="3" t="str">
        <f>TRIM(Table1[[#This Row],[Last_Name]])</f>
        <v>Smith</v>
      </c>
      <c r="D507" s="3">
        <f>IF(Table1[[#This Row],[Age]]="",AVERAGE(Table1[Age]),Table1[[#This Row],[Age]])</f>
        <v>35</v>
      </c>
      <c r="E507" s="3" t="s">
        <v>328</v>
      </c>
      <c r="F507" s="3" t="s">
        <v>16</v>
      </c>
      <c r="G507" s="5">
        <f>IF(ISNUMBER('Main Project Raw Data'!G507),'Main Project Raw Data'!G507,IF(ISNUMBER(SEARCH("/",'Main Project Raw Data'!G507)),DATE(RIGHT('Main Project Raw Data'!G507,4),LEFT('Main Project Raw Data'!G507,FIND("/",'Main Project Raw Data'!G507)-1),MID('Main Project Raw Data'!G507,FIND("/",'Main Project Raw Data'!G507)+1,2)),DATE(RIGHT('Main Project Raw Data'!G507,4),MID('Main Project Raw Data'!G507,4,2),LEFT('Main Project Raw Data'!G507,2))))</f>
        <v>45088</v>
      </c>
      <c r="H507" s="3">
        <f>IF(Table1[[#This Row],[Salary]]="",AVERAGE(Table1[Salary]),Table1[[#This Row],[Salary]])</f>
        <v>87424.46</v>
      </c>
      <c r="I507" s="3" t="s">
        <v>340</v>
      </c>
      <c r="J507" s="3">
        <f>ABS(Table1[[#This Row],[Phone]])</f>
        <v>32963346</v>
      </c>
      <c r="K507" s="3" t="str">
        <f>PROPER(TRIM(Table1[[#This Row],[Performance_Score]]))</f>
        <v>Average</v>
      </c>
      <c r="L507" s="3" t="b">
        <f>Table1[[#This Row],[Remote_Work]]</f>
        <v>1</v>
      </c>
      <c r="M507" s="3" t="str">
        <f>PROPER(CONCATENATE(Table13[[#This Row],[First_Name]], Table13[[#This Row],[Last_Name]]))</f>
        <v>Davidsmith</v>
      </c>
      <c r="N507" s="3" t="str">
        <f t="shared" si="7"/>
        <v>Jun</v>
      </c>
      <c r="O507" s="3" t="str">
        <f>TEXT(Table13[[#This Row],[Join_Date]],"yyyy")</f>
        <v>2023</v>
      </c>
      <c r="P507" s="3" t="str">
        <f>LEFT('Main Project Raw Data'!E507,FIND("-",'Main Project Raw Data'!E507)-1)</f>
        <v>DevOps</v>
      </c>
      <c r="Q507" s="3" t="str">
        <f>RIGHT('Main Project Raw Data'!E507,LEN('Main Project Raw Data'!E507)-FIND("-",'Main Project Raw Data'!E507))</f>
        <v>Nevada</v>
      </c>
    </row>
    <row r="508" spans="1:17" x14ac:dyDescent="0.3">
      <c r="A508" s="3" t="str">
        <f>TRIM(Table1[[#This Row],[Employee_ID]])</f>
        <v>EMP1506</v>
      </c>
      <c r="B508" s="3" t="str">
        <f>TRIM(Table1[[#This Row],[First_Name]])</f>
        <v>Frank</v>
      </c>
      <c r="C508" s="3" t="str">
        <f>TRIM(Table1[[#This Row],[Last_Name]])</f>
        <v>Garcia</v>
      </c>
      <c r="D508" s="3">
        <f>IF(Table1[[#This Row],[Age]]="",AVERAGE(Table1[Age]),Table1[[#This Row],[Age]])</f>
        <v>32.484548825710753</v>
      </c>
      <c r="E508" s="3" t="s">
        <v>66</v>
      </c>
      <c r="F508" s="3" t="s">
        <v>28</v>
      </c>
      <c r="G508" s="5">
        <f>IF(ISNUMBER('Main Project Raw Data'!G508),'Main Project Raw Data'!G508,IF(ISNUMBER(SEARCH("/",'Main Project Raw Data'!G508)),DATE(RIGHT('Main Project Raw Data'!G508,4),LEFT('Main Project Raw Data'!G508,FIND("/",'Main Project Raw Data'!G508)-1),MID('Main Project Raw Data'!G508,FIND("/",'Main Project Raw Data'!G508)+1,2)),DATE(RIGHT('Main Project Raw Data'!G508,4),MID('Main Project Raw Data'!G508,4,2),LEFT('Main Project Raw Data'!G508,2))))</f>
        <v>45626</v>
      </c>
      <c r="H508" s="3">
        <f>IF(Table1[[#This Row],[Salary]]="",AVERAGE(Table1[Salary]),Table1[[#This Row],[Salary]])</f>
        <v>89077.36</v>
      </c>
      <c r="I508" s="3" t="s">
        <v>180</v>
      </c>
      <c r="J508" s="3">
        <f>ABS(Table1[[#This Row],[Phone]])</f>
        <v>2727423182</v>
      </c>
      <c r="K508" s="3" t="str">
        <f>PROPER(TRIM(Table1[[#This Row],[Performance_Score]]))</f>
        <v>Average</v>
      </c>
      <c r="L508" s="3" t="b">
        <f>Table1[[#This Row],[Remote_Work]]</f>
        <v>0</v>
      </c>
      <c r="M508" s="3" t="str">
        <f>PROPER(CONCATENATE(Table13[[#This Row],[First_Name]], Table13[[#This Row],[Last_Name]]))</f>
        <v>Frankgarcia</v>
      </c>
      <c r="N508" s="3" t="str">
        <f t="shared" si="7"/>
        <v>Nov</v>
      </c>
      <c r="O508" s="3" t="str">
        <f>TEXT(Table13[[#This Row],[Join_Date]],"yyyy")</f>
        <v>2024</v>
      </c>
      <c r="P508" s="3" t="str">
        <f>LEFT('Main Project Raw Data'!E508,FIND("-",'Main Project Raw Data'!E508)-1)</f>
        <v>HR</v>
      </c>
      <c r="Q508" s="3" t="str">
        <f>RIGHT('Main Project Raw Data'!E508,LEN('Main Project Raw Data'!E508)-FIND("-",'Main Project Raw Data'!E508))</f>
        <v>New York</v>
      </c>
    </row>
    <row r="509" spans="1:17" x14ac:dyDescent="0.3">
      <c r="A509" s="3" t="str">
        <f>TRIM(Table1[[#This Row],[Employee_ID]])</f>
        <v>EMP1507</v>
      </c>
      <c r="B509" s="3" t="str">
        <f>TRIM(Table1[[#This Row],[First_Name]])</f>
        <v>Heidi</v>
      </c>
      <c r="C509" s="3" t="str">
        <f>TRIM(Table1[[#This Row],[Last_Name]])</f>
        <v>Williams</v>
      </c>
      <c r="D509" s="3">
        <f>IF(Table1[[#This Row],[Age]]="",AVERAGE(Table1[Age]),Table1[[#This Row],[Age]])</f>
        <v>30</v>
      </c>
      <c r="E509" s="3" t="s">
        <v>15</v>
      </c>
      <c r="F509" s="3" t="s">
        <v>28</v>
      </c>
      <c r="G509" s="5">
        <f>IF(ISNUMBER('Main Project Raw Data'!G509),'Main Project Raw Data'!G509,IF(ISNUMBER(SEARCH("/",'Main Project Raw Data'!G509)),DATE(RIGHT('Main Project Raw Data'!G509,4),LEFT('Main Project Raw Data'!G509,FIND("/",'Main Project Raw Data'!G509)-1),MID('Main Project Raw Data'!G509,FIND("/",'Main Project Raw Data'!G509)+1,2)),DATE(RIGHT('Main Project Raw Data'!G509,4),MID('Main Project Raw Data'!G509,4,2),LEFT('Main Project Raw Data'!G509,2))))</f>
        <v>45486</v>
      </c>
      <c r="H509" s="3">
        <f>IF(Table1[[#This Row],[Salary]]="",AVERAGE(Table1[Salary]),Table1[[#This Row],[Salary]])</f>
        <v>89132.22</v>
      </c>
      <c r="I509" s="3" t="s">
        <v>67</v>
      </c>
      <c r="J509" s="3">
        <f>ABS(Table1[[#This Row],[Phone]])</f>
        <v>617893205</v>
      </c>
      <c r="K509" s="3" t="str">
        <f>PROPER(TRIM(Table1[[#This Row],[Performance_Score]]))</f>
        <v>Excellent</v>
      </c>
      <c r="L509" s="3" t="b">
        <f>Table1[[#This Row],[Remote_Work]]</f>
        <v>1</v>
      </c>
      <c r="M509" s="3" t="str">
        <f>PROPER(CONCATENATE(Table13[[#This Row],[First_Name]], Table13[[#This Row],[Last_Name]]))</f>
        <v>Heidiwilliams</v>
      </c>
      <c r="N509" s="3" t="str">
        <f t="shared" si="7"/>
        <v>Jul</v>
      </c>
      <c r="O509" s="3" t="str">
        <f>TEXT(Table13[[#This Row],[Join_Date]],"yyyy")</f>
        <v>2024</v>
      </c>
      <c r="P509" s="3" t="str">
        <f>LEFT('Main Project Raw Data'!E509,FIND("-",'Main Project Raw Data'!E509)-1)</f>
        <v>DevOps</v>
      </c>
      <c r="Q509" s="3" t="str">
        <f>RIGHT('Main Project Raw Data'!E509,LEN('Main Project Raw Data'!E509)-FIND("-",'Main Project Raw Data'!E509))</f>
        <v>California</v>
      </c>
    </row>
    <row r="510" spans="1:17" x14ac:dyDescent="0.3">
      <c r="A510" s="3" t="str">
        <f>TRIM(Table1[[#This Row],[Employee_ID]])</f>
        <v>EMP1508</v>
      </c>
      <c r="B510" s="3" t="str">
        <f>TRIM(Table1[[#This Row],[First_Name]])</f>
        <v>Frank</v>
      </c>
      <c r="C510" s="3" t="str">
        <f>TRIM(Table1[[#This Row],[Last_Name]])</f>
        <v>Garcia</v>
      </c>
      <c r="D510" s="3">
        <f>IF(Table1[[#This Row],[Age]]="",AVERAGE(Table1[Age]),Table1[[#This Row],[Age]])</f>
        <v>25</v>
      </c>
      <c r="E510" s="3" t="s">
        <v>118</v>
      </c>
      <c r="F510" s="3" t="s">
        <v>16</v>
      </c>
      <c r="G510" s="5">
        <f>IF(ISNUMBER('Main Project Raw Data'!G510),'Main Project Raw Data'!G510,IF(ISNUMBER(SEARCH("/",'Main Project Raw Data'!G510)),DATE(RIGHT('Main Project Raw Data'!G510,4),LEFT('Main Project Raw Data'!G510,FIND("/",'Main Project Raw Data'!G510)-1),MID('Main Project Raw Data'!G510,FIND("/",'Main Project Raw Data'!G510)+1,2)),DATE(RIGHT('Main Project Raw Data'!G510,4),MID('Main Project Raw Data'!G510,4,2),LEFT('Main Project Raw Data'!G510,2))))</f>
        <v>45385</v>
      </c>
      <c r="H510" s="3">
        <f>IF(Table1[[#This Row],[Salary]]="",AVERAGE(Table1[Salary]),Table1[[#This Row],[Salary]])</f>
        <v>111000.26</v>
      </c>
      <c r="I510" s="3" t="s">
        <v>180</v>
      </c>
      <c r="J510" s="3">
        <f>ABS(Table1[[#This Row],[Phone]])</f>
        <v>4969357823</v>
      </c>
      <c r="K510" s="3" t="str">
        <f>PROPER(TRIM(Table1[[#This Row],[Performance_Score]]))</f>
        <v>Good</v>
      </c>
      <c r="L510" s="3" t="b">
        <f>Table1[[#This Row],[Remote_Work]]</f>
        <v>0</v>
      </c>
      <c r="M510" s="3" t="str">
        <f>PROPER(CONCATENATE(Table13[[#This Row],[First_Name]], Table13[[#This Row],[Last_Name]]))</f>
        <v>Frankgarcia</v>
      </c>
      <c r="N510" s="3" t="str">
        <f t="shared" si="7"/>
        <v>Apr</v>
      </c>
      <c r="O510" s="3" t="str">
        <f>TEXT(Table13[[#This Row],[Join_Date]],"yyyy")</f>
        <v>2024</v>
      </c>
      <c r="P510" s="3" t="str">
        <f>LEFT('Main Project Raw Data'!E510,FIND("-",'Main Project Raw Data'!E510)-1)</f>
        <v>Admin</v>
      </c>
      <c r="Q510" s="3" t="str">
        <f>RIGHT('Main Project Raw Data'!E510,LEN('Main Project Raw Data'!E510)-FIND("-",'Main Project Raw Data'!E510))</f>
        <v>California</v>
      </c>
    </row>
    <row r="511" spans="1:17" x14ac:dyDescent="0.3">
      <c r="A511" s="3" t="str">
        <f>TRIM(Table1[[#This Row],[Employee_ID]])</f>
        <v>EMP1509</v>
      </c>
      <c r="B511" s="3" t="str">
        <f>TRIM(Table1[[#This Row],[First_Name]])</f>
        <v>Frank</v>
      </c>
      <c r="C511" s="3" t="str">
        <f>TRIM(Table1[[#This Row],[Last_Name]])</f>
        <v>Johnson</v>
      </c>
      <c r="D511" s="3">
        <f>IF(Table1[[#This Row],[Age]]="",AVERAGE(Table1[Age]),Table1[[#This Row],[Age]])</f>
        <v>35</v>
      </c>
      <c r="E511" s="3" t="s">
        <v>192</v>
      </c>
      <c r="F511" s="3" t="s">
        <v>33</v>
      </c>
      <c r="G511" s="5">
        <f>IF(ISNUMBER('Main Project Raw Data'!G511),'Main Project Raw Data'!G511,IF(ISNUMBER(SEARCH("/",'Main Project Raw Data'!G511)),DATE(RIGHT('Main Project Raw Data'!G511,4),LEFT('Main Project Raw Data'!G511,FIND("/",'Main Project Raw Data'!G511)-1),MID('Main Project Raw Data'!G511,FIND("/",'Main Project Raw Data'!G511)+1,2)),DATE(RIGHT('Main Project Raw Data'!G511,4),MID('Main Project Raw Data'!G511,4,2),LEFT('Main Project Raw Data'!G511,2))))</f>
        <v>44750</v>
      </c>
      <c r="H511" s="3">
        <f>IF(Table1[[#This Row],[Salary]]="",AVERAGE(Table1[Salary]),Table1[[#This Row],[Salary]])</f>
        <v>109584.97</v>
      </c>
      <c r="I511" s="3" t="s">
        <v>271</v>
      </c>
      <c r="J511" s="3">
        <f>ABS(Table1[[#This Row],[Phone]])</f>
        <v>3477695873</v>
      </c>
      <c r="K511" s="3" t="str">
        <f>PROPER(TRIM(Table1[[#This Row],[Performance_Score]]))</f>
        <v>Poor</v>
      </c>
      <c r="L511" s="3" t="b">
        <f>Table1[[#This Row],[Remote_Work]]</f>
        <v>1</v>
      </c>
      <c r="M511" s="3" t="str">
        <f>PROPER(CONCATENATE(Table13[[#This Row],[First_Name]], Table13[[#This Row],[Last_Name]]))</f>
        <v>Frankjohnson</v>
      </c>
      <c r="N511" s="3" t="str">
        <f t="shared" si="7"/>
        <v>Jul</v>
      </c>
      <c r="O511" s="3" t="str">
        <f>TEXT(Table13[[#This Row],[Join_Date]],"yyyy")</f>
        <v>2022</v>
      </c>
      <c r="P511" s="3" t="str">
        <f>LEFT('Main Project Raw Data'!E511,FIND("-",'Main Project Raw Data'!E511)-1)</f>
        <v>HR</v>
      </c>
      <c r="Q511" s="3" t="str">
        <f>RIGHT('Main Project Raw Data'!E511,LEN('Main Project Raw Data'!E511)-FIND("-",'Main Project Raw Data'!E511))</f>
        <v>Illinois</v>
      </c>
    </row>
    <row r="512" spans="1:17" x14ac:dyDescent="0.3">
      <c r="A512" s="3" t="str">
        <f>TRIM(Table1[[#This Row],[Employee_ID]])</f>
        <v>EMP1510</v>
      </c>
      <c r="B512" s="3" t="str">
        <f>TRIM(Table1[[#This Row],[First_Name]])</f>
        <v>Bob</v>
      </c>
      <c r="C512" s="3" t="str">
        <f>TRIM(Table1[[#This Row],[Last_Name]])</f>
        <v>Smith</v>
      </c>
      <c r="D512" s="3">
        <f>IF(Table1[[#This Row],[Age]]="",AVERAGE(Table1[Age]),Table1[[#This Row],[Age]])</f>
        <v>40</v>
      </c>
      <c r="E512" s="3" t="s">
        <v>89</v>
      </c>
      <c r="F512" s="3" t="s">
        <v>16</v>
      </c>
      <c r="G512" s="5">
        <f>IF(ISNUMBER('Main Project Raw Data'!G512),'Main Project Raw Data'!G512,IF(ISNUMBER(SEARCH("/",'Main Project Raw Data'!G512)),DATE(RIGHT('Main Project Raw Data'!G512,4),LEFT('Main Project Raw Data'!G512,FIND("/",'Main Project Raw Data'!G512)-1),MID('Main Project Raw Data'!G512,FIND("/",'Main Project Raw Data'!G512)+1,2)),DATE(RIGHT('Main Project Raw Data'!G512,4),MID('Main Project Raw Data'!G512,4,2),LEFT('Main Project Raw Data'!G512,2))))</f>
        <v>45607</v>
      </c>
      <c r="H512" s="3">
        <f>IF(Table1[[#This Row],[Salary]]="",AVERAGE(Table1[Salary]),Table1[[#This Row],[Salary]])</f>
        <v>97648.84</v>
      </c>
      <c r="I512" s="3" t="s">
        <v>123</v>
      </c>
      <c r="J512" s="3">
        <f>ABS(Table1[[#This Row],[Phone]])</f>
        <v>1314675360</v>
      </c>
      <c r="K512" s="3" t="str">
        <f>PROPER(TRIM(Table1[[#This Row],[Performance_Score]]))</f>
        <v>Good</v>
      </c>
      <c r="L512" s="3" t="b">
        <f>Table1[[#This Row],[Remote_Work]]</f>
        <v>0</v>
      </c>
      <c r="M512" s="3" t="str">
        <f>PROPER(CONCATENATE(Table13[[#This Row],[First_Name]], Table13[[#This Row],[Last_Name]]))</f>
        <v>Bobsmith</v>
      </c>
      <c r="N512" s="3" t="str">
        <f t="shared" si="7"/>
        <v>Nov</v>
      </c>
      <c r="O512" s="3" t="str">
        <f>TEXT(Table13[[#This Row],[Join_Date]],"yyyy")</f>
        <v>2024</v>
      </c>
      <c r="P512" s="3" t="str">
        <f>LEFT('Main Project Raw Data'!E512,FIND("-",'Main Project Raw Data'!E512)-1)</f>
        <v>Admin</v>
      </c>
      <c r="Q512" s="3" t="str">
        <f>RIGHT('Main Project Raw Data'!E512,LEN('Main Project Raw Data'!E512)-FIND("-",'Main Project Raw Data'!E512))</f>
        <v>Illinois</v>
      </c>
    </row>
    <row r="513" spans="1:17" x14ac:dyDescent="0.3">
      <c r="A513" s="3" t="str">
        <f>TRIM(Table1[[#This Row],[Employee_ID]])</f>
        <v>EMP1511</v>
      </c>
      <c r="B513" s="3" t="str">
        <f>TRIM(Table1[[#This Row],[First_Name]])</f>
        <v>Grace</v>
      </c>
      <c r="C513" s="3" t="str">
        <f>TRIM(Table1[[#This Row],[Last_Name]])</f>
        <v>Johnson</v>
      </c>
      <c r="D513" s="3">
        <f>IF(Table1[[#This Row],[Age]]="",AVERAGE(Table1[Age]),Table1[[#This Row],[Age]])</f>
        <v>25</v>
      </c>
      <c r="E513" s="3" t="s">
        <v>196</v>
      </c>
      <c r="F513" s="3" t="s">
        <v>16</v>
      </c>
      <c r="G513" s="5">
        <f>IF(ISNUMBER('Main Project Raw Data'!G513),'Main Project Raw Data'!G513,IF(ISNUMBER(SEARCH("/",'Main Project Raw Data'!G513)),DATE(RIGHT('Main Project Raw Data'!G513,4),LEFT('Main Project Raw Data'!G513,FIND("/",'Main Project Raw Data'!G513)-1),MID('Main Project Raw Data'!G513,FIND("/",'Main Project Raw Data'!G513)+1,2)),DATE(RIGHT('Main Project Raw Data'!G513,4),MID('Main Project Raw Data'!G513,4,2),LEFT('Main Project Raw Data'!G513,2))))</f>
        <v>44239</v>
      </c>
      <c r="H513" s="3">
        <f>IF(Table1[[#This Row],[Salary]]="",AVERAGE(Table1[Salary]),Table1[[#This Row],[Salary]])</f>
        <v>78643.429999999993</v>
      </c>
      <c r="I513" s="3" t="s">
        <v>127</v>
      </c>
      <c r="J513" s="3">
        <f>ABS(Table1[[#This Row],[Phone]])</f>
        <v>2751562778</v>
      </c>
      <c r="K513" s="3" t="str">
        <f>PROPER(TRIM(Table1[[#This Row],[Performance_Score]]))</f>
        <v>Good</v>
      </c>
      <c r="L513" s="3" t="b">
        <f>Table1[[#This Row],[Remote_Work]]</f>
        <v>1</v>
      </c>
      <c r="M513" s="3" t="str">
        <f>PROPER(CONCATENATE(Table13[[#This Row],[First_Name]], Table13[[#This Row],[Last_Name]]))</f>
        <v>Gracejohnson</v>
      </c>
      <c r="N513" s="3" t="str">
        <f t="shared" si="7"/>
        <v>Feb</v>
      </c>
      <c r="O513" s="3" t="str">
        <f>TEXT(Table13[[#This Row],[Join_Date]],"yyyy")</f>
        <v>2021</v>
      </c>
      <c r="P513" s="3" t="str">
        <f>LEFT('Main Project Raw Data'!E513,FIND("-",'Main Project Raw Data'!E513)-1)</f>
        <v>Admin</v>
      </c>
      <c r="Q513" s="3" t="str">
        <f>RIGHT('Main Project Raw Data'!E513,LEN('Main Project Raw Data'!E513)-FIND("-",'Main Project Raw Data'!E513))</f>
        <v>New York</v>
      </c>
    </row>
    <row r="514" spans="1:17" x14ac:dyDescent="0.3">
      <c r="A514" s="3" t="str">
        <f>TRIM(Table1[[#This Row],[Employee_ID]])</f>
        <v>EMP1512</v>
      </c>
      <c r="B514" s="3" t="str">
        <f>TRIM(Table1[[#This Row],[First_Name]])</f>
        <v>Heidi</v>
      </c>
      <c r="C514" s="3" t="str">
        <f>TRIM(Table1[[#This Row],[Last_Name]])</f>
        <v>Davis</v>
      </c>
      <c r="D514" s="3">
        <f>IF(Table1[[#This Row],[Age]]="",AVERAGE(Table1[Age]),Table1[[#This Row],[Age]])</f>
        <v>30</v>
      </c>
      <c r="E514" s="3" t="s">
        <v>149</v>
      </c>
      <c r="F514" s="3" t="s">
        <v>16</v>
      </c>
      <c r="G514" s="5">
        <f>IF(ISNUMBER('Main Project Raw Data'!G514),'Main Project Raw Data'!G514,IF(ISNUMBER(SEARCH("/",'Main Project Raw Data'!G514)),DATE(RIGHT('Main Project Raw Data'!G514,4),LEFT('Main Project Raw Data'!G514,FIND("/",'Main Project Raw Data'!G514)-1),MID('Main Project Raw Data'!G514,FIND("/",'Main Project Raw Data'!G514)+1,2)),DATE(RIGHT('Main Project Raw Data'!G514,4),MID('Main Project Raw Data'!G514,4,2),LEFT('Main Project Raw Data'!G514,2))))</f>
        <v>45426</v>
      </c>
      <c r="H514" s="3">
        <f>IF(Table1[[#This Row],[Salary]]="",AVERAGE(Table1[Salary]),Table1[[#This Row],[Salary]])</f>
        <v>55656.800000000003</v>
      </c>
      <c r="I514" s="3" t="s">
        <v>394</v>
      </c>
      <c r="J514" s="3">
        <f>ABS(Table1[[#This Row],[Phone]])</f>
        <v>6304483607</v>
      </c>
      <c r="K514" s="3" t="str">
        <f>PROPER(TRIM(Table1[[#This Row],[Performance_Score]]))</f>
        <v>Good</v>
      </c>
      <c r="L514" s="3" t="b">
        <f>Table1[[#This Row],[Remote_Work]]</f>
        <v>1</v>
      </c>
      <c r="M514" s="3" t="str">
        <f>PROPER(CONCATENATE(Table13[[#This Row],[First_Name]], Table13[[#This Row],[Last_Name]]))</f>
        <v>Heididavis</v>
      </c>
      <c r="N514" s="3" t="str">
        <f t="shared" ref="N514:N577" si="8">TEXT(G514,"mmm")</f>
        <v>May</v>
      </c>
      <c r="O514" s="3" t="str">
        <f>TEXT(Table13[[#This Row],[Join_Date]],"yyyy")</f>
        <v>2024</v>
      </c>
      <c r="P514" s="3" t="str">
        <f>LEFT('Main Project Raw Data'!E514,FIND("-",'Main Project Raw Data'!E514)-1)</f>
        <v>HR</v>
      </c>
      <c r="Q514" s="3" t="str">
        <f>RIGHT('Main Project Raw Data'!E514,LEN('Main Project Raw Data'!E514)-FIND("-",'Main Project Raw Data'!E514))</f>
        <v>Nevada</v>
      </c>
    </row>
    <row r="515" spans="1:17" x14ac:dyDescent="0.3">
      <c r="A515" s="3" t="str">
        <f>TRIM(Table1[[#This Row],[Employee_ID]])</f>
        <v>EMP1513</v>
      </c>
      <c r="B515" s="3" t="str">
        <f>TRIM(Table1[[#This Row],[First_Name]])</f>
        <v>Charlie</v>
      </c>
      <c r="C515" s="3" t="str">
        <f>TRIM(Table1[[#This Row],[Last_Name]])</f>
        <v>Miller</v>
      </c>
      <c r="D515" s="3">
        <f>IF(Table1[[#This Row],[Age]]="",AVERAGE(Table1[Age]),Table1[[#This Row],[Age]])</f>
        <v>35</v>
      </c>
      <c r="E515" s="3" t="s">
        <v>237</v>
      </c>
      <c r="F515" s="3" t="s">
        <v>16</v>
      </c>
      <c r="G515" s="5">
        <f>IF(ISNUMBER('Main Project Raw Data'!G515),'Main Project Raw Data'!G515,IF(ISNUMBER(SEARCH("/",'Main Project Raw Data'!G515)),DATE(RIGHT('Main Project Raw Data'!G515,4),LEFT('Main Project Raw Data'!G515,FIND("/",'Main Project Raw Data'!G515)-1),MID('Main Project Raw Data'!G515,FIND("/",'Main Project Raw Data'!G515)+1,2)),DATE(RIGHT('Main Project Raw Data'!G515,4),MID('Main Project Raw Data'!G515,4,2),LEFT('Main Project Raw Data'!G515,2))))</f>
        <v>44756</v>
      </c>
      <c r="H515" s="3">
        <f>IF(Table1[[#This Row],[Salary]]="",AVERAGE(Table1[Salary]),Table1[[#This Row],[Salary]])</f>
        <v>69146.95</v>
      </c>
      <c r="I515" s="3" t="s">
        <v>501</v>
      </c>
      <c r="J515" s="3">
        <f>ABS(Table1[[#This Row],[Phone]])</f>
        <v>5456676639</v>
      </c>
      <c r="K515" s="3" t="str">
        <f>PROPER(TRIM(Table1[[#This Row],[Performance_Score]]))</f>
        <v>Excellent</v>
      </c>
      <c r="L515" s="3" t="b">
        <f>Table1[[#This Row],[Remote_Work]]</f>
        <v>0</v>
      </c>
      <c r="M515" s="3" t="str">
        <f>PROPER(CONCATENATE(Table13[[#This Row],[First_Name]], Table13[[#This Row],[Last_Name]]))</f>
        <v>Charliemiller</v>
      </c>
      <c r="N515" s="3" t="str">
        <f t="shared" si="8"/>
        <v>Jul</v>
      </c>
      <c r="O515" s="3" t="str">
        <f>TEXT(Table13[[#This Row],[Join_Date]],"yyyy")</f>
        <v>2022</v>
      </c>
      <c r="P515" s="3" t="str">
        <f>LEFT('Main Project Raw Data'!E515,FIND("-",'Main Project Raw Data'!E515)-1)</f>
        <v>DevOps</v>
      </c>
      <c r="Q515" s="3" t="str">
        <f>RIGHT('Main Project Raw Data'!E515,LEN('Main Project Raw Data'!E515)-FIND("-",'Main Project Raw Data'!E515))</f>
        <v>Texas</v>
      </c>
    </row>
    <row r="516" spans="1:17" x14ac:dyDescent="0.3">
      <c r="A516" s="3" t="str">
        <f>TRIM(Table1[[#This Row],[Employee_ID]])</f>
        <v>EMP1514</v>
      </c>
      <c r="B516" s="3" t="str">
        <f>TRIM(Table1[[#This Row],[First_Name]])</f>
        <v>Charlie</v>
      </c>
      <c r="C516" s="3" t="str">
        <f>TRIM(Table1[[#This Row],[Last_Name]])</f>
        <v>Johnson</v>
      </c>
      <c r="D516" s="3">
        <f>IF(Table1[[#This Row],[Age]]="",AVERAGE(Table1[Age]),Table1[[#This Row],[Age]])</f>
        <v>32.484548825710753</v>
      </c>
      <c r="E516" s="3" t="s">
        <v>205</v>
      </c>
      <c r="F516" s="3" t="s">
        <v>16</v>
      </c>
      <c r="G516" s="5">
        <f>IF(ISNUMBER('Main Project Raw Data'!G516),'Main Project Raw Data'!G516,IF(ISNUMBER(SEARCH("/",'Main Project Raw Data'!G516)),DATE(RIGHT('Main Project Raw Data'!G516,4),LEFT('Main Project Raw Data'!G516,FIND("/",'Main Project Raw Data'!G516)-1),MID('Main Project Raw Data'!G516,FIND("/",'Main Project Raw Data'!G516)+1,2)),DATE(RIGHT('Main Project Raw Data'!G516,4),MID('Main Project Raw Data'!G516,4,2),LEFT('Main Project Raw Data'!G516,2))))</f>
        <v>44096</v>
      </c>
      <c r="H516" s="3">
        <f>IF(Table1[[#This Row],[Salary]]="",AVERAGE(Table1[Salary]),Table1[[#This Row],[Salary]])</f>
        <v>93013.58</v>
      </c>
      <c r="I516" s="3" t="s">
        <v>57</v>
      </c>
      <c r="J516" s="3">
        <f>ABS(Table1[[#This Row],[Phone]])</f>
        <v>4735047638</v>
      </c>
      <c r="K516" s="3" t="str">
        <f>PROPER(TRIM(Table1[[#This Row],[Performance_Score]]))</f>
        <v>Average</v>
      </c>
      <c r="L516" s="3" t="b">
        <f>Table1[[#This Row],[Remote_Work]]</f>
        <v>1</v>
      </c>
      <c r="M516" s="3" t="str">
        <f>PROPER(CONCATENATE(Table13[[#This Row],[First_Name]], Table13[[#This Row],[Last_Name]]))</f>
        <v>Charliejohnson</v>
      </c>
      <c r="N516" s="3" t="str">
        <f t="shared" si="8"/>
        <v>Sep</v>
      </c>
      <c r="O516" s="3" t="str">
        <f>TEXT(Table13[[#This Row],[Join_Date]],"yyyy")</f>
        <v>2020</v>
      </c>
      <c r="P516" s="3" t="str">
        <f>LEFT('Main Project Raw Data'!E516,FIND("-",'Main Project Raw Data'!E516)-1)</f>
        <v>Admin</v>
      </c>
      <c r="Q516" s="3" t="str">
        <f>RIGHT('Main Project Raw Data'!E516,LEN('Main Project Raw Data'!E516)-FIND("-",'Main Project Raw Data'!E516))</f>
        <v>Florida</v>
      </c>
    </row>
    <row r="517" spans="1:17" x14ac:dyDescent="0.3">
      <c r="A517" s="3" t="str">
        <f>TRIM(Table1[[#This Row],[Employee_ID]])</f>
        <v>EMP1515</v>
      </c>
      <c r="B517" s="3" t="str">
        <f>TRIM(Table1[[#This Row],[First_Name]])</f>
        <v>Grace</v>
      </c>
      <c r="C517" s="3" t="str">
        <f>TRIM(Table1[[#This Row],[Last_Name]])</f>
        <v>Williams</v>
      </c>
      <c r="D517" s="3">
        <f>IF(Table1[[#This Row],[Age]]="",AVERAGE(Table1[Age]),Table1[[#This Row],[Age]])</f>
        <v>40</v>
      </c>
      <c r="E517" s="3" t="s">
        <v>112</v>
      </c>
      <c r="F517" s="3" t="s">
        <v>16</v>
      </c>
      <c r="G517" s="5">
        <f>IF(ISNUMBER('Main Project Raw Data'!G517),'Main Project Raw Data'!G517,IF(ISNUMBER(SEARCH("/",'Main Project Raw Data'!G517)),DATE(RIGHT('Main Project Raw Data'!G517,4),LEFT('Main Project Raw Data'!G517,FIND("/",'Main Project Raw Data'!G517)-1),MID('Main Project Raw Data'!G517,FIND("/",'Main Project Raw Data'!G517)+1,2)),DATE(RIGHT('Main Project Raw Data'!G517,4),MID('Main Project Raw Data'!G517,4,2),LEFT('Main Project Raw Data'!G517,2))))</f>
        <v>43908</v>
      </c>
      <c r="H517" s="3">
        <f>IF(Table1[[#This Row],[Salary]]="",AVERAGE(Table1[Salary]),Table1[[#This Row],[Salary]])</f>
        <v>87364.78</v>
      </c>
      <c r="I517" s="3" t="s">
        <v>71</v>
      </c>
      <c r="J517" s="3">
        <f>ABS(Table1[[#This Row],[Phone]])</f>
        <v>2831995297</v>
      </c>
      <c r="K517" s="3" t="str">
        <f>PROPER(TRIM(Table1[[#This Row],[Performance_Score]]))</f>
        <v>Good</v>
      </c>
      <c r="L517" s="3" t="b">
        <f>Table1[[#This Row],[Remote_Work]]</f>
        <v>0</v>
      </c>
      <c r="M517" s="3" t="str">
        <f>PROPER(CONCATENATE(Table13[[#This Row],[First_Name]], Table13[[#This Row],[Last_Name]]))</f>
        <v>Gracewilliams</v>
      </c>
      <c r="N517" s="3" t="str">
        <f t="shared" si="8"/>
        <v>Mar</v>
      </c>
      <c r="O517" s="3" t="str">
        <f>TEXT(Table13[[#This Row],[Join_Date]],"yyyy")</f>
        <v>2020</v>
      </c>
      <c r="P517" s="3" t="str">
        <f>LEFT('Main Project Raw Data'!E517,FIND("-",'Main Project Raw Data'!E517)-1)</f>
        <v>Finance</v>
      </c>
      <c r="Q517" s="3" t="str">
        <f>RIGHT('Main Project Raw Data'!E517,LEN('Main Project Raw Data'!E517)-FIND("-",'Main Project Raw Data'!E517))</f>
        <v>Florida</v>
      </c>
    </row>
    <row r="518" spans="1:17" x14ac:dyDescent="0.3">
      <c r="A518" s="3" t="str">
        <f>TRIM(Table1[[#This Row],[Employee_ID]])</f>
        <v>EMP1516</v>
      </c>
      <c r="B518" s="3" t="str">
        <f>TRIM(Table1[[#This Row],[First_Name]])</f>
        <v>Alice</v>
      </c>
      <c r="C518" s="3" t="str">
        <f>TRIM(Table1[[#This Row],[Last_Name]])</f>
        <v>Garcia</v>
      </c>
      <c r="D518" s="3">
        <f>IF(Table1[[#This Row],[Age]]="",AVERAGE(Table1[Age]),Table1[[#This Row],[Age]])</f>
        <v>35</v>
      </c>
      <c r="E518" s="3" t="s">
        <v>109</v>
      </c>
      <c r="F518" s="3" t="s">
        <v>16</v>
      </c>
      <c r="G518" s="5">
        <f>IF(ISNUMBER('Main Project Raw Data'!G518),'Main Project Raw Data'!G518,IF(ISNUMBER(SEARCH("/",'Main Project Raw Data'!G518)),DATE(RIGHT('Main Project Raw Data'!G518,4),LEFT('Main Project Raw Data'!G518,FIND("/",'Main Project Raw Data'!G518)-1),MID('Main Project Raw Data'!G518,FIND("/",'Main Project Raw Data'!G518)+1,2)),DATE(RIGHT('Main Project Raw Data'!G518,4),MID('Main Project Raw Data'!G518,4,2),LEFT('Main Project Raw Data'!G518,2))))</f>
        <v>45216</v>
      </c>
      <c r="H518" s="3">
        <f>IF(Table1[[#This Row],[Salary]]="",AVERAGE(Table1[Salary]),Table1[[#This Row],[Salary]])</f>
        <v>50288.67</v>
      </c>
      <c r="I518" s="3" t="s">
        <v>45</v>
      </c>
      <c r="J518" s="3">
        <f>ABS(Table1[[#This Row],[Phone]])</f>
        <v>61558107</v>
      </c>
      <c r="K518" s="3" t="str">
        <f>PROPER(TRIM(Table1[[#This Row],[Performance_Score]]))</f>
        <v>Excellent</v>
      </c>
      <c r="L518" s="3" t="b">
        <f>Table1[[#This Row],[Remote_Work]]</f>
        <v>0</v>
      </c>
      <c r="M518" s="3" t="str">
        <f>PROPER(CONCATENATE(Table13[[#This Row],[First_Name]], Table13[[#This Row],[Last_Name]]))</f>
        <v>Alicegarcia</v>
      </c>
      <c r="N518" s="3" t="str">
        <f t="shared" si="8"/>
        <v>Oct</v>
      </c>
      <c r="O518" s="3" t="str">
        <f>TEXT(Table13[[#This Row],[Join_Date]],"yyyy")</f>
        <v>2023</v>
      </c>
      <c r="P518" s="3" t="str">
        <f>LEFT('Main Project Raw Data'!E518,FIND("-",'Main Project Raw Data'!E518)-1)</f>
        <v>Sales</v>
      </c>
      <c r="Q518" s="3" t="str">
        <f>RIGHT('Main Project Raw Data'!E518,LEN('Main Project Raw Data'!E518)-FIND("-",'Main Project Raw Data'!E518))</f>
        <v>New York</v>
      </c>
    </row>
    <row r="519" spans="1:17" x14ac:dyDescent="0.3">
      <c r="A519" s="3" t="str">
        <f>TRIM(Table1[[#This Row],[Employee_ID]])</f>
        <v>EMP1517</v>
      </c>
      <c r="B519" s="3" t="str">
        <f>TRIM(Table1[[#This Row],[First_Name]])</f>
        <v>David</v>
      </c>
      <c r="C519" s="3" t="str">
        <f>TRIM(Table1[[#This Row],[Last_Name]])</f>
        <v>Miller</v>
      </c>
      <c r="D519" s="3">
        <f>IF(Table1[[#This Row],[Age]]="",AVERAGE(Table1[Age]),Table1[[#This Row],[Age]])</f>
        <v>35</v>
      </c>
      <c r="E519" s="3" t="s">
        <v>66</v>
      </c>
      <c r="F519" s="3" t="s">
        <v>16</v>
      </c>
      <c r="G519" s="5">
        <f>IF(ISNUMBER('Main Project Raw Data'!G519),'Main Project Raw Data'!G519,IF(ISNUMBER(SEARCH("/",'Main Project Raw Data'!G519)),DATE(RIGHT('Main Project Raw Data'!G519,4),LEFT('Main Project Raw Data'!G519,FIND("/",'Main Project Raw Data'!G519)-1),MID('Main Project Raw Data'!G519,FIND("/",'Main Project Raw Data'!G519)+1,2)),DATE(RIGHT('Main Project Raw Data'!G519,4),MID('Main Project Raw Data'!G519,4,2),LEFT('Main Project Raw Data'!G519,2))))</f>
        <v>44616</v>
      </c>
      <c r="H519" s="3">
        <f>IF(Table1[[#This Row],[Salary]]="",AVERAGE(Table1[Salary]),Table1[[#This Row],[Salary]])</f>
        <v>85233.55</v>
      </c>
      <c r="I519" s="3" t="s">
        <v>107</v>
      </c>
      <c r="J519" s="3">
        <f>ABS(Table1[[#This Row],[Phone]])</f>
        <v>3583286341</v>
      </c>
      <c r="K519" s="3" t="str">
        <f>PROPER(TRIM(Table1[[#This Row],[Performance_Score]]))</f>
        <v>Good</v>
      </c>
      <c r="L519" s="3" t="b">
        <f>Table1[[#This Row],[Remote_Work]]</f>
        <v>1</v>
      </c>
      <c r="M519" s="3" t="str">
        <f>PROPER(CONCATENATE(Table13[[#This Row],[First_Name]], Table13[[#This Row],[Last_Name]]))</f>
        <v>Davidmiller</v>
      </c>
      <c r="N519" s="3" t="str">
        <f t="shared" si="8"/>
        <v>Feb</v>
      </c>
      <c r="O519" s="3" t="str">
        <f>TEXT(Table13[[#This Row],[Join_Date]],"yyyy")</f>
        <v>2022</v>
      </c>
      <c r="P519" s="3" t="str">
        <f>LEFT('Main Project Raw Data'!E519,FIND("-",'Main Project Raw Data'!E519)-1)</f>
        <v>HR</v>
      </c>
      <c r="Q519" s="3" t="str">
        <f>RIGHT('Main Project Raw Data'!E519,LEN('Main Project Raw Data'!E519)-FIND("-",'Main Project Raw Data'!E519))</f>
        <v>New York</v>
      </c>
    </row>
    <row r="520" spans="1:17" x14ac:dyDescent="0.3">
      <c r="A520" s="3" t="str">
        <f>TRIM(Table1[[#This Row],[Employee_ID]])</f>
        <v>EMP1518</v>
      </c>
      <c r="B520" s="3" t="str">
        <f>TRIM(Table1[[#This Row],[First_Name]])</f>
        <v>Bob</v>
      </c>
      <c r="C520" s="3" t="str">
        <f>TRIM(Table1[[#This Row],[Last_Name]])</f>
        <v>Garcia</v>
      </c>
      <c r="D520" s="3">
        <f>IF(Table1[[#This Row],[Age]]="",AVERAGE(Table1[Age]),Table1[[#This Row],[Age]])</f>
        <v>25</v>
      </c>
      <c r="E520" s="3" t="s">
        <v>146</v>
      </c>
      <c r="F520" s="3" t="s">
        <v>33</v>
      </c>
      <c r="G520" s="5">
        <f>IF(ISNUMBER('Main Project Raw Data'!G520),'Main Project Raw Data'!G520,IF(ISNUMBER(SEARCH("/",'Main Project Raw Data'!G520)),DATE(RIGHT('Main Project Raw Data'!G520,4),LEFT('Main Project Raw Data'!G520,FIND("/",'Main Project Raw Data'!G520)-1),MID('Main Project Raw Data'!G520,FIND("/",'Main Project Raw Data'!G520)+1,2)),DATE(RIGHT('Main Project Raw Data'!G520,4),MID('Main Project Raw Data'!G520,4,2),LEFT('Main Project Raw Data'!G520,2))))</f>
        <v>45321</v>
      </c>
      <c r="H520" s="3">
        <f>IF(Table1[[#This Row],[Salary]]="",AVERAGE(Table1[Salary]),Table1[[#This Row],[Salary]])</f>
        <v>86420.19</v>
      </c>
      <c r="I520" s="3" t="s">
        <v>153</v>
      </c>
      <c r="J520" s="3">
        <f>ABS(Table1[[#This Row],[Phone]])</f>
        <v>5563830007</v>
      </c>
      <c r="K520" s="3" t="str">
        <f>PROPER(TRIM(Table1[[#This Row],[Performance_Score]]))</f>
        <v>Good</v>
      </c>
      <c r="L520" s="3" t="b">
        <f>Table1[[#This Row],[Remote_Work]]</f>
        <v>0</v>
      </c>
      <c r="M520" s="3" t="str">
        <f>PROPER(CONCATENATE(Table13[[#This Row],[First_Name]], Table13[[#This Row],[Last_Name]]))</f>
        <v>Bobgarcia</v>
      </c>
      <c r="N520" s="3" t="str">
        <f t="shared" si="8"/>
        <v>Jan</v>
      </c>
      <c r="O520" s="3" t="str">
        <f>TEXT(Table13[[#This Row],[Join_Date]],"yyyy")</f>
        <v>2024</v>
      </c>
      <c r="P520" s="3" t="str">
        <f>LEFT('Main Project Raw Data'!E520,FIND("-",'Main Project Raw Data'!E520)-1)</f>
        <v>HR</v>
      </c>
      <c r="Q520" s="3" t="str">
        <f>RIGHT('Main Project Raw Data'!E520,LEN('Main Project Raw Data'!E520)-FIND("-",'Main Project Raw Data'!E520))</f>
        <v>California</v>
      </c>
    </row>
    <row r="521" spans="1:17" x14ac:dyDescent="0.3">
      <c r="A521" s="3" t="str">
        <f>TRIM(Table1[[#This Row],[Employee_ID]])</f>
        <v>EMP1519</v>
      </c>
      <c r="B521" s="3" t="str">
        <f>TRIM(Table1[[#This Row],[First_Name]])</f>
        <v>Grace</v>
      </c>
      <c r="C521" s="3" t="str">
        <f>TRIM(Table1[[#This Row],[Last_Name]])</f>
        <v>Johnson</v>
      </c>
      <c r="D521" s="3">
        <f>IF(Table1[[#This Row],[Age]]="",AVERAGE(Table1[Age]),Table1[[#This Row],[Age]])</f>
        <v>30</v>
      </c>
      <c r="E521" s="3" t="s">
        <v>212</v>
      </c>
      <c r="F521" s="3" t="s">
        <v>33</v>
      </c>
      <c r="G521" s="5">
        <f>IF(ISNUMBER('Main Project Raw Data'!G521),'Main Project Raw Data'!G521,IF(ISNUMBER(SEARCH("/",'Main Project Raw Data'!G521)),DATE(RIGHT('Main Project Raw Data'!G521,4),LEFT('Main Project Raw Data'!G521,FIND("/",'Main Project Raw Data'!G521)-1),MID('Main Project Raw Data'!G521,FIND("/",'Main Project Raw Data'!G521)+1,2)),DATE(RIGHT('Main Project Raw Data'!G521,4),MID('Main Project Raw Data'!G521,4,2),LEFT('Main Project Raw Data'!G521,2))))</f>
        <v>45367</v>
      </c>
      <c r="H521" s="3">
        <f>IF(Table1[[#This Row],[Salary]]="",AVERAGE(Table1[Salary]),Table1[[#This Row],[Salary]])</f>
        <v>63189.82</v>
      </c>
      <c r="I521" s="3" t="s">
        <v>127</v>
      </c>
      <c r="J521" s="3">
        <f>ABS(Table1[[#This Row],[Phone]])</f>
        <v>1867024402</v>
      </c>
      <c r="K521" s="3" t="str">
        <f>PROPER(TRIM(Table1[[#This Row],[Performance_Score]]))</f>
        <v>Excellent</v>
      </c>
      <c r="L521" s="3" t="b">
        <f>Table1[[#This Row],[Remote_Work]]</f>
        <v>0</v>
      </c>
      <c r="M521" s="3" t="str">
        <f>PROPER(CONCATENATE(Table13[[#This Row],[First_Name]], Table13[[#This Row],[Last_Name]]))</f>
        <v>Gracejohnson</v>
      </c>
      <c r="N521" s="3" t="str">
        <f t="shared" si="8"/>
        <v>Mar</v>
      </c>
      <c r="O521" s="3" t="str">
        <f>TEXT(Table13[[#This Row],[Join_Date]],"yyyy")</f>
        <v>2024</v>
      </c>
      <c r="P521" s="3" t="str">
        <f>LEFT('Main Project Raw Data'!E521,FIND("-",'Main Project Raw Data'!E521)-1)</f>
        <v>HR</v>
      </c>
      <c r="Q521" s="3" t="str">
        <f>RIGHT('Main Project Raw Data'!E521,LEN('Main Project Raw Data'!E521)-FIND("-",'Main Project Raw Data'!E521))</f>
        <v>Florida</v>
      </c>
    </row>
    <row r="522" spans="1:17" x14ac:dyDescent="0.3">
      <c r="A522" s="3" t="str">
        <f>TRIM(Table1[[#This Row],[Employee_ID]])</f>
        <v>EMP1520</v>
      </c>
      <c r="B522" s="3" t="str">
        <f>TRIM(Table1[[#This Row],[First_Name]])</f>
        <v>Grace</v>
      </c>
      <c r="C522" s="3" t="str">
        <f>TRIM(Table1[[#This Row],[Last_Name]])</f>
        <v>Garcia</v>
      </c>
      <c r="D522" s="3">
        <f>IF(Table1[[#This Row],[Age]]="",AVERAGE(Table1[Age]),Table1[[#This Row],[Age]])</f>
        <v>25</v>
      </c>
      <c r="E522" s="3" t="s">
        <v>196</v>
      </c>
      <c r="F522" s="3" t="s">
        <v>28</v>
      </c>
      <c r="G522" s="5">
        <f>IF(ISNUMBER('Main Project Raw Data'!G522),'Main Project Raw Data'!G522,IF(ISNUMBER(SEARCH("/",'Main Project Raw Data'!G522)),DATE(RIGHT('Main Project Raw Data'!G522,4),LEFT('Main Project Raw Data'!G522,FIND("/",'Main Project Raw Data'!G522)-1),MID('Main Project Raw Data'!G522,FIND("/",'Main Project Raw Data'!G522)+1,2)),DATE(RIGHT('Main Project Raw Data'!G522,4),MID('Main Project Raw Data'!G522,4,2),LEFT('Main Project Raw Data'!G522,2))))</f>
        <v>44099</v>
      </c>
      <c r="H522" s="3">
        <f>IF(Table1[[#This Row],[Salary]]="",AVERAGE(Table1[Salary]),Table1[[#This Row],[Salary]])</f>
        <v>64783.32</v>
      </c>
      <c r="I522" s="3" t="s">
        <v>83</v>
      </c>
      <c r="J522" s="3">
        <f>ABS(Table1[[#This Row],[Phone]])</f>
        <v>3041662410</v>
      </c>
      <c r="K522" s="3" t="str">
        <f>PROPER(TRIM(Table1[[#This Row],[Performance_Score]]))</f>
        <v>Average</v>
      </c>
      <c r="L522" s="3" t="b">
        <f>Table1[[#This Row],[Remote_Work]]</f>
        <v>0</v>
      </c>
      <c r="M522" s="3" t="str">
        <f>PROPER(CONCATENATE(Table13[[#This Row],[First_Name]], Table13[[#This Row],[Last_Name]]))</f>
        <v>Gracegarcia</v>
      </c>
      <c r="N522" s="3" t="str">
        <f t="shared" si="8"/>
        <v>Sep</v>
      </c>
      <c r="O522" s="3" t="str">
        <f>TEXT(Table13[[#This Row],[Join_Date]],"yyyy")</f>
        <v>2020</v>
      </c>
      <c r="P522" s="3" t="str">
        <f>LEFT('Main Project Raw Data'!E522,FIND("-",'Main Project Raw Data'!E522)-1)</f>
        <v>Admin</v>
      </c>
      <c r="Q522" s="3" t="str">
        <f>RIGHT('Main Project Raw Data'!E522,LEN('Main Project Raw Data'!E522)-FIND("-",'Main Project Raw Data'!E522))</f>
        <v>New York</v>
      </c>
    </row>
    <row r="523" spans="1:17" x14ac:dyDescent="0.3">
      <c r="A523" s="3" t="str">
        <f>TRIM(Table1[[#This Row],[Employee_ID]])</f>
        <v>EMP1521</v>
      </c>
      <c r="B523" s="3" t="str">
        <f>TRIM(Table1[[#This Row],[First_Name]])</f>
        <v>Charlie</v>
      </c>
      <c r="C523" s="3" t="str">
        <f>TRIM(Table1[[#This Row],[Last_Name]])</f>
        <v>Davis</v>
      </c>
      <c r="D523" s="3">
        <f>IF(Table1[[#This Row],[Age]]="",AVERAGE(Table1[Age]),Table1[[#This Row],[Age]])</f>
        <v>25</v>
      </c>
      <c r="E523" s="3" t="s">
        <v>149</v>
      </c>
      <c r="F523" s="3" t="s">
        <v>28</v>
      </c>
      <c r="G523" s="5">
        <f>IF(ISNUMBER('Main Project Raw Data'!G523),'Main Project Raw Data'!G523,IF(ISNUMBER(SEARCH("/",'Main Project Raw Data'!G523)),DATE(RIGHT('Main Project Raw Data'!G523,4),LEFT('Main Project Raw Data'!G523,FIND("/",'Main Project Raw Data'!G523)-1),MID('Main Project Raw Data'!G523,FIND("/",'Main Project Raw Data'!G523)+1,2)),DATE(RIGHT('Main Project Raw Data'!G523,4),MID('Main Project Raw Data'!G523,4,2),LEFT('Main Project Raw Data'!G523,2))))</f>
        <v>45571</v>
      </c>
      <c r="H523" s="3">
        <f>IF(Table1[[#This Row],[Salary]]="",AVERAGE(Table1[Salary]),Table1[[#This Row],[Salary]])</f>
        <v>52615.44</v>
      </c>
      <c r="I523" s="3" t="s">
        <v>170</v>
      </c>
      <c r="J523" s="3">
        <f>ABS(Table1[[#This Row],[Phone]])</f>
        <v>1860089218</v>
      </c>
      <c r="K523" s="3" t="str">
        <f>PROPER(TRIM(Table1[[#This Row],[Performance_Score]]))</f>
        <v>Average</v>
      </c>
      <c r="L523" s="3" t="b">
        <f>Table1[[#This Row],[Remote_Work]]</f>
        <v>0</v>
      </c>
      <c r="M523" s="3" t="str">
        <f>PROPER(CONCATENATE(Table13[[#This Row],[First_Name]], Table13[[#This Row],[Last_Name]]))</f>
        <v>Charliedavis</v>
      </c>
      <c r="N523" s="3" t="str">
        <f t="shared" si="8"/>
        <v>Oct</v>
      </c>
      <c r="O523" s="3" t="str">
        <f>TEXT(Table13[[#This Row],[Join_Date]],"yyyy")</f>
        <v>2024</v>
      </c>
      <c r="P523" s="3" t="str">
        <f>LEFT('Main Project Raw Data'!E523,FIND("-",'Main Project Raw Data'!E523)-1)</f>
        <v>HR</v>
      </c>
      <c r="Q523" s="3" t="str">
        <f>RIGHT('Main Project Raw Data'!E523,LEN('Main Project Raw Data'!E523)-FIND("-",'Main Project Raw Data'!E523))</f>
        <v>Nevada</v>
      </c>
    </row>
    <row r="524" spans="1:17" x14ac:dyDescent="0.3">
      <c r="A524" s="3" t="str">
        <f>TRIM(Table1[[#This Row],[Employee_ID]])</f>
        <v>EMP1522</v>
      </c>
      <c r="B524" s="3" t="str">
        <f>TRIM(Table1[[#This Row],[First_Name]])</f>
        <v>Eva</v>
      </c>
      <c r="C524" s="3" t="str">
        <f>TRIM(Table1[[#This Row],[Last_Name]])</f>
        <v>Miller</v>
      </c>
      <c r="D524" s="3">
        <f>IF(Table1[[#This Row],[Age]]="",AVERAGE(Table1[Age]),Table1[[#This Row],[Age]])</f>
        <v>32.484548825710753</v>
      </c>
      <c r="E524" s="3" t="s">
        <v>44</v>
      </c>
      <c r="F524" s="3" t="s">
        <v>28</v>
      </c>
      <c r="G524" s="5">
        <f>IF(ISNUMBER('Main Project Raw Data'!G524),'Main Project Raw Data'!G524,IF(ISNUMBER(SEARCH("/",'Main Project Raw Data'!G524)),DATE(RIGHT('Main Project Raw Data'!G524,4),LEFT('Main Project Raw Data'!G524,FIND("/",'Main Project Raw Data'!G524)-1),MID('Main Project Raw Data'!G524,FIND("/",'Main Project Raw Data'!G524)+1,2)),DATE(RIGHT('Main Project Raw Data'!G524,4),MID('Main Project Raw Data'!G524,4,2),LEFT('Main Project Raw Data'!G524,2))))</f>
        <v>44047</v>
      </c>
      <c r="H524" s="3">
        <f>IF(Table1[[#This Row],[Salary]]="",AVERAGE(Table1[Salary]),Table1[[#This Row],[Salary]])</f>
        <v>96337.89</v>
      </c>
      <c r="I524" s="3" t="s">
        <v>263</v>
      </c>
      <c r="J524" s="3">
        <f>ABS(Table1[[#This Row],[Phone]])</f>
        <v>6394568043</v>
      </c>
      <c r="K524" s="3" t="str">
        <f>PROPER(TRIM(Table1[[#This Row],[Performance_Score]]))</f>
        <v>Poor</v>
      </c>
      <c r="L524" s="3" t="b">
        <f>Table1[[#This Row],[Remote_Work]]</f>
        <v>0</v>
      </c>
      <c r="M524" s="3" t="str">
        <f>PROPER(CONCATENATE(Table13[[#This Row],[First_Name]], Table13[[#This Row],[Last_Name]]))</f>
        <v>Evamiller</v>
      </c>
      <c r="N524" s="3" t="str">
        <f t="shared" si="8"/>
        <v>Aug</v>
      </c>
      <c r="O524" s="3" t="str">
        <f>TEXT(Table13[[#This Row],[Join_Date]],"yyyy")</f>
        <v>2020</v>
      </c>
      <c r="P524" s="3" t="str">
        <f>LEFT('Main Project Raw Data'!E524,FIND("-",'Main Project Raw Data'!E524)-1)</f>
        <v>Sales</v>
      </c>
      <c r="Q524" s="3" t="str">
        <f>RIGHT('Main Project Raw Data'!E524,LEN('Main Project Raw Data'!E524)-FIND("-",'Main Project Raw Data'!E524))</f>
        <v>Texas</v>
      </c>
    </row>
    <row r="525" spans="1:17" x14ac:dyDescent="0.3">
      <c r="A525" s="3" t="str">
        <f>TRIM(Table1[[#This Row],[Employee_ID]])</f>
        <v>EMP1523</v>
      </c>
      <c r="B525" s="3" t="str">
        <f>TRIM(Table1[[#This Row],[First_Name]])</f>
        <v>Alice</v>
      </c>
      <c r="C525" s="3" t="str">
        <f>TRIM(Table1[[#This Row],[Last_Name]])</f>
        <v>Davis</v>
      </c>
      <c r="D525" s="3">
        <f>IF(Table1[[#This Row],[Age]]="",AVERAGE(Table1[Age]),Table1[[#This Row],[Age]])</f>
        <v>25</v>
      </c>
      <c r="E525" s="3" t="s">
        <v>237</v>
      </c>
      <c r="F525" s="3" t="s">
        <v>33</v>
      </c>
      <c r="G525" s="5">
        <f>IF(ISNUMBER('Main Project Raw Data'!G525),'Main Project Raw Data'!G525,IF(ISNUMBER(SEARCH("/",'Main Project Raw Data'!G525)),DATE(RIGHT('Main Project Raw Data'!G525,4),LEFT('Main Project Raw Data'!G525,FIND("/",'Main Project Raw Data'!G525)-1),MID('Main Project Raw Data'!G525,FIND("/",'Main Project Raw Data'!G525)+1,2)),DATE(RIGHT('Main Project Raw Data'!G525,4),MID('Main Project Raw Data'!G525,4,2),LEFT('Main Project Raw Data'!G525,2))))</f>
        <v>44740</v>
      </c>
      <c r="H525" s="3">
        <f>IF(Table1[[#This Row],[Salary]]="",AVERAGE(Table1[Salary]),Table1[[#This Row],[Salary]])</f>
        <v>76617.759999999995</v>
      </c>
      <c r="I525" s="3" t="s">
        <v>163</v>
      </c>
      <c r="J525" s="3">
        <f>ABS(Table1[[#This Row],[Phone]])</f>
        <v>7314976460</v>
      </c>
      <c r="K525" s="3" t="str">
        <f>PROPER(TRIM(Table1[[#This Row],[Performance_Score]]))</f>
        <v>Excellent</v>
      </c>
      <c r="L525" s="3" t="b">
        <f>Table1[[#This Row],[Remote_Work]]</f>
        <v>1</v>
      </c>
      <c r="M525" s="3" t="str">
        <f>PROPER(CONCATENATE(Table13[[#This Row],[First_Name]], Table13[[#This Row],[Last_Name]]))</f>
        <v>Alicedavis</v>
      </c>
      <c r="N525" s="3" t="str">
        <f t="shared" si="8"/>
        <v>Jun</v>
      </c>
      <c r="O525" s="3" t="str">
        <f>TEXT(Table13[[#This Row],[Join_Date]],"yyyy")</f>
        <v>2022</v>
      </c>
      <c r="P525" s="3" t="str">
        <f>LEFT('Main Project Raw Data'!E525,FIND("-",'Main Project Raw Data'!E525)-1)</f>
        <v>DevOps</v>
      </c>
      <c r="Q525" s="3" t="str">
        <f>RIGHT('Main Project Raw Data'!E525,LEN('Main Project Raw Data'!E525)-FIND("-",'Main Project Raw Data'!E525))</f>
        <v>Texas</v>
      </c>
    </row>
    <row r="526" spans="1:17" x14ac:dyDescent="0.3">
      <c r="A526" s="3" t="str">
        <f>TRIM(Table1[[#This Row],[Employee_ID]])</f>
        <v>EMP1524</v>
      </c>
      <c r="B526" s="3" t="str">
        <f>TRIM(Table1[[#This Row],[First_Name]])</f>
        <v>Heidi</v>
      </c>
      <c r="C526" s="3" t="str">
        <f>TRIM(Table1[[#This Row],[Last_Name]])</f>
        <v>Johnson</v>
      </c>
      <c r="D526" s="3">
        <f>IF(Table1[[#This Row],[Age]]="",AVERAGE(Table1[Age]),Table1[[#This Row],[Age]])</f>
        <v>30</v>
      </c>
      <c r="E526" s="3" t="s">
        <v>27</v>
      </c>
      <c r="F526" s="3" t="s">
        <v>28</v>
      </c>
      <c r="G526" s="5">
        <f>IF(ISNUMBER('Main Project Raw Data'!G526),'Main Project Raw Data'!G526,IF(ISNUMBER(SEARCH("/",'Main Project Raw Data'!G526)),DATE(RIGHT('Main Project Raw Data'!G526,4),LEFT('Main Project Raw Data'!G526,FIND("/",'Main Project Raw Data'!G526)-1),MID('Main Project Raw Data'!G526,FIND("/",'Main Project Raw Data'!G526)+1,2)),DATE(RIGHT('Main Project Raw Data'!G526,4),MID('Main Project Raw Data'!G526,4,2),LEFT('Main Project Raw Data'!G526,2))))</f>
        <v>45121</v>
      </c>
      <c r="H526" s="3">
        <f>IF(Table1[[#This Row],[Salary]]="",AVERAGE(Table1[Salary]),Table1[[#This Row],[Salary]])</f>
        <v>50651.32</v>
      </c>
      <c r="I526" s="3" t="s">
        <v>113</v>
      </c>
      <c r="J526" s="3">
        <f>ABS(Table1[[#This Row],[Phone]])</f>
        <v>3684748835</v>
      </c>
      <c r="K526" s="3" t="str">
        <f>PROPER(TRIM(Table1[[#This Row],[Performance_Score]]))</f>
        <v>Poor</v>
      </c>
      <c r="L526" s="3" t="b">
        <f>Table1[[#This Row],[Remote_Work]]</f>
        <v>0</v>
      </c>
      <c r="M526" s="3" t="str">
        <f>PROPER(CONCATENATE(Table13[[#This Row],[First_Name]], Table13[[#This Row],[Last_Name]]))</f>
        <v>Heidijohnson</v>
      </c>
      <c r="N526" s="3" t="str">
        <f t="shared" si="8"/>
        <v>Jul</v>
      </c>
      <c r="O526" s="3" t="str">
        <f>TEXT(Table13[[#This Row],[Join_Date]],"yyyy")</f>
        <v>2023</v>
      </c>
      <c r="P526" s="3" t="str">
        <f>LEFT('Main Project Raw Data'!E526,FIND("-",'Main Project Raw Data'!E526)-1)</f>
        <v>Admin</v>
      </c>
      <c r="Q526" s="3" t="str">
        <f>RIGHT('Main Project Raw Data'!E526,LEN('Main Project Raw Data'!E526)-FIND("-",'Main Project Raw Data'!E526))</f>
        <v>Nevada</v>
      </c>
    </row>
    <row r="527" spans="1:17" x14ac:dyDescent="0.3">
      <c r="A527" s="3" t="str">
        <f>TRIM(Table1[[#This Row],[Employee_ID]])</f>
        <v>EMP1525</v>
      </c>
      <c r="B527" s="3" t="str">
        <f>TRIM(Table1[[#This Row],[First_Name]])</f>
        <v>Bob</v>
      </c>
      <c r="C527" s="3" t="str">
        <f>TRIM(Table1[[#This Row],[Last_Name]])</f>
        <v>Davis</v>
      </c>
      <c r="D527" s="3">
        <f>IF(Table1[[#This Row],[Age]]="",AVERAGE(Table1[Age]),Table1[[#This Row],[Age]])</f>
        <v>32.484548825710753</v>
      </c>
      <c r="E527" s="3" t="s">
        <v>192</v>
      </c>
      <c r="F527" s="3" t="s">
        <v>28</v>
      </c>
      <c r="G527" s="5">
        <f>IF(ISNUMBER('Main Project Raw Data'!G527),'Main Project Raw Data'!G527,IF(ISNUMBER(SEARCH("/",'Main Project Raw Data'!G527)),DATE(RIGHT('Main Project Raw Data'!G527,4),LEFT('Main Project Raw Data'!G527,FIND("/",'Main Project Raw Data'!G527)-1),MID('Main Project Raw Data'!G527,FIND("/",'Main Project Raw Data'!G527)+1,2)),DATE(RIGHT('Main Project Raw Data'!G527,4),MID('Main Project Raw Data'!G527,4,2),LEFT('Main Project Raw Data'!G527,2))))</f>
        <v>45089</v>
      </c>
      <c r="H527" s="3">
        <f>IF(Table1[[#This Row],[Salary]]="",AVERAGE(Table1[Salary]),Table1[[#This Row],[Salary]])</f>
        <v>59601.45</v>
      </c>
      <c r="I527" s="3" t="s">
        <v>17</v>
      </c>
      <c r="J527" s="3">
        <f>ABS(Table1[[#This Row],[Phone]])</f>
        <v>765817389</v>
      </c>
      <c r="K527" s="3" t="str">
        <f>PROPER(TRIM(Table1[[#This Row],[Performance_Score]]))</f>
        <v>Poor</v>
      </c>
      <c r="L527" s="3" t="b">
        <f>Table1[[#This Row],[Remote_Work]]</f>
        <v>0</v>
      </c>
      <c r="M527" s="3" t="str">
        <f>PROPER(CONCATENATE(Table13[[#This Row],[First_Name]], Table13[[#This Row],[Last_Name]]))</f>
        <v>Bobdavis</v>
      </c>
      <c r="N527" s="3" t="str">
        <f t="shared" si="8"/>
        <v>Jun</v>
      </c>
      <c r="O527" s="3" t="str">
        <f>TEXT(Table13[[#This Row],[Join_Date]],"yyyy")</f>
        <v>2023</v>
      </c>
      <c r="P527" s="3" t="str">
        <f>LEFT('Main Project Raw Data'!E527,FIND("-",'Main Project Raw Data'!E527)-1)</f>
        <v>HR</v>
      </c>
      <c r="Q527" s="3" t="str">
        <f>RIGHT('Main Project Raw Data'!E527,LEN('Main Project Raw Data'!E527)-FIND("-",'Main Project Raw Data'!E527))</f>
        <v>Illinois</v>
      </c>
    </row>
    <row r="528" spans="1:17" x14ac:dyDescent="0.3">
      <c r="A528" s="3" t="str">
        <f>TRIM(Table1[[#This Row],[Employee_ID]])</f>
        <v>EMP1526</v>
      </c>
      <c r="B528" s="3" t="str">
        <f>TRIM(Table1[[#This Row],[First_Name]])</f>
        <v>Bob</v>
      </c>
      <c r="C528" s="3" t="str">
        <f>TRIM(Table1[[#This Row],[Last_Name]])</f>
        <v>Williams</v>
      </c>
      <c r="D528" s="3">
        <f>IF(Table1[[#This Row],[Age]]="",AVERAGE(Table1[Age]),Table1[[#This Row],[Age]])</f>
        <v>32.484548825710753</v>
      </c>
      <c r="E528" s="3" t="s">
        <v>78</v>
      </c>
      <c r="F528" s="3" t="s">
        <v>16</v>
      </c>
      <c r="G528" s="5">
        <f>IF(ISNUMBER('Main Project Raw Data'!G528),'Main Project Raw Data'!G528,IF(ISNUMBER(SEARCH("/",'Main Project Raw Data'!G528)),DATE(RIGHT('Main Project Raw Data'!G528,4),LEFT('Main Project Raw Data'!G528,FIND("/",'Main Project Raw Data'!G528)-1),MID('Main Project Raw Data'!G528,FIND("/",'Main Project Raw Data'!G528)+1,2)),DATE(RIGHT('Main Project Raw Data'!G528,4),MID('Main Project Raw Data'!G528,4,2),LEFT('Main Project Raw Data'!G528,2))))</f>
        <v>44204</v>
      </c>
      <c r="H528" s="3">
        <f>IF(Table1[[#This Row],[Salary]]="",AVERAGE(Table1[Salary]),Table1[[#This Row],[Salary]])</f>
        <v>57980.88</v>
      </c>
      <c r="I528" s="3" t="s">
        <v>144</v>
      </c>
      <c r="J528" s="3">
        <f>ABS(Table1[[#This Row],[Phone]])</f>
        <v>6375791451</v>
      </c>
      <c r="K528" s="3" t="str">
        <f>PROPER(TRIM(Table1[[#This Row],[Performance_Score]]))</f>
        <v>Poor</v>
      </c>
      <c r="L528" s="3" t="b">
        <f>Table1[[#This Row],[Remote_Work]]</f>
        <v>0</v>
      </c>
      <c r="M528" s="3" t="str">
        <f>PROPER(CONCATENATE(Table13[[#This Row],[First_Name]], Table13[[#This Row],[Last_Name]]))</f>
        <v>Bobwilliams</v>
      </c>
      <c r="N528" s="3" t="str">
        <f t="shared" si="8"/>
        <v>Jan</v>
      </c>
      <c r="O528" s="3" t="str">
        <f>TEXT(Table13[[#This Row],[Join_Date]],"yyyy")</f>
        <v>2021</v>
      </c>
      <c r="P528" s="3" t="str">
        <f>LEFT('Main Project Raw Data'!E528,FIND("-",'Main Project Raw Data'!E528)-1)</f>
        <v>DevOps</v>
      </c>
      <c r="Q528" s="3" t="str">
        <f>RIGHT('Main Project Raw Data'!E528,LEN('Main Project Raw Data'!E528)-FIND("-",'Main Project Raw Data'!E528))</f>
        <v>Illinois</v>
      </c>
    </row>
    <row r="529" spans="1:17" x14ac:dyDescent="0.3">
      <c r="A529" s="3" t="str">
        <f>TRIM(Table1[[#This Row],[Employee_ID]])</f>
        <v>EMP1527</v>
      </c>
      <c r="B529" s="3" t="str">
        <f>TRIM(Table1[[#This Row],[First_Name]])</f>
        <v>David</v>
      </c>
      <c r="C529" s="3" t="str">
        <f>TRIM(Table1[[#This Row],[Last_Name]])</f>
        <v>Johnson</v>
      </c>
      <c r="D529" s="3">
        <f>IF(Table1[[#This Row],[Age]]="",AVERAGE(Table1[Age]),Table1[[#This Row],[Age]])</f>
        <v>32.484548825710753</v>
      </c>
      <c r="E529" s="3" t="s">
        <v>118</v>
      </c>
      <c r="F529" s="3" t="s">
        <v>28</v>
      </c>
      <c r="G529" s="5">
        <f>IF(ISNUMBER('Main Project Raw Data'!G529),'Main Project Raw Data'!G529,IF(ISNUMBER(SEARCH("/",'Main Project Raw Data'!G529)),DATE(RIGHT('Main Project Raw Data'!G529,4),LEFT('Main Project Raw Data'!G529,FIND("/",'Main Project Raw Data'!G529)-1),MID('Main Project Raw Data'!G529,FIND("/",'Main Project Raw Data'!G529)+1,2)),DATE(RIGHT('Main Project Raw Data'!G529,4),MID('Main Project Raw Data'!G529,4,2),LEFT('Main Project Raw Data'!G529,2))))</f>
        <v>44244</v>
      </c>
      <c r="H529" s="3">
        <f>IF(Table1[[#This Row],[Salary]]="",AVERAGE(Table1[Salary]),Table1[[#This Row],[Salary]])</f>
        <v>75054.53</v>
      </c>
      <c r="I529" s="3" t="s">
        <v>217</v>
      </c>
      <c r="J529" s="3">
        <f>ABS(Table1[[#This Row],[Phone]])</f>
        <v>1182379311</v>
      </c>
      <c r="K529" s="3" t="str">
        <f>PROPER(TRIM(Table1[[#This Row],[Performance_Score]]))</f>
        <v>Average</v>
      </c>
      <c r="L529" s="3" t="b">
        <f>Table1[[#This Row],[Remote_Work]]</f>
        <v>0</v>
      </c>
      <c r="M529" s="3" t="str">
        <f>PROPER(CONCATENATE(Table13[[#This Row],[First_Name]], Table13[[#This Row],[Last_Name]]))</f>
        <v>Davidjohnson</v>
      </c>
      <c r="N529" s="3" t="str">
        <f t="shared" si="8"/>
        <v>Feb</v>
      </c>
      <c r="O529" s="3" t="str">
        <f>TEXT(Table13[[#This Row],[Join_Date]],"yyyy")</f>
        <v>2021</v>
      </c>
      <c r="P529" s="3" t="str">
        <f>LEFT('Main Project Raw Data'!E529,FIND("-",'Main Project Raw Data'!E529)-1)</f>
        <v>Admin</v>
      </c>
      <c r="Q529" s="3" t="str">
        <f>RIGHT('Main Project Raw Data'!E529,LEN('Main Project Raw Data'!E529)-FIND("-",'Main Project Raw Data'!E529))</f>
        <v>California</v>
      </c>
    </row>
    <row r="530" spans="1:17" x14ac:dyDescent="0.3">
      <c r="A530" s="3" t="str">
        <f>TRIM(Table1[[#This Row],[Employee_ID]])</f>
        <v>EMP1528</v>
      </c>
      <c r="B530" s="3" t="str">
        <f>TRIM(Table1[[#This Row],[First_Name]])</f>
        <v>Charlie</v>
      </c>
      <c r="C530" s="3" t="str">
        <f>TRIM(Table1[[#This Row],[Last_Name]])</f>
        <v>Johnson</v>
      </c>
      <c r="D530" s="3">
        <f>IF(Table1[[#This Row],[Age]]="",AVERAGE(Table1[Age]),Table1[[#This Row],[Age]])</f>
        <v>25</v>
      </c>
      <c r="E530" s="3" t="s">
        <v>74</v>
      </c>
      <c r="F530" s="3" t="s">
        <v>16</v>
      </c>
      <c r="G530" s="5">
        <f>IF(ISNUMBER('Main Project Raw Data'!G530),'Main Project Raw Data'!G530,IF(ISNUMBER(SEARCH("/",'Main Project Raw Data'!G530)),DATE(RIGHT('Main Project Raw Data'!G530,4),LEFT('Main Project Raw Data'!G530,FIND("/",'Main Project Raw Data'!G530)-1),MID('Main Project Raw Data'!G530,FIND("/",'Main Project Raw Data'!G530)+1,2)),DATE(RIGHT('Main Project Raw Data'!G530,4),MID('Main Project Raw Data'!G530,4,2),LEFT('Main Project Raw Data'!G530,2))))</f>
        <v>45210</v>
      </c>
      <c r="H530" s="3">
        <f>IF(Table1[[#This Row],[Salary]]="",AVERAGE(Table1[Salary]),Table1[[#This Row],[Salary]])</f>
        <v>115318.7</v>
      </c>
      <c r="I530" s="3" t="s">
        <v>57</v>
      </c>
      <c r="J530" s="3">
        <f>ABS(Table1[[#This Row],[Phone]])</f>
        <v>6978930745</v>
      </c>
      <c r="K530" s="3" t="str">
        <f>PROPER(TRIM(Table1[[#This Row],[Performance_Score]]))</f>
        <v>Excellent</v>
      </c>
      <c r="L530" s="3" t="b">
        <f>Table1[[#This Row],[Remote_Work]]</f>
        <v>0</v>
      </c>
      <c r="M530" s="3" t="str">
        <f>PROPER(CONCATENATE(Table13[[#This Row],[First_Name]], Table13[[#This Row],[Last_Name]]))</f>
        <v>Charliejohnson</v>
      </c>
      <c r="N530" s="3" t="str">
        <f t="shared" si="8"/>
        <v>Oct</v>
      </c>
      <c r="O530" s="3" t="str">
        <f>TEXT(Table13[[#This Row],[Join_Date]],"yyyy")</f>
        <v>2023</v>
      </c>
      <c r="P530" s="3" t="str">
        <f>LEFT('Main Project Raw Data'!E530,FIND("-",'Main Project Raw Data'!E530)-1)</f>
        <v>Sales</v>
      </c>
      <c r="Q530" s="3" t="str">
        <f>RIGHT('Main Project Raw Data'!E530,LEN('Main Project Raw Data'!E530)-FIND("-",'Main Project Raw Data'!E530))</f>
        <v>Florida</v>
      </c>
    </row>
    <row r="531" spans="1:17" x14ac:dyDescent="0.3">
      <c r="A531" s="3" t="str">
        <f>TRIM(Table1[[#This Row],[Employee_ID]])</f>
        <v>EMP1529</v>
      </c>
      <c r="B531" s="3" t="str">
        <f>TRIM(Table1[[#This Row],[First_Name]])</f>
        <v>Alice</v>
      </c>
      <c r="C531" s="3" t="str">
        <f>TRIM(Table1[[#This Row],[Last_Name]])</f>
        <v>Johnson</v>
      </c>
      <c r="D531" s="3">
        <f>IF(Table1[[#This Row],[Age]]="",AVERAGE(Table1[Age]),Table1[[#This Row],[Age]])</f>
        <v>25</v>
      </c>
      <c r="E531" s="3" t="s">
        <v>237</v>
      </c>
      <c r="F531" s="3" t="s">
        <v>16</v>
      </c>
      <c r="G531" s="5">
        <f>IF(ISNUMBER('Main Project Raw Data'!G531),'Main Project Raw Data'!G531,IF(ISNUMBER(SEARCH("/",'Main Project Raw Data'!G531)),DATE(RIGHT('Main Project Raw Data'!G531,4),LEFT('Main Project Raw Data'!G531,FIND("/",'Main Project Raw Data'!G531)-1),MID('Main Project Raw Data'!G531,FIND("/",'Main Project Raw Data'!G531)+1,2)),DATE(RIGHT('Main Project Raw Data'!G531,4),MID('Main Project Raw Data'!G531,4,2),LEFT('Main Project Raw Data'!G531,2))))</f>
        <v>45452</v>
      </c>
      <c r="H531" s="3">
        <f>IF(Table1[[#This Row],[Salary]]="",AVERAGE(Table1[Salary]),Table1[[#This Row],[Salary]])</f>
        <v>90190.69</v>
      </c>
      <c r="I531" s="3" t="s">
        <v>150</v>
      </c>
      <c r="J531" s="3">
        <f>ABS(Table1[[#This Row],[Phone]])</f>
        <v>4520599603</v>
      </c>
      <c r="K531" s="3" t="str">
        <f>PROPER(TRIM(Table1[[#This Row],[Performance_Score]]))</f>
        <v>Poor</v>
      </c>
      <c r="L531" s="3" t="b">
        <f>Table1[[#This Row],[Remote_Work]]</f>
        <v>1</v>
      </c>
      <c r="M531" s="3" t="str">
        <f>PROPER(CONCATENATE(Table13[[#This Row],[First_Name]], Table13[[#This Row],[Last_Name]]))</f>
        <v>Alicejohnson</v>
      </c>
      <c r="N531" s="3" t="str">
        <f t="shared" si="8"/>
        <v>Jun</v>
      </c>
      <c r="O531" s="3" t="str">
        <f>TEXT(Table13[[#This Row],[Join_Date]],"yyyy")</f>
        <v>2024</v>
      </c>
      <c r="P531" s="3" t="str">
        <f>LEFT('Main Project Raw Data'!E531,FIND("-",'Main Project Raw Data'!E531)-1)</f>
        <v>DevOps</v>
      </c>
      <c r="Q531" s="3" t="str">
        <f>RIGHT('Main Project Raw Data'!E531,LEN('Main Project Raw Data'!E531)-FIND("-",'Main Project Raw Data'!E531))</f>
        <v>Texas</v>
      </c>
    </row>
    <row r="532" spans="1:17" x14ac:dyDescent="0.3">
      <c r="A532" s="3" t="str">
        <f>TRIM(Table1[[#This Row],[Employee_ID]])</f>
        <v>EMP1530</v>
      </c>
      <c r="B532" s="3" t="str">
        <f>TRIM(Table1[[#This Row],[First_Name]])</f>
        <v>Bob</v>
      </c>
      <c r="C532" s="3" t="str">
        <f>TRIM(Table1[[#This Row],[Last_Name]])</f>
        <v>Smith</v>
      </c>
      <c r="D532" s="3">
        <f>IF(Table1[[#This Row],[Age]]="",AVERAGE(Table1[Age]),Table1[[#This Row],[Age]])</f>
        <v>32.484548825710753</v>
      </c>
      <c r="E532" s="3" t="s">
        <v>85</v>
      </c>
      <c r="F532" s="3" t="s">
        <v>28</v>
      </c>
      <c r="G532" s="5">
        <f>IF(ISNUMBER('Main Project Raw Data'!G532),'Main Project Raw Data'!G532,IF(ISNUMBER(SEARCH("/",'Main Project Raw Data'!G532)),DATE(RIGHT('Main Project Raw Data'!G532,4),LEFT('Main Project Raw Data'!G532,FIND("/",'Main Project Raw Data'!G532)-1),MID('Main Project Raw Data'!G532,FIND("/",'Main Project Raw Data'!G532)+1,2)),DATE(RIGHT('Main Project Raw Data'!G532,4),MID('Main Project Raw Data'!G532,4,2),LEFT('Main Project Raw Data'!G532,2))))</f>
        <v>44038</v>
      </c>
      <c r="H532" s="3">
        <f>IF(Table1[[#This Row],[Salary]]="",AVERAGE(Table1[Salary]),Table1[[#This Row],[Salary]])</f>
        <v>113334.56</v>
      </c>
      <c r="I532" s="3" t="s">
        <v>123</v>
      </c>
      <c r="J532" s="3">
        <f>ABS(Table1[[#This Row],[Phone]])</f>
        <v>3878753576</v>
      </c>
      <c r="K532" s="3" t="str">
        <f>PROPER(TRIM(Table1[[#This Row],[Performance_Score]]))</f>
        <v>Excellent</v>
      </c>
      <c r="L532" s="3" t="b">
        <f>Table1[[#This Row],[Remote_Work]]</f>
        <v>0</v>
      </c>
      <c r="M532" s="3" t="str">
        <f>PROPER(CONCATENATE(Table13[[#This Row],[First_Name]], Table13[[#This Row],[Last_Name]]))</f>
        <v>Bobsmith</v>
      </c>
      <c r="N532" s="3" t="str">
        <f t="shared" si="8"/>
        <v>Jul</v>
      </c>
      <c r="O532" s="3" t="str">
        <f>TEXT(Table13[[#This Row],[Join_Date]],"yyyy")</f>
        <v>2020</v>
      </c>
      <c r="P532" s="3" t="str">
        <f>LEFT('Main Project Raw Data'!E532,FIND("-",'Main Project Raw Data'!E532)-1)</f>
        <v>Cloud Tech</v>
      </c>
      <c r="Q532" s="3" t="str">
        <f>RIGHT('Main Project Raw Data'!E532,LEN('Main Project Raw Data'!E532)-FIND("-",'Main Project Raw Data'!E532))</f>
        <v>Nevada</v>
      </c>
    </row>
    <row r="533" spans="1:17" x14ac:dyDescent="0.3">
      <c r="A533" s="3" t="str">
        <f>TRIM(Table1[[#This Row],[Employee_ID]])</f>
        <v>EMP1531</v>
      </c>
      <c r="B533" s="3" t="str">
        <f>TRIM(Table1[[#This Row],[First_Name]])</f>
        <v>Heidi</v>
      </c>
      <c r="C533" s="3" t="str">
        <f>TRIM(Table1[[#This Row],[Last_Name]])</f>
        <v>Garcia</v>
      </c>
      <c r="D533" s="3">
        <f>IF(Table1[[#This Row],[Age]]="",AVERAGE(Table1[Age]),Table1[[#This Row],[Age]])</f>
        <v>35</v>
      </c>
      <c r="E533" s="3" t="s">
        <v>212</v>
      </c>
      <c r="F533" s="3" t="s">
        <v>16</v>
      </c>
      <c r="G533" s="5">
        <f>IF(ISNUMBER('Main Project Raw Data'!G533),'Main Project Raw Data'!G533,IF(ISNUMBER(SEARCH("/",'Main Project Raw Data'!G533)),DATE(RIGHT('Main Project Raw Data'!G533,4),LEFT('Main Project Raw Data'!G533,FIND("/",'Main Project Raw Data'!G533)-1),MID('Main Project Raw Data'!G533,FIND("/",'Main Project Raw Data'!G533)+1,2)),DATE(RIGHT('Main Project Raw Data'!G533,4),MID('Main Project Raw Data'!G533,4,2),LEFT('Main Project Raw Data'!G533,2))))</f>
        <v>44035</v>
      </c>
      <c r="H533" s="3">
        <f>IF(Table1[[#This Row],[Salary]]="",AVERAGE(Table1[Salary]),Table1[[#This Row],[Salary]])</f>
        <v>106922.49</v>
      </c>
      <c r="I533" s="3" t="s">
        <v>257</v>
      </c>
      <c r="J533" s="3">
        <f>ABS(Table1[[#This Row],[Phone]])</f>
        <v>8811616201</v>
      </c>
      <c r="K533" s="3" t="str">
        <f>PROPER(TRIM(Table1[[#This Row],[Performance_Score]]))</f>
        <v>Excellent</v>
      </c>
      <c r="L533" s="3" t="b">
        <f>Table1[[#This Row],[Remote_Work]]</f>
        <v>1</v>
      </c>
      <c r="M533" s="3" t="str">
        <f>PROPER(CONCATENATE(Table13[[#This Row],[First_Name]], Table13[[#This Row],[Last_Name]]))</f>
        <v>Heidigarcia</v>
      </c>
      <c r="N533" s="3" t="str">
        <f t="shared" si="8"/>
        <v>Jul</v>
      </c>
      <c r="O533" s="3" t="str">
        <f>TEXT(Table13[[#This Row],[Join_Date]],"yyyy")</f>
        <v>2020</v>
      </c>
      <c r="P533" s="3" t="str">
        <f>LEFT('Main Project Raw Data'!E533,FIND("-",'Main Project Raw Data'!E533)-1)</f>
        <v>HR</v>
      </c>
      <c r="Q533" s="3" t="str">
        <f>RIGHT('Main Project Raw Data'!E533,LEN('Main Project Raw Data'!E533)-FIND("-",'Main Project Raw Data'!E533))</f>
        <v>Florida</v>
      </c>
    </row>
    <row r="534" spans="1:17" x14ac:dyDescent="0.3">
      <c r="A534" s="3" t="str">
        <f>TRIM(Table1[[#This Row],[Employee_ID]])</f>
        <v>EMP1532</v>
      </c>
      <c r="B534" s="3" t="str">
        <f>TRIM(Table1[[#This Row],[First_Name]])</f>
        <v>Eva</v>
      </c>
      <c r="C534" s="3" t="str">
        <f>TRIM(Table1[[#This Row],[Last_Name]])</f>
        <v>Smith</v>
      </c>
      <c r="D534" s="3">
        <f>IF(Table1[[#This Row],[Age]]="",AVERAGE(Table1[Age]),Table1[[#This Row],[Age]])</f>
        <v>35</v>
      </c>
      <c r="E534" s="3" t="s">
        <v>15</v>
      </c>
      <c r="F534" s="3" t="s">
        <v>33</v>
      </c>
      <c r="G534" s="5">
        <f>IF(ISNUMBER('Main Project Raw Data'!G534),'Main Project Raw Data'!G534,IF(ISNUMBER(SEARCH("/",'Main Project Raw Data'!G534)),DATE(RIGHT('Main Project Raw Data'!G534,4),LEFT('Main Project Raw Data'!G534,FIND("/",'Main Project Raw Data'!G534)-1),MID('Main Project Raw Data'!G534,FIND("/",'Main Project Raw Data'!G534)+1,2)),DATE(RIGHT('Main Project Raw Data'!G534,4),MID('Main Project Raw Data'!G534,4,2),LEFT('Main Project Raw Data'!G534,2))))</f>
        <v>45343</v>
      </c>
      <c r="H534" s="3">
        <f>IF(Table1[[#This Row],[Salary]]="",AVERAGE(Table1[Salary]),Table1[[#This Row],[Salary]])</f>
        <v>58113.07</v>
      </c>
      <c r="I534" s="3" t="s">
        <v>521</v>
      </c>
      <c r="J534" s="3">
        <f>ABS(Table1[[#This Row],[Phone]])</f>
        <v>8123710671</v>
      </c>
      <c r="K534" s="3" t="str">
        <f>PROPER(TRIM(Table1[[#This Row],[Performance_Score]]))</f>
        <v>Average</v>
      </c>
      <c r="L534" s="3" t="b">
        <f>Table1[[#This Row],[Remote_Work]]</f>
        <v>1</v>
      </c>
      <c r="M534" s="3" t="str">
        <f>PROPER(CONCATENATE(Table13[[#This Row],[First_Name]], Table13[[#This Row],[Last_Name]]))</f>
        <v>Evasmith</v>
      </c>
      <c r="N534" s="3" t="str">
        <f t="shared" si="8"/>
        <v>Feb</v>
      </c>
      <c r="O534" s="3" t="str">
        <f>TEXT(Table13[[#This Row],[Join_Date]],"yyyy")</f>
        <v>2024</v>
      </c>
      <c r="P534" s="3" t="str">
        <f>LEFT('Main Project Raw Data'!E534,FIND("-",'Main Project Raw Data'!E534)-1)</f>
        <v>DevOps</v>
      </c>
      <c r="Q534" s="3" t="str">
        <f>RIGHT('Main Project Raw Data'!E534,LEN('Main Project Raw Data'!E534)-FIND("-",'Main Project Raw Data'!E534))</f>
        <v>California</v>
      </c>
    </row>
    <row r="535" spans="1:17" x14ac:dyDescent="0.3">
      <c r="A535" s="3" t="str">
        <f>TRIM(Table1[[#This Row],[Employee_ID]])</f>
        <v>EMP1533</v>
      </c>
      <c r="B535" s="3" t="str">
        <f>TRIM(Table1[[#This Row],[First_Name]])</f>
        <v>Alice</v>
      </c>
      <c r="C535" s="3" t="str">
        <f>TRIM(Table1[[#This Row],[Last_Name]])</f>
        <v>Smith</v>
      </c>
      <c r="D535" s="3">
        <f>IF(Table1[[#This Row],[Age]]="",AVERAGE(Table1[Age]),Table1[[#This Row],[Age]])</f>
        <v>25</v>
      </c>
      <c r="E535" s="3" t="s">
        <v>27</v>
      </c>
      <c r="F535" s="3" t="s">
        <v>28</v>
      </c>
      <c r="G535" s="5">
        <f>IF(ISNUMBER('Main Project Raw Data'!G535),'Main Project Raw Data'!G535,IF(ISNUMBER(SEARCH("/",'Main Project Raw Data'!G535)),DATE(RIGHT('Main Project Raw Data'!G535,4),LEFT('Main Project Raw Data'!G535,FIND("/",'Main Project Raw Data'!G535)-1),MID('Main Project Raw Data'!G535,FIND("/",'Main Project Raw Data'!G535)+1,2)),DATE(RIGHT('Main Project Raw Data'!G535,4),MID('Main Project Raw Data'!G535,4,2),LEFT('Main Project Raw Data'!G535,2))))</f>
        <v>44180</v>
      </c>
      <c r="H535" s="3">
        <f>IF(Table1[[#This Row],[Salary]]="",AVERAGE(Table1[Salary]),Table1[[#This Row],[Salary]])</f>
        <v>73006.259999999995</v>
      </c>
      <c r="I535" s="3" t="s">
        <v>182</v>
      </c>
      <c r="J535" s="3">
        <f>ABS(Table1[[#This Row],[Phone]])</f>
        <v>8728660415</v>
      </c>
      <c r="K535" s="3" t="str">
        <f>PROPER(TRIM(Table1[[#This Row],[Performance_Score]]))</f>
        <v>Poor</v>
      </c>
      <c r="L535" s="3" t="b">
        <f>Table1[[#This Row],[Remote_Work]]</f>
        <v>1</v>
      </c>
      <c r="M535" s="3" t="str">
        <f>PROPER(CONCATENATE(Table13[[#This Row],[First_Name]], Table13[[#This Row],[Last_Name]]))</f>
        <v>Alicesmith</v>
      </c>
      <c r="N535" s="3" t="str">
        <f t="shared" si="8"/>
        <v>Dec</v>
      </c>
      <c r="O535" s="3" t="str">
        <f>TEXT(Table13[[#This Row],[Join_Date]],"yyyy")</f>
        <v>2020</v>
      </c>
      <c r="P535" s="3" t="str">
        <f>LEFT('Main Project Raw Data'!E535,FIND("-",'Main Project Raw Data'!E535)-1)</f>
        <v>Admin</v>
      </c>
      <c r="Q535" s="3" t="str">
        <f>RIGHT('Main Project Raw Data'!E535,LEN('Main Project Raw Data'!E535)-FIND("-",'Main Project Raw Data'!E535))</f>
        <v>Nevada</v>
      </c>
    </row>
    <row r="536" spans="1:17" x14ac:dyDescent="0.3">
      <c r="A536" s="3" t="str">
        <f>TRIM(Table1[[#This Row],[Employee_ID]])</f>
        <v>EMP1534</v>
      </c>
      <c r="B536" s="3" t="str">
        <f>TRIM(Table1[[#This Row],[First_Name]])</f>
        <v>Eva</v>
      </c>
      <c r="C536" s="3" t="str">
        <f>TRIM(Table1[[#This Row],[Last_Name]])</f>
        <v>Williams</v>
      </c>
      <c r="D536" s="3">
        <f>IF(Table1[[#This Row],[Age]]="",AVERAGE(Table1[Age]),Table1[[#This Row],[Age]])</f>
        <v>25</v>
      </c>
      <c r="E536" s="3" t="s">
        <v>146</v>
      </c>
      <c r="F536" s="3" t="s">
        <v>16</v>
      </c>
      <c r="G536" s="5">
        <f>IF(ISNUMBER('Main Project Raw Data'!G536),'Main Project Raw Data'!G536,IF(ISNUMBER(SEARCH("/",'Main Project Raw Data'!G536)),DATE(RIGHT('Main Project Raw Data'!G536,4),LEFT('Main Project Raw Data'!G536,FIND("/",'Main Project Raw Data'!G536)-1),MID('Main Project Raw Data'!G536,FIND("/",'Main Project Raw Data'!G536)+1,2)),DATE(RIGHT('Main Project Raw Data'!G536,4),MID('Main Project Raw Data'!G536,4,2),LEFT('Main Project Raw Data'!G536,2))))</f>
        <v>44064</v>
      </c>
      <c r="H536" s="3">
        <f>IF(Table1[[#This Row],[Salary]]="",AVERAGE(Table1[Salary]),Table1[[#This Row],[Salary]])</f>
        <v>78054.429999999993</v>
      </c>
      <c r="I536" s="3" t="s">
        <v>141</v>
      </c>
      <c r="J536" s="3">
        <f>ABS(Table1[[#This Row],[Phone]])</f>
        <v>4485959223</v>
      </c>
      <c r="K536" s="3" t="str">
        <f>PROPER(TRIM(Table1[[#This Row],[Performance_Score]]))</f>
        <v>Poor</v>
      </c>
      <c r="L536" s="3" t="b">
        <f>Table1[[#This Row],[Remote_Work]]</f>
        <v>1</v>
      </c>
      <c r="M536" s="3" t="str">
        <f>PROPER(CONCATENATE(Table13[[#This Row],[First_Name]], Table13[[#This Row],[Last_Name]]))</f>
        <v>Evawilliams</v>
      </c>
      <c r="N536" s="3" t="str">
        <f t="shared" si="8"/>
        <v>Aug</v>
      </c>
      <c r="O536" s="3" t="str">
        <f>TEXT(Table13[[#This Row],[Join_Date]],"yyyy")</f>
        <v>2020</v>
      </c>
      <c r="P536" s="3" t="str">
        <f>LEFT('Main Project Raw Data'!E536,FIND("-",'Main Project Raw Data'!E536)-1)</f>
        <v>HR</v>
      </c>
      <c r="Q536" s="3" t="str">
        <f>RIGHT('Main Project Raw Data'!E536,LEN('Main Project Raw Data'!E536)-FIND("-",'Main Project Raw Data'!E536))</f>
        <v>California</v>
      </c>
    </row>
    <row r="537" spans="1:17" x14ac:dyDescent="0.3">
      <c r="A537" s="3" t="str">
        <f>TRIM(Table1[[#This Row],[Employee_ID]])</f>
        <v>EMP1535</v>
      </c>
      <c r="B537" s="3" t="str">
        <f>TRIM(Table1[[#This Row],[First_Name]])</f>
        <v>Eva</v>
      </c>
      <c r="C537" s="3" t="str">
        <f>TRIM(Table1[[#This Row],[Last_Name]])</f>
        <v>Miller</v>
      </c>
      <c r="D537" s="3">
        <f>IF(Table1[[#This Row],[Age]]="",AVERAGE(Table1[Age]),Table1[[#This Row],[Age]])</f>
        <v>40</v>
      </c>
      <c r="E537" s="3" t="s">
        <v>230</v>
      </c>
      <c r="F537" s="3" t="s">
        <v>33</v>
      </c>
      <c r="G537" s="5">
        <f>IF(ISNUMBER('Main Project Raw Data'!G537),'Main Project Raw Data'!G537,IF(ISNUMBER(SEARCH("/",'Main Project Raw Data'!G537)),DATE(RIGHT('Main Project Raw Data'!G537,4),LEFT('Main Project Raw Data'!G537,FIND("/",'Main Project Raw Data'!G537)-1),MID('Main Project Raw Data'!G537,FIND("/",'Main Project Raw Data'!G537)+1,2)),DATE(RIGHT('Main Project Raw Data'!G537,4),MID('Main Project Raw Data'!G537,4,2),LEFT('Main Project Raw Data'!G537,2))))</f>
        <v>45159</v>
      </c>
      <c r="H537" s="3">
        <f>IF(Table1[[#This Row],[Salary]]="",AVERAGE(Table1[Salary]),Table1[[#This Row],[Salary]])</f>
        <v>112028.67</v>
      </c>
      <c r="I537" s="3" t="s">
        <v>263</v>
      </c>
      <c r="J537" s="3">
        <f>ABS(Table1[[#This Row],[Phone]])</f>
        <v>8395894772</v>
      </c>
      <c r="K537" s="3" t="str">
        <f>PROPER(TRIM(Table1[[#This Row],[Performance_Score]]))</f>
        <v>Excellent</v>
      </c>
      <c r="L537" s="3" t="b">
        <f>Table1[[#This Row],[Remote_Work]]</f>
        <v>0</v>
      </c>
      <c r="M537" s="3" t="str">
        <f>PROPER(CONCATENATE(Table13[[#This Row],[First_Name]], Table13[[#This Row],[Last_Name]]))</f>
        <v>Evamiller</v>
      </c>
      <c r="N537" s="3" t="str">
        <f t="shared" si="8"/>
        <v>Aug</v>
      </c>
      <c r="O537" s="3" t="str">
        <f>TEXT(Table13[[#This Row],[Join_Date]],"yyyy")</f>
        <v>2023</v>
      </c>
      <c r="P537" s="3" t="str">
        <f>LEFT('Main Project Raw Data'!E537,FIND("-",'Main Project Raw Data'!E537)-1)</f>
        <v>DevOps</v>
      </c>
      <c r="Q537" s="3" t="str">
        <f>RIGHT('Main Project Raw Data'!E537,LEN('Main Project Raw Data'!E537)-FIND("-",'Main Project Raw Data'!E537))</f>
        <v>Florida</v>
      </c>
    </row>
    <row r="538" spans="1:17" x14ac:dyDescent="0.3">
      <c r="A538" s="3" t="str">
        <f>TRIM(Table1[[#This Row],[Employee_ID]])</f>
        <v>EMP1536</v>
      </c>
      <c r="B538" s="3" t="str">
        <f>TRIM(Table1[[#This Row],[First_Name]])</f>
        <v>Charlie</v>
      </c>
      <c r="C538" s="3" t="str">
        <f>TRIM(Table1[[#This Row],[Last_Name]])</f>
        <v>Garcia</v>
      </c>
      <c r="D538" s="3">
        <f>IF(Table1[[#This Row],[Age]]="",AVERAGE(Table1[Age]),Table1[[#This Row],[Age]])</f>
        <v>25</v>
      </c>
      <c r="E538" s="3" t="s">
        <v>103</v>
      </c>
      <c r="F538" s="3" t="s">
        <v>33</v>
      </c>
      <c r="G538" s="5">
        <f>IF(ISNUMBER('Main Project Raw Data'!G538),'Main Project Raw Data'!G538,IF(ISNUMBER(SEARCH("/",'Main Project Raw Data'!G538)),DATE(RIGHT('Main Project Raw Data'!G538,4),LEFT('Main Project Raw Data'!G538,FIND("/",'Main Project Raw Data'!G538)-1),MID('Main Project Raw Data'!G538,FIND("/",'Main Project Raw Data'!G538)+1,2)),DATE(RIGHT('Main Project Raw Data'!G538,4),MID('Main Project Raw Data'!G538,4,2),LEFT('Main Project Raw Data'!G538,2))))</f>
        <v>45040</v>
      </c>
      <c r="H538" s="3">
        <f>IF(Table1[[#This Row],[Salary]]="",AVERAGE(Table1[Salary]),Table1[[#This Row],[Salary]])</f>
        <v>83787.240000000005</v>
      </c>
      <c r="I538" s="3" t="s">
        <v>87</v>
      </c>
      <c r="J538" s="3">
        <f>ABS(Table1[[#This Row],[Phone]])</f>
        <v>5228705621</v>
      </c>
      <c r="K538" s="3" t="str">
        <f>PROPER(TRIM(Table1[[#This Row],[Performance_Score]]))</f>
        <v>Good</v>
      </c>
      <c r="L538" s="3" t="b">
        <f>Table1[[#This Row],[Remote_Work]]</f>
        <v>1</v>
      </c>
      <c r="M538" s="3" t="str">
        <f>PROPER(CONCATENATE(Table13[[#This Row],[First_Name]], Table13[[#This Row],[Last_Name]]))</f>
        <v>Charliegarcia</v>
      </c>
      <c r="N538" s="3" t="str">
        <f t="shared" si="8"/>
        <v>Apr</v>
      </c>
      <c r="O538" s="3" t="str">
        <f>TEXT(Table13[[#This Row],[Join_Date]],"yyyy")</f>
        <v>2023</v>
      </c>
      <c r="P538" s="3" t="str">
        <f>LEFT('Main Project Raw Data'!E538,FIND("-",'Main Project Raw Data'!E538)-1)</f>
        <v>Admin</v>
      </c>
      <c r="Q538" s="3" t="str">
        <f>RIGHT('Main Project Raw Data'!E538,LEN('Main Project Raw Data'!E538)-FIND("-",'Main Project Raw Data'!E538))</f>
        <v>Texas</v>
      </c>
    </row>
    <row r="539" spans="1:17" x14ac:dyDescent="0.3">
      <c r="A539" s="3" t="str">
        <f>TRIM(Table1[[#This Row],[Employee_ID]])</f>
        <v>EMP1537</v>
      </c>
      <c r="B539" s="3" t="str">
        <f>TRIM(Table1[[#This Row],[First_Name]])</f>
        <v>Heidi</v>
      </c>
      <c r="C539" s="3" t="str">
        <f>TRIM(Table1[[#This Row],[Last_Name]])</f>
        <v>Davis</v>
      </c>
      <c r="D539" s="3">
        <f>IF(Table1[[#This Row],[Age]]="",AVERAGE(Table1[Age]),Table1[[#This Row],[Age]])</f>
        <v>30</v>
      </c>
      <c r="E539" s="3" t="s">
        <v>74</v>
      </c>
      <c r="F539" s="3" t="s">
        <v>33</v>
      </c>
      <c r="G539" s="5">
        <f>IF(ISNUMBER('Main Project Raw Data'!G539),'Main Project Raw Data'!G539,IF(ISNUMBER(SEARCH("/",'Main Project Raw Data'!G539)),DATE(RIGHT('Main Project Raw Data'!G539,4),LEFT('Main Project Raw Data'!G539,FIND("/",'Main Project Raw Data'!G539)-1),MID('Main Project Raw Data'!G539,FIND("/",'Main Project Raw Data'!G539)+1,2)),DATE(RIGHT('Main Project Raw Data'!G539,4),MID('Main Project Raw Data'!G539,4,2),LEFT('Main Project Raw Data'!G539,2))))</f>
        <v>45083</v>
      </c>
      <c r="H539" s="3">
        <f>IF(Table1[[#This Row],[Salary]]="",AVERAGE(Table1[Salary]),Table1[[#This Row],[Salary]])</f>
        <v>52017.14</v>
      </c>
      <c r="I539" s="3" t="s">
        <v>394</v>
      </c>
      <c r="J539" s="3">
        <f>ABS(Table1[[#This Row],[Phone]])</f>
        <v>7104331874</v>
      </c>
      <c r="K539" s="3" t="str">
        <f>PROPER(TRIM(Table1[[#This Row],[Performance_Score]]))</f>
        <v>Average</v>
      </c>
      <c r="L539" s="3" t="b">
        <f>Table1[[#This Row],[Remote_Work]]</f>
        <v>1</v>
      </c>
      <c r="M539" s="3" t="str">
        <f>PROPER(CONCATENATE(Table13[[#This Row],[First_Name]], Table13[[#This Row],[Last_Name]]))</f>
        <v>Heididavis</v>
      </c>
      <c r="N539" s="3" t="str">
        <f t="shared" si="8"/>
        <v>Jun</v>
      </c>
      <c r="O539" s="3" t="str">
        <f>TEXT(Table13[[#This Row],[Join_Date]],"yyyy")</f>
        <v>2023</v>
      </c>
      <c r="P539" s="3" t="str">
        <f>LEFT('Main Project Raw Data'!E539,FIND("-",'Main Project Raw Data'!E539)-1)</f>
        <v>Sales</v>
      </c>
      <c r="Q539" s="3" t="str">
        <f>RIGHT('Main Project Raw Data'!E539,LEN('Main Project Raw Data'!E539)-FIND("-",'Main Project Raw Data'!E539))</f>
        <v>Florida</v>
      </c>
    </row>
    <row r="540" spans="1:17" x14ac:dyDescent="0.3">
      <c r="A540" s="3" t="str">
        <f>TRIM(Table1[[#This Row],[Employee_ID]])</f>
        <v>EMP1538</v>
      </c>
      <c r="B540" s="3" t="str">
        <f>TRIM(Table1[[#This Row],[First_Name]])</f>
        <v>Charlie</v>
      </c>
      <c r="C540" s="3" t="str">
        <f>TRIM(Table1[[#This Row],[Last_Name]])</f>
        <v>Jones</v>
      </c>
      <c r="D540" s="3">
        <f>IF(Table1[[#This Row],[Age]]="",AVERAGE(Table1[Age]),Table1[[#This Row],[Age]])</f>
        <v>40</v>
      </c>
      <c r="E540" s="3" t="s">
        <v>21</v>
      </c>
      <c r="F540" s="3" t="s">
        <v>33</v>
      </c>
      <c r="G540" s="5">
        <f>IF(ISNUMBER('Main Project Raw Data'!G540),'Main Project Raw Data'!G540,IF(ISNUMBER(SEARCH("/",'Main Project Raw Data'!G540)),DATE(RIGHT('Main Project Raw Data'!G540,4),LEFT('Main Project Raw Data'!G540,FIND("/",'Main Project Raw Data'!G540)-1),MID('Main Project Raw Data'!G540,FIND("/",'Main Project Raw Data'!G540)+1,2)),DATE(RIGHT('Main Project Raw Data'!G540,4),MID('Main Project Raw Data'!G540,4,2),LEFT('Main Project Raw Data'!G540,2))))</f>
        <v>44733</v>
      </c>
      <c r="H540" s="3">
        <f>IF(Table1[[#This Row],[Salary]]="",AVERAGE(Table1[Salary]),Table1[[#This Row],[Salary]])</f>
        <v>53218.06</v>
      </c>
      <c r="I540" s="3" t="s">
        <v>120</v>
      </c>
      <c r="J540" s="3">
        <f>ABS(Table1[[#This Row],[Phone]])</f>
        <v>1097921582</v>
      </c>
      <c r="K540" s="3" t="str">
        <f>PROPER(TRIM(Table1[[#This Row],[Performance_Score]]))</f>
        <v>Average</v>
      </c>
      <c r="L540" s="3" t="b">
        <f>Table1[[#This Row],[Remote_Work]]</f>
        <v>0</v>
      </c>
      <c r="M540" s="3" t="str">
        <f>PROPER(CONCATENATE(Table13[[#This Row],[First_Name]], Table13[[#This Row],[Last_Name]]))</f>
        <v>Charliejones</v>
      </c>
      <c r="N540" s="3" t="str">
        <f t="shared" si="8"/>
        <v>Jun</v>
      </c>
      <c r="O540" s="3" t="str">
        <f>TEXT(Table13[[#This Row],[Join_Date]],"yyyy")</f>
        <v>2022</v>
      </c>
      <c r="P540" s="3" t="str">
        <f>LEFT('Main Project Raw Data'!E540,FIND("-",'Main Project Raw Data'!E540)-1)</f>
        <v>Finance</v>
      </c>
      <c r="Q540" s="3" t="str">
        <f>RIGHT('Main Project Raw Data'!E540,LEN('Main Project Raw Data'!E540)-FIND("-",'Main Project Raw Data'!E540))</f>
        <v>Texas</v>
      </c>
    </row>
    <row r="541" spans="1:17" x14ac:dyDescent="0.3">
      <c r="A541" s="3" t="str">
        <f>TRIM(Table1[[#This Row],[Employee_ID]])</f>
        <v>EMP1539</v>
      </c>
      <c r="B541" s="3" t="str">
        <f>TRIM(Table1[[#This Row],[First_Name]])</f>
        <v>Frank</v>
      </c>
      <c r="C541" s="3" t="str">
        <f>TRIM(Table1[[#This Row],[Last_Name]])</f>
        <v>Johnson</v>
      </c>
      <c r="D541" s="3">
        <f>IF(Table1[[#This Row],[Age]]="",AVERAGE(Table1[Age]),Table1[[#This Row],[Age]])</f>
        <v>25</v>
      </c>
      <c r="E541" s="3" t="s">
        <v>328</v>
      </c>
      <c r="F541" s="3" t="s">
        <v>28</v>
      </c>
      <c r="G541" s="5">
        <f>IF(ISNUMBER('Main Project Raw Data'!G541),'Main Project Raw Data'!G541,IF(ISNUMBER(SEARCH("/",'Main Project Raw Data'!G541)),DATE(RIGHT('Main Project Raw Data'!G541,4),LEFT('Main Project Raw Data'!G541,FIND("/",'Main Project Raw Data'!G541)-1),MID('Main Project Raw Data'!G541,FIND("/",'Main Project Raw Data'!G541)+1,2)),DATE(RIGHT('Main Project Raw Data'!G541,4),MID('Main Project Raw Data'!G541,4,2),LEFT('Main Project Raw Data'!G541,2))))</f>
        <v>45402</v>
      </c>
      <c r="H541" s="3">
        <f>IF(Table1[[#This Row],[Salary]]="",AVERAGE(Table1[Salary]),Table1[[#This Row],[Salary]])</f>
        <v>102053.67</v>
      </c>
      <c r="I541" s="3" t="s">
        <v>271</v>
      </c>
      <c r="J541" s="3">
        <f>ABS(Table1[[#This Row],[Phone]])</f>
        <v>5034469458</v>
      </c>
      <c r="K541" s="3" t="str">
        <f>PROPER(TRIM(Table1[[#This Row],[Performance_Score]]))</f>
        <v>Average</v>
      </c>
      <c r="L541" s="3" t="b">
        <f>Table1[[#This Row],[Remote_Work]]</f>
        <v>0</v>
      </c>
      <c r="M541" s="3" t="str">
        <f>PROPER(CONCATENATE(Table13[[#This Row],[First_Name]], Table13[[#This Row],[Last_Name]]))</f>
        <v>Frankjohnson</v>
      </c>
      <c r="N541" s="3" t="str">
        <f t="shared" si="8"/>
        <v>Apr</v>
      </c>
      <c r="O541" s="3" t="str">
        <f>TEXT(Table13[[#This Row],[Join_Date]],"yyyy")</f>
        <v>2024</v>
      </c>
      <c r="P541" s="3" t="str">
        <f>LEFT('Main Project Raw Data'!E541,FIND("-",'Main Project Raw Data'!E541)-1)</f>
        <v>DevOps</v>
      </c>
      <c r="Q541" s="3" t="str">
        <f>RIGHT('Main Project Raw Data'!E541,LEN('Main Project Raw Data'!E541)-FIND("-",'Main Project Raw Data'!E541))</f>
        <v>Nevada</v>
      </c>
    </row>
    <row r="542" spans="1:17" x14ac:dyDescent="0.3">
      <c r="A542" s="3" t="str">
        <f>TRIM(Table1[[#This Row],[Employee_ID]])</f>
        <v>EMP1540</v>
      </c>
      <c r="B542" s="3" t="str">
        <f>TRIM(Table1[[#This Row],[First_Name]])</f>
        <v>David</v>
      </c>
      <c r="C542" s="3" t="str">
        <f>TRIM(Table1[[#This Row],[Last_Name]])</f>
        <v>Davis</v>
      </c>
      <c r="D542" s="3">
        <f>IF(Table1[[#This Row],[Age]]="",AVERAGE(Table1[Age]),Table1[[#This Row],[Age]])</f>
        <v>35</v>
      </c>
      <c r="E542" s="3" t="s">
        <v>98</v>
      </c>
      <c r="F542" s="3" t="s">
        <v>28</v>
      </c>
      <c r="G542" s="5">
        <f>IF(ISNUMBER('Main Project Raw Data'!G542),'Main Project Raw Data'!G542,IF(ISNUMBER(SEARCH("/",'Main Project Raw Data'!G542)),DATE(RIGHT('Main Project Raw Data'!G542,4),LEFT('Main Project Raw Data'!G542,FIND("/",'Main Project Raw Data'!G542)-1),MID('Main Project Raw Data'!G542,FIND("/",'Main Project Raw Data'!G542)+1,2)),DATE(RIGHT('Main Project Raw Data'!G542,4),MID('Main Project Raw Data'!G542,4,2),LEFT('Main Project Raw Data'!G542,2))))</f>
        <v>45058</v>
      </c>
      <c r="H542" s="3">
        <f>IF(Table1[[#This Row],[Salary]]="",AVERAGE(Table1[Salary]),Table1[[#This Row],[Salary]])</f>
        <v>93276.73</v>
      </c>
      <c r="I542" s="3" t="s">
        <v>63</v>
      </c>
      <c r="J542" s="3">
        <f>ABS(Table1[[#This Row],[Phone]])</f>
        <v>6488319212</v>
      </c>
      <c r="K542" s="3" t="str">
        <f>PROPER(TRIM(Table1[[#This Row],[Performance_Score]]))</f>
        <v>Average</v>
      </c>
      <c r="L542" s="3" t="b">
        <f>Table1[[#This Row],[Remote_Work]]</f>
        <v>0</v>
      </c>
      <c r="M542" s="3" t="str">
        <f>PROPER(CONCATENATE(Table13[[#This Row],[First_Name]], Table13[[#This Row],[Last_Name]]))</f>
        <v>Daviddavis</v>
      </c>
      <c r="N542" s="3" t="str">
        <f t="shared" si="8"/>
        <v>May</v>
      </c>
      <c r="O542" s="3" t="str">
        <f>TEXT(Table13[[#This Row],[Join_Date]],"yyyy")</f>
        <v>2023</v>
      </c>
      <c r="P542" s="3" t="str">
        <f>LEFT('Main Project Raw Data'!E542,FIND("-",'Main Project Raw Data'!E542)-1)</f>
        <v>Sales</v>
      </c>
      <c r="Q542" s="3" t="str">
        <f>RIGHT('Main Project Raw Data'!E542,LEN('Main Project Raw Data'!E542)-FIND("-",'Main Project Raw Data'!E542))</f>
        <v>Illinois</v>
      </c>
    </row>
    <row r="543" spans="1:17" x14ac:dyDescent="0.3">
      <c r="A543" s="3" t="str">
        <f>TRIM(Table1[[#This Row],[Employee_ID]])</f>
        <v>EMP1541</v>
      </c>
      <c r="B543" s="3" t="str">
        <f>TRIM(Table1[[#This Row],[First_Name]])</f>
        <v>David</v>
      </c>
      <c r="C543" s="3" t="str">
        <f>TRIM(Table1[[#This Row],[Last_Name]])</f>
        <v>Johnson</v>
      </c>
      <c r="D543" s="3">
        <f>IF(Table1[[#This Row],[Age]]="",AVERAGE(Table1[Age]),Table1[[#This Row],[Age]])</f>
        <v>40</v>
      </c>
      <c r="E543" s="3" t="s">
        <v>149</v>
      </c>
      <c r="F543" s="3" t="s">
        <v>28</v>
      </c>
      <c r="G543" s="5">
        <f>IF(ISNUMBER('Main Project Raw Data'!G543),'Main Project Raw Data'!G543,IF(ISNUMBER(SEARCH("/",'Main Project Raw Data'!G543)),DATE(RIGHT('Main Project Raw Data'!G543,4),LEFT('Main Project Raw Data'!G543,FIND("/",'Main Project Raw Data'!G543)-1),MID('Main Project Raw Data'!G543,FIND("/",'Main Project Raw Data'!G543)+1,2)),DATE(RIGHT('Main Project Raw Data'!G543,4),MID('Main Project Raw Data'!G543,4,2),LEFT('Main Project Raw Data'!G543,2))))</f>
        <v>45085</v>
      </c>
      <c r="H543" s="3">
        <f>IF(Table1[[#This Row],[Salary]]="",AVERAGE(Table1[Salary]),Table1[[#This Row],[Salary]])</f>
        <v>76941.36</v>
      </c>
      <c r="I543" s="3" t="s">
        <v>217</v>
      </c>
      <c r="J543" s="3">
        <f>ABS(Table1[[#This Row],[Phone]])</f>
        <v>4249128964</v>
      </c>
      <c r="K543" s="3" t="str">
        <f>PROPER(TRIM(Table1[[#This Row],[Performance_Score]]))</f>
        <v>Poor</v>
      </c>
      <c r="L543" s="3" t="b">
        <f>Table1[[#This Row],[Remote_Work]]</f>
        <v>1</v>
      </c>
      <c r="M543" s="3" t="str">
        <f>PROPER(CONCATENATE(Table13[[#This Row],[First_Name]], Table13[[#This Row],[Last_Name]]))</f>
        <v>Davidjohnson</v>
      </c>
      <c r="N543" s="3" t="str">
        <f t="shared" si="8"/>
        <v>Jun</v>
      </c>
      <c r="O543" s="3" t="str">
        <f>TEXT(Table13[[#This Row],[Join_Date]],"yyyy")</f>
        <v>2023</v>
      </c>
      <c r="P543" s="3" t="str">
        <f>LEFT('Main Project Raw Data'!E543,FIND("-",'Main Project Raw Data'!E543)-1)</f>
        <v>HR</v>
      </c>
      <c r="Q543" s="3" t="str">
        <f>RIGHT('Main Project Raw Data'!E543,LEN('Main Project Raw Data'!E543)-FIND("-",'Main Project Raw Data'!E543))</f>
        <v>Nevada</v>
      </c>
    </row>
    <row r="544" spans="1:17" x14ac:dyDescent="0.3">
      <c r="A544" s="3" t="str">
        <f>TRIM(Table1[[#This Row],[Employee_ID]])</f>
        <v>EMP1542</v>
      </c>
      <c r="B544" s="3" t="str">
        <f>TRIM(Table1[[#This Row],[First_Name]])</f>
        <v>Alice</v>
      </c>
      <c r="C544" s="3" t="str">
        <f>TRIM(Table1[[#This Row],[Last_Name]])</f>
        <v>Williams</v>
      </c>
      <c r="D544" s="3">
        <f>IF(Table1[[#This Row],[Age]]="",AVERAGE(Table1[Age]),Table1[[#This Row],[Age]])</f>
        <v>25</v>
      </c>
      <c r="E544" s="3" t="s">
        <v>56</v>
      </c>
      <c r="F544" s="3" t="s">
        <v>28</v>
      </c>
      <c r="G544" s="5">
        <f>IF(ISNUMBER('Main Project Raw Data'!G544),'Main Project Raw Data'!G544,IF(ISNUMBER(SEARCH("/",'Main Project Raw Data'!G544)),DATE(RIGHT('Main Project Raw Data'!G544,4),LEFT('Main Project Raw Data'!G544,FIND("/",'Main Project Raw Data'!G544)-1),MID('Main Project Raw Data'!G544,FIND("/",'Main Project Raw Data'!G544)+1,2)),DATE(RIGHT('Main Project Raw Data'!G544,4),MID('Main Project Raw Data'!G544,4,2),LEFT('Main Project Raw Data'!G544,2))))</f>
        <v>45392</v>
      </c>
      <c r="H544" s="3">
        <f>IF(Table1[[#This Row],[Salary]]="",AVERAGE(Table1[Salary]),Table1[[#This Row],[Salary]])</f>
        <v>82850.23</v>
      </c>
      <c r="I544" s="3" t="s">
        <v>362</v>
      </c>
      <c r="J544" s="3">
        <f>ABS(Table1[[#This Row],[Phone]])</f>
        <v>9994973202</v>
      </c>
      <c r="K544" s="3" t="str">
        <f>PROPER(TRIM(Table1[[#This Row],[Performance_Score]]))</f>
        <v>Poor</v>
      </c>
      <c r="L544" s="3" t="b">
        <f>Table1[[#This Row],[Remote_Work]]</f>
        <v>0</v>
      </c>
      <c r="M544" s="3" t="str">
        <f>PROPER(CONCATENATE(Table13[[#This Row],[First_Name]], Table13[[#This Row],[Last_Name]]))</f>
        <v>Alicewilliams</v>
      </c>
      <c r="N544" s="3" t="str">
        <f t="shared" si="8"/>
        <v>Apr</v>
      </c>
      <c r="O544" s="3" t="str">
        <f>TEXT(Table13[[#This Row],[Join_Date]],"yyyy")</f>
        <v>2024</v>
      </c>
      <c r="P544" s="3" t="str">
        <f>LEFT('Main Project Raw Data'!E544,FIND("-",'Main Project Raw Data'!E544)-1)</f>
        <v>DevOps</v>
      </c>
      <c r="Q544" s="3" t="str">
        <f>RIGHT('Main Project Raw Data'!E544,LEN('Main Project Raw Data'!E544)-FIND("-",'Main Project Raw Data'!E544))</f>
        <v>New York</v>
      </c>
    </row>
    <row r="545" spans="1:17" x14ac:dyDescent="0.3">
      <c r="A545" s="3" t="str">
        <f>TRIM(Table1[[#This Row],[Employee_ID]])</f>
        <v>EMP1543</v>
      </c>
      <c r="B545" s="3" t="str">
        <f>TRIM(Table1[[#This Row],[First_Name]])</f>
        <v>Charlie</v>
      </c>
      <c r="C545" s="3" t="str">
        <f>TRIM(Table1[[#This Row],[Last_Name]])</f>
        <v>Johnson</v>
      </c>
      <c r="D545" s="3">
        <f>IF(Table1[[#This Row],[Age]]="",AVERAGE(Table1[Age]),Table1[[#This Row],[Age]])</f>
        <v>25</v>
      </c>
      <c r="E545" s="3" t="s">
        <v>70</v>
      </c>
      <c r="F545" s="3" t="s">
        <v>16</v>
      </c>
      <c r="G545" s="5">
        <f>IF(ISNUMBER('Main Project Raw Data'!G545),'Main Project Raw Data'!G545,IF(ISNUMBER(SEARCH("/",'Main Project Raw Data'!G545)),DATE(RIGHT('Main Project Raw Data'!G545,4),LEFT('Main Project Raw Data'!G545,FIND("/",'Main Project Raw Data'!G545)-1),MID('Main Project Raw Data'!G545,FIND("/",'Main Project Raw Data'!G545)+1,2)),DATE(RIGHT('Main Project Raw Data'!G545,4),MID('Main Project Raw Data'!G545,4,2),LEFT('Main Project Raw Data'!G545,2))))</f>
        <v>44419</v>
      </c>
      <c r="H545" s="3">
        <f>IF(Table1[[#This Row],[Salary]]="",AVERAGE(Table1[Salary]),Table1[[#This Row],[Salary]])</f>
        <v>117910.15</v>
      </c>
      <c r="I545" s="3" t="s">
        <v>57</v>
      </c>
      <c r="J545" s="3">
        <f>ABS(Table1[[#This Row],[Phone]])</f>
        <v>3192227050</v>
      </c>
      <c r="K545" s="3" t="str">
        <f>PROPER(TRIM(Table1[[#This Row],[Performance_Score]]))</f>
        <v>Good</v>
      </c>
      <c r="L545" s="3" t="b">
        <f>Table1[[#This Row],[Remote_Work]]</f>
        <v>0</v>
      </c>
      <c r="M545" s="3" t="str">
        <f>PROPER(CONCATENATE(Table13[[#This Row],[First_Name]], Table13[[#This Row],[Last_Name]]))</f>
        <v>Charliejohnson</v>
      </c>
      <c r="N545" s="3" t="str">
        <f t="shared" si="8"/>
        <v>Aug</v>
      </c>
      <c r="O545" s="3" t="str">
        <f>TEXT(Table13[[#This Row],[Join_Date]],"yyyy")</f>
        <v>2021</v>
      </c>
      <c r="P545" s="3" t="str">
        <f>LEFT('Main Project Raw Data'!E545,FIND("-",'Main Project Raw Data'!E545)-1)</f>
        <v>Finance</v>
      </c>
      <c r="Q545" s="3" t="str">
        <f>RIGHT('Main Project Raw Data'!E545,LEN('Main Project Raw Data'!E545)-FIND("-",'Main Project Raw Data'!E545))</f>
        <v>California</v>
      </c>
    </row>
    <row r="546" spans="1:17" x14ac:dyDescent="0.3">
      <c r="A546" s="3" t="str">
        <f>TRIM(Table1[[#This Row],[Employee_ID]])</f>
        <v>EMP1544</v>
      </c>
      <c r="B546" s="3" t="str">
        <f>TRIM(Table1[[#This Row],[First_Name]])</f>
        <v>David</v>
      </c>
      <c r="C546" s="3" t="str">
        <f>TRIM(Table1[[#This Row],[Last_Name]])</f>
        <v>Smith</v>
      </c>
      <c r="D546" s="3">
        <f>IF(Table1[[#This Row],[Age]]="",AVERAGE(Table1[Age]),Table1[[#This Row],[Age]])</f>
        <v>32.484548825710753</v>
      </c>
      <c r="E546" s="3" t="s">
        <v>230</v>
      </c>
      <c r="F546" s="3" t="s">
        <v>33</v>
      </c>
      <c r="G546" s="5">
        <f>IF(ISNUMBER('Main Project Raw Data'!G546),'Main Project Raw Data'!G546,IF(ISNUMBER(SEARCH("/",'Main Project Raw Data'!G546)),DATE(RIGHT('Main Project Raw Data'!G546,4),LEFT('Main Project Raw Data'!G546,FIND("/",'Main Project Raw Data'!G546)-1),MID('Main Project Raw Data'!G546,FIND("/",'Main Project Raw Data'!G546)+1,2)),DATE(RIGHT('Main Project Raw Data'!G546,4),MID('Main Project Raw Data'!G546,4,2),LEFT('Main Project Raw Data'!G546,2))))</f>
        <v>45504</v>
      </c>
      <c r="H546" s="3">
        <f>IF(Table1[[#This Row],[Salary]]="",AVERAGE(Table1[Salary]),Table1[[#This Row],[Salary]])</f>
        <v>66450</v>
      </c>
      <c r="I546" s="3" t="s">
        <v>340</v>
      </c>
      <c r="J546" s="3">
        <f>ABS(Table1[[#This Row],[Phone]])</f>
        <v>287675480</v>
      </c>
      <c r="K546" s="3" t="str">
        <f>PROPER(TRIM(Table1[[#This Row],[Performance_Score]]))</f>
        <v>Average</v>
      </c>
      <c r="L546" s="3" t="b">
        <f>Table1[[#This Row],[Remote_Work]]</f>
        <v>1</v>
      </c>
      <c r="M546" s="3" t="str">
        <f>PROPER(CONCATENATE(Table13[[#This Row],[First_Name]], Table13[[#This Row],[Last_Name]]))</f>
        <v>Davidsmith</v>
      </c>
      <c r="N546" s="3" t="str">
        <f t="shared" si="8"/>
        <v>Jul</v>
      </c>
      <c r="O546" s="3" t="str">
        <f>TEXT(Table13[[#This Row],[Join_Date]],"yyyy")</f>
        <v>2024</v>
      </c>
      <c r="P546" s="3" t="str">
        <f>LEFT('Main Project Raw Data'!E546,FIND("-",'Main Project Raw Data'!E546)-1)</f>
        <v>DevOps</v>
      </c>
      <c r="Q546" s="3" t="str">
        <f>RIGHT('Main Project Raw Data'!E546,LEN('Main Project Raw Data'!E546)-FIND("-",'Main Project Raw Data'!E546))</f>
        <v>Florida</v>
      </c>
    </row>
    <row r="547" spans="1:17" x14ac:dyDescent="0.3">
      <c r="A547" s="3" t="str">
        <f>TRIM(Table1[[#This Row],[Employee_ID]])</f>
        <v>EMP1545</v>
      </c>
      <c r="B547" s="3" t="str">
        <f>TRIM(Table1[[#This Row],[First_Name]])</f>
        <v>Heidi</v>
      </c>
      <c r="C547" s="3" t="str">
        <f>TRIM(Table1[[#This Row],[Last_Name]])</f>
        <v>Garcia</v>
      </c>
      <c r="D547" s="3">
        <f>IF(Table1[[#This Row],[Age]]="",AVERAGE(Table1[Age]),Table1[[#This Row],[Age]])</f>
        <v>25</v>
      </c>
      <c r="E547" s="3" t="s">
        <v>112</v>
      </c>
      <c r="F547" s="3" t="s">
        <v>33</v>
      </c>
      <c r="G547" s="5">
        <f>IF(ISNUMBER('Main Project Raw Data'!G547),'Main Project Raw Data'!G547,IF(ISNUMBER(SEARCH("/",'Main Project Raw Data'!G547)),DATE(RIGHT('Main Project Raw Data'!G547,4),LEFT('Main Project Raw Data'!G547,FIND("/",'Main Project Raw Data'!G547)-1),MID('Main Project Raw Data'!G547,FIND("/",'Main Project Raw Data'!G547)+1,2)),DATE(RIGHT('Main Project Raw Data'!G547,4),MID('Main Project Raw Data'!G547,4,2),LEFT('Main Project Raw Data'!G547,2))))</f>
        <v>44074</v>
      </c>
      <c r="H547" s="3">
        <f>IF(Table1[[#This Row],[Salary]]="",AVERAGE(Table1[Salary]),Table1[[#This Row],[Salary]])</f>
        <v>118646.95</v>
      </c>
      <c r="I547" s="3" t="s">
        <v>257</v>
      </c>
      <c r="J547" s="3">
        <f>ABS(Table1[[#This Row],[Phone]])</f>
        <v>3866675484</v>
      </c>
      <c r="K547" s="3" t="str">
        <f>PROPER(TRIM(Table1[[#This Row],[Performance_Score]]))</f>
        <v>Average</v>
      </c>
      <c r="L547" s="3" t="b">
        <f>Table1[[#This Row],[Remote_Work]]</f>
        <v>0</v>
      </c>
      <c r="M547" s="3" t="str">
        <f>PROPER(CONCATENATE(Table13[[#This Row],[First_Name]], Table13[[#This Row],[Last_Name]]))</f>
        <v>Heidigarcia</v>
      </c>
      <c r="N547" s="3" t="str">
        <f t="shared" si="8"/>
        <v>Aug</v>
      </c>
      <c r="O547" s="3" t="str">
        <f>TEXT(Table13[[#This Row],[Join_Date]],"yyyy")</f>
        <v>2020</v>
      </c>
      <c r="P547" s="3" t="str">
        <f>LEFT('Main Project Raw Data'!E547,FIND("-",'Main Project Raw Data'!E547)-1)</f>
        <v>Finance</v>
      </c>
      <c r="Q547" s="3" t="str">
        <f>RIGHT('Main Project Raw Data'!E547,LEN('Main Project Raw Data'!E547)-FIND("-",'Main Project Raw Data'!E547))</f>
        <v>Florida</v>
      </c>
    </row>
    <row r="548" spans="1:17" x14ac:dyDescent="0.3">
      <c r="A548" s="3" t="str">
        <f>TRIM(Table1[[#This Row],[Employee_ID]])</f>
        <v>EMP1546</v>
      </c>
      <c r="B548" s="3" t="str">
        <f>TRIM(Table1[[#This Row],[First_Name]])</f>
        <v>Alice</v>
      </c>
      <c r="C548" s="3" t="str">
        <f>TRIM(Table1[[#This Row],[Last_Name]])</f>
        <v>Jones</v>
      </c>
      <c r="D548" s="3">
        <f>IF(Table1[[#This Row],[Age]]="",AVERAGE(Table1[Age]),Table1[[#This Row],[Age]])</f>
        <v>25</v>
      </c>
      <c r="E548" s="3" t="s">
        <v>112</v>
      </c>
      <c r="F548" s="3" t="s">
        <v>16</v>
      </c>
      <c r="G548" s="5">
        <f>IF(ISNUMBER('Main Project Raw Data'!G548),'Main Project Raw Data'!G548,IF(ISNUMBER(SEARCH("/",'Main Project Raw Data'!G548)),DATE(RIGHT('Main Project Raw Data'!G548,4),LEFT('Main Project Raw Data'!G548,FIND("/",'Main Project Raw Data'!G548)-1),MID('Main Project Raw Data'!G548,FIND("/",'Main Project Raw Data'!G548)+1,2)),DATE(RIGHT('Main Project Raw Data'!G548,4),MID('Main Project Raw Data'!G548,4,2),LEFT('Main Project Raw Data'!G548,2))))</f>
        <v>44972</v>
      </c>
      <c r="H548" s="3">
        <f>IF(Table1[[#This Row],[Salary]]="",AVERAGE(Table1[Salary]),Table1[[#This Row],[Salary]])</f>
        <v>88436.92</v>
      </c>
      <c r="I548" s="3" t="s">
        <v>29</v>
      </c>
      <c r="J548" s="3">
        <f>ABS(Table1[[#This Row],[Phone]])</f>
        <v>8193242686</v>
      </c>
      <c r="K548" s="3" t="str">
        <f>PROPER(TRIM(Table1[[#This Row],[Performance_Score]]))</f>
        <v>Excellent</v>
      </c>
      <c r="L548" s="3" t="b">
        <f>Table1[[#This Row],[Remote_Work]]</f>
        <v>0</v>
      </c>
      <c r="M548" s="3" t="str">
        <f>PROPER(CONCATENATE(Table13[[#This Row],[First_Name]], Table13[[#This Row],[Last_Name]]))</f>
        <v>Alicejones</v>
      </c>
      <c r="N548" s="3" t="str">
        <f t="shared" si="8"/>
        <v>Feb</v>
      </c>
      <c r="O548" s="3" t="str">
        <f>TEXT(Table13[[#This Row],[Join_Date]],"yyyy")</f>
        <v>2023</v>
      </c>
      <c r="P548" s="3" t="str">
        <f>LEFT('Main Project Raw Data'!E548,FIND("-",'Main Project Raw Data'!E548)-1)</f>
        <v>Finance</v>
      </c>
      <c r="Q548" s="3" t="str">
        <f>RIGHT('Main Project Raw Data'!E548,LEN('Main Project Raw Data'!E548)-FIND("-",'Main Project Raw Data'!E548))</f>
        <v>Florida</v>
      </c>
    </row>
    <row r="549" spans="1:17" x14ac:dyDescent="0.3">
      <c r="A549" s="3" t="str">
        <f>TRIM(Table1[[#This Row],[Employee_ID]])</f>
        <v>EMP1547</v>
      </c>
      <c r="B549" s="3" t="str">
        <f>TRIM(Table1[[#This Row],[First_Name]])</f>
        <v>Eva</v>
      </c>
      <c r="C549" s="3" t="str">
        <f>TRIM(Table1[[#This Row],[Last_Name]])</f>
        <v>Brown</v>
      </c>
      <c r="D549" s="3">
        <f>IF(Table1[[#This Row],[Age]]="",AVERAGE(Table1[Age]),Table1[[#This Row],[Age]])</f>
        <v>32.484548825710753</v>
      </c>
      <c r="E549" s="3" t="s">
        <v>109</v>
      </c>
      <c r="F549" s="3" t="s">
        <v>28</v>
      </c>
      <c r="G549" s="5">
        <f>IF(ISNUMBER('Main Project Raw Data'!G549),'Main Project Raw Data'!G549,IF(ISNUMBER(SEARCH("/",'Main Project Raw Data'!G549)),DATE(RIGHT('Main Project Raw Data'!G549,4),LEFT('Main Project Raw Data'!G549,FIND("/",'Main Project Raw Data'!G549)-1),MID('Main Project Raw Data'!G549,FIND("/",'Main Project Raw Data'!G549)+1,2)),DATE(RIGHT('Main Project Raw Data'!G549,4),MID('Main Project Raw Data'!G549,4,2),LEFT('Main Project Raw Data'!G549,2))))</f>
        <v>45117</v>
      </c>
      <c r="H549" s="3">
        <f>IF(Table1[[#This Row],[Salary]]="",AVERAGE(Table1[Salary]),Table1[[#This Row],[Salary]])</f>
        <v>81934.55</v>
      </c>
      <c r="I549" s="3" t="s">
        <v>155</v>
      </c>
      <c r="J549" s="3">
        <f>ABS(Table1[[#This Row],[Phone]])</f>
        <v>7418652056</v>
      </c>
      <c r="K549" s="3" t="str">
        <f>PROPER(TRIM(Table1[[#This Row],[Performance_Score]]))</f>
        <v>Poor</v>
      </c>
      <c r="L549" s="3" t="b">
        <f>Table1[[#This Row],[Remote_Work]]</f>
        <v>0</v>
      </c>
      <c r="M549" s="3" t="str">
        <f>PROPER(CONCATENATE(Table13[[#This Row],[First_Name]], Table13[[#This Row],[Last_Name]]))</f>
        <v>Evabrown</v>
      </c>
      <c r="N549" s="3" t="str">
        <f t="shared" si="8"/>
        <v>Jul</v>
      </c>
      <c r="O549" s="3" t="str">
        <f>TEXT(Table13[[#This Row],[Join_Date]],"yyyy")</f>
        <v>2023</v>
      </c>
      <c r="P549" s="3" t="str">
        <f>LEFT('Main Project Raw Data'!E549,FIND("-",'Main Project Raw Data'!E549)-1)</f>
        <v>Sales</v>
      </c>
      <c r="Q549" s="3" t="str">
        <f>RIGHT('Main Project Raw Data'!E549,LEN('Main Project Raw Data'!E549)-FIND("-",'Main Project Raw Data'!E549))</f>
        <v>New York</v>
      </c>
    </row>
    <row r="550" spans="1:17" x14ac:dyDescent="0.3">
      <c r="A550" s="3" t="str">
        <f>TRIM(Table1[[#This Row],[Employee_ID]])</f>
        <v>EMP1548</v>
      </c>
      <c r="B550" s="3" t="str">
        <f>TRIM(Table1[[#This Row],[First_Name]])</f>
        <v>Alice</v>
      </c>
      <c r="C550" s="3" t="str">
        <f>TRIM(Table1[[#This Row],[Last_Name]])</f>
        <v>Johnson</v>
      </c>
      <c r="D550" s="3">
        <f>IF(Table1[[#This Row],[Age]]="",AVERAGE(Table1[Age]),Table1[[#This Row],[Age]])</f>
        <v>30</v>
      </c>
      <c r="E550" s="3" t="s">
        <v>70</v>
      </c>
      <c r="F550" s="3" t="s">
        <v>28</v>
      </c>
      <c r="G550" s="5">
        <f>IF(ISNUMBER('Main Project Raw Data'!G550),'Main Project Raw Data'!G550,IF(ISNUMBER(SEARCH("/",'Main Project Raw Data'!G550)),DATE(RIGHT('Main Project Raw Data'!G550,4),LEFT('Main Project Raw Data'!G550,FIND("/",'Main Project Raw Data'!G550)-1),MID('Main Project Raw Data'!G550,FIND("/",'Main Project Raw Data'!G550)+1,2)),DATE(RIGHT('Main Project Raw Data'!G550,4),MID('Main Project Raw Data'!G550,4,2),LEFT('Main Project Raw Data'!G550,2))))</f>
        <v>45402</v>
      </c>
      <c r="H550" s="3">
        <f>IF(Table1[[#This Row],[Salary]]="",AVERAGE(Table1[Salary]),Table1[[#This Row],[Salary]])</f>
        <v>93383.06</v>
      </c>
      <c r="I550" s="3" t="s">
        <v>150</v>
      </c>
      <c r="J550" s="3">
        <f>ABS(Table1[[#This Row],[Phone]])</f>
        <v>5639836519</v>
      </c>
      <c r="K550" s="3" t="str">
        <f>PROPER(TRIM(Table1[[#This Row],[Performance_Score]]))</f>
        <v>Average</v>
      </c>
      <c r="L550" s="3" t="b">
        <f>Table1[[#This Row],[Remote_Work]]</f>
        <v>0</v>
      </c>
      <c r="M550" s="3" t="str">
        <f>PROPER(CONCATENATE(Table13[[#This Row],[First_Name]], Table13[[#This Row],[Last_Name]]))</f>
        <v>Alicejohnson</v>
      </c>
      <c r="N550" s="3" t="str">
        <f t="shared" si="8"/>
        <v>Apr</v>
      </c>
      <c r="O550" s="3" t="str">
        <f>TEXT(Table13[[#This Row],[Join_Date]],"yyyy")</f>
        <v>2024</v>
      </c>
      <c r="P550" s="3" t="str">
        <f>LEFT('Main Project Raw Data'!E550,FIND("-",'Main Project Raw Data'!E550)-1)</f>
        <v>Finance</v>
      </c>
      <c r="Q550" s="3" t="str">
        <f>RIGHT('Main Project Raw Data'!E550,LEN('Main Project Raw Data'!E550)-FIND("-",'Main Project Raw Data'!E550))</f>
        <v>California</v>
      </c>
    </row>
    <row r="551" spans="1:17" x14ac:dyDescent="0.3">
      <c r="A551" s="3" t="str">
        <f>TRIM(Table1[[#This Row],[Employee_ID]])</f>
        <v>EMP1549</v>
      </c>
      <c r="B551" s="3" t="str">
        <f>TRIM(Table1[[#This Row],[First_Name]])</f>
        <v>Frank</v>
      </c>
      <c r="C551" s="3" t="str">
        <f>TRIM(Table1[[#This Row],[Last_Name]])</f>
        <v>Davis</v>
      </c>
      <c r="D551" s="3">
        <f>IF(Table1[[#This Row],[Age]]="",AVERAGE(Table1[Age]),Table1[[#This Row],[Age]])</f>
        <v>40</v>
      </c>
      <c r="E551" s="3" t="s">
        <v>159</v>
      </c>
      <c r="F551" s="3" t="s">
        <v>28</v>
      </c>
      <c r="G551" s="5">
        <f>IF(ISNUMBER('Main Project Raw Data'!G551),'Main Project Raw Data'!G551,IF(ISNUMBER(SEARCH("/",'Main Project Raw Data'!G551)),DATE(RIGHT('Main Project Raw Data'!G551,4),LEFT('Main Project Raw Data'!G551,FIND("/",'Main Project Raw Data'!G551)-1),MID('Main Project Raw Data'!G551,FIND("/",'Main Project Raw Data'!G551)+1,2)),DATE(RIGHT('Main Project Raw Data'!G551,4),MID('Main Project Raw Data'!G551,4,2),LEFT('Main Project Raw Data'!G551,2))))</f>
        <v>44285</v>
      </c>
      <c r="H551" s="3">
        <f>IF(Table1[[#This Row],[Salary]]="",AVERAGE(Table1[Salary]),Table1[[#This Row],[Salary]])</f>
        <v>50153.79</v>
      </c>
      <c r="I551" s="3" t="s">
        <v>52</v>
      </c>
      <c r="J551" s="3">
        <f>ABS(Table1[[#This Row],[Phone]])</f>
        <v>3758309450</v>
      </c>
      <c r="K551" s="3" t="str">
        <f>PROPER(TRIM(Table1[[#This Row],[Performance_Score]]))</f>
        <v>Good</v>
      </c>
      <c r="L551" s="3" t="b">
        <f>Table1[[#This Row],[Remote_Work]]</f>
        <v>1</v>
      </c>
      <c r="M551" s="3" t="str">
        <f>PROPER(CONCATENATE(Table13[[#This Row],[First_Name]], Table13[[#This Row],[Last_Name]]))</f>
        <v>Frankdavis</v>
      </c>
      <c r="N551" s="3" t="str">
        <f t="shared" si="8"/>
        <v>Mar</v>
      </c>
      <c r="O551" s="3" t="str">
        <f>TEXT(Table13[[#This Row],[Join_Date]],"yyyy")</f>
        <v>2021</v>
      </c>
      <c r="P551" s="3" t="str">
        <f>LEFT('Main Project Raw Data'!E551,FIND("-",'Main Project Raw Data'!E551)-1)</f>
        <v>Cloud Tech</v>
      </c>
      <c r="Q551" s="3" t="str">
        <f>RIGHT('Main Project Raw Data'!E551,LEN('Main Project Raw Data'!E551)-FIND("-",'Main Project Raw Data'!E551))</f>
        <v>Texas</v>
      </c>
    </row>
    <row r="552" spans="1:17" x14ac:dyDescent="0.3">
      <c r="A552" s="3" t="str">
        <f>TRIM(Table1[[#This Row],[Employee_ID]])</f>
        <v>EMP1550</v>
      </c>
      <c r="B552" s="3" t="str">
        <f>TRIM(Table1[[#This Row],[First_Name]])</f>
        <v>Eva</v>
      </c>
      <c r="C552" s="3" t="str">
        <f>TRIM(Table1[[#This Row],[Last_Name]])</f>
        <v>Smith</v>
      </c>
      <c r="D552" s="3">
        <f>IF(Table1[[#This Row],[Age]]="",AVERAGE(Table1[Age]),Table1[[#This Row],[Age]])</f>
        <v>32.484548825710753</v>
      </c>
      <c r="E552" s="3" t="s">
        <v>177</v>
      </c>
      <c r="F552" s="3" t="s">
        <v>28</v>
      </c>
      <c r="G552" s="5">
        <f>IF(ISNUMBER('Main Project Raw Data'!G552),'Main Project Raw Data'!G552,IF(ISNUMBER(SEARCH("/",'Main Project Raw Data'!G552)),DATE(RIGHT('Main Project Raw Data'!G552,4),LEFT('Main Project Raw Data'!G552,FIND("/",'Main Project Raw Data'!G552)-1),MID('Main Project Raw Data'!G552,FIND("/",'Main Project Raw Data'!G552)+1,2)),DATE(RIGHT('Main Project Raw Data'!G552,4),MID('Main Project Raw Data'!G552,4,2),LEFT('Main Project Raw Data'!G552,2))))</f>
        <v>43959</v>
      </c>
      <c r="H552" s="3">
        <f>IF(Table1[[#This Row],[Salary]]="",AVERAGE(Table1[Salary]),Table1[[#This Row],[Salary]])</f>
        <v>53204.47</v>
      </c>
      <c r="I552" s="3" t="s">
        <v>521</v>
      </c>
      <c r="J552" s="3">
        <f>ABS(Table1[[#This Row],[Phone]])</f>
        <v>5480940475</v>
      </c>
      <c r="K552" s="3" t="str">
        <f>PROPER(TRIM(Table1[[#This Row],[Performance_Score]]))</f>
        <v>Good</v>
      </c>
      <c r="L552" s="3" t="b">
        <f>Table1[[#This Row],[Remote_Work]]</f>
        <v>0</v>
      </c>
      <c r="M552" s="3" t="str">
        <f>PROPER(CONCATENATE(Table13[[#This Row],[First_Name]], Table13[[#This Row],[Last_Name]]))</f>
        <v>Evasmith</v>
      </c>
      <c r="N552" s="3" t="str">
        <f t="shared" si="8"/>
        <v>May</v>
      </c>
      <c r="O552" s="3" t="str">
        <f>TEXT(Table13[[#This Row],[Join_Date]],"yyyy")</f>
        <v>2020</v>
      </c>
      <c r="P552" s="3" t="str">
        <f>LEFT('Main Project Raw Data'!E552,FIND("-",'Main Project Raw Data'!E552)-1)</f>
        <v>Sales</v>
      </c>
      <c r="Q552" s="3" t="str">
        <f>RIGHT('Main Project Raw Data'!E552,LEN('Main Project Raw Data'!E552)-FIND("-",'Main Project Raw Data'!E552))</f>
        <v>California</v>
      </c>
    </row>
    <row r="553" spans="1:17" x14ac:dyDescent="0.3">
      <c r="A553" s="3" t="str">
        <f>TRIM(Table1[[#This Row],[Employee_ID]])</f>
        <v>EMP1551</v>
      </c>
      <c r="B553" s="3" t="str">
        <f>TRIM(Table1[[#This Row],[First_Name]])</f>
        <v>Charlie</v>
      </c>
      <c r="C553" s="3" t="str">
        <f>TRIM(Table1[[#This Row],[Last_Name]])</f>
        <v>Brown</v>
      </c>
      <c r="D553" s="3">
        <f>IF(Table1[[#This Row],[Age]]="",AVERAGE(Table1[Age]),Table1[[#This Row],[Age]])</f>
        <v>40</v>
      </c>
      <c r="E553" s="3" t="s">
        <v>268</v>
      </c>
      <c r="F553" s="3" t="s">
        <v>28</v>
      </c>
      <c r="G553" s="5">
        <f>IF(ISNUMBER('Main Project Raw Data'!G553),'Main Project Raw Data'!G553,IF(ISNUMBER(SEARCH("/",'Main Project Raw Data'!G553)),DATE(RIGHT('Main Project Raw Data'!G553,4),LEFT('Main Project Raw Data'!G553,FIND("/",'Main Project Raw Data'!G553)-1),MID('Main Project Raw Data'!G553,FIND("/",'Main Project Raw Data'!G553)+1,2)),DATE(RIGHT('Main Project Raw Data'!G553,4),MID('Main Project Raw Data'!G553,4,2),LEFT('Main Project Raw Data'!G553,2))))</f>
        <v>44318</v>
      </c>
      <c r="H553" s="3">
        <f>IF(Table1[[#This Row],[Salary]]="",AVERAGE(Table1[Salary]),Table1[[#This Row],[Salary]])</f>
        <v>63128.04</v>
      </c>
      <c r="I553" s="3" t="s">
        <v>125</v>
      </c>
      <c r="J553" s="3">
        <f>ABS(Table1[[#This Row],[Phone]])</f>
        <v>440907976</v>
      </c>
      <c r="K553" s="3" t="str">
        <f>PROPER(TRIM(Table1[[#This Row],[Performance_Score]]))</f>
        <v>Poor</v>
      </c>
      <c r="L553" s="3" t="b">
        <f>Table1[[#This Row],[Remote_Work]]</f>
        <v>0</v>
      </c>
      <c r="M553" s="3" t="str">
        <f>PROPER(CONCATENATE(Table13[[#This Row],[First_Name]], Table13[[#This Row],[Last_Name]]))</f>
        <v>Charliebrown</v>
      </c>
      <c r="N553" s="3" t="str">
        <f t="shared" si="8"/>
        <v>May</v>
      </c>
      <c r="O553" s="3" t="str">
        <f>TEXT(Table13[[#This Row],[Join_Date]],"yyyy")</f>
        <v>2021</v>
      </c>
      <c r="P553" s="3" t="str">
        <f>LEFT('Main Project Raw Data'!E553,FIND("-",'Main Project Raw Data'!E553)-1)</f>
        <v>Cloud Tech</v>
      </c>
      <c r="Q553" s="3" t="str">
        <f>RIGHT('Main Project Raw Data'!E553,LEN('Main Project Raw Data'!E553)-FIND("-",'Main Project Raw Data'!E553))</f>
        <v>California</v>
      </c>
    </row>
    <row r="554" spans="1:17" x14ac:dyDescent="0.3">
      <c r="A554" s="3" t="str">
        <f>TRIM(Table1[[#This Row],[Employee_ID]])</f>
        <v>EMP1552</v>
      </c>
      <c r="B554" s="3" t="str">
        <f>TRIM(Table1[[#This Row],[First_Name]])</f>
        <v>Grace</v>
      </c>
      <c r="C554" s="3" t="str">
        <f>TRIM(Table1[[#This Row],[Last_Name]])</f>
        <v>Jones</v>
      </c>
      <c r="D554" s="3">
        <f>IF(Table1[[#This Row],[Age]]="",AVERAGE(Table1[Age]),Table1[[#This Row],[Age]])</f>
        <v>30</v>
      </c>
      <c r="E554" s="3" t="s">
        <v>227</v>
      </c>
      <c r="F554" s="3" t="s">
        <v>28</v>
      </c>
      <c r="G554" s="5">
        <f>IF(ISNUMBER('Main Project Raw Data'!G554),'Main Project Raw Data'!G554,IF(ISNUMBER(SEARCH("/",'Main Project Raw Data'!G554)),DATE(RIGHT('Main Project Raw Data'!G554,4),LEFT('Main Project Raw Data'!G554,FIND("/",'Main Project Raw Data'!G554)-1),MID('Main Project Raw Data'!G554,FIND("/",'Main Project Raw Data'!G554)+1,2)),DATE(RIGHT('Main Project Raw Data'!G554,4),MID('Main Project Raw Data'!G554,4,2),LEFT('Main Project Raw Data'!G554,2))))</f>
        <v>44523</v>
      </c>
      <c r="H554" s="3">
        <f>IF(Table1[[#This Row],[Salary]]="",AVERAGE(Table1[Salary]),Table1[[#This Row],[Salary]])</f>
        <v>57543.6</v>
      </c>
      <c r="I554" s="3" t="s">
        <v>76</v>
      </c>
      <c r="J554" s="3">
        <f>ABS(Table1[[#This Row],[Phone]])</f>
        <v>2781050921</v>
      </c>
      <c r="K554" s="3" t="str">
        <f>PROPER(TRIM(Table1[[#This Row],[Performance_Score]]))</f>
        <v>Good</v>
      </c>
      <c r="L554" s="3" t="b">
        <f>Table1[[#This Row],[Remote_Work]]</f>
        <v>1</v>
      </c>
      <c r="M554" s="3" t="str">
        <f>PROPER(CONCATENATE(Table13[[#This Row],[First_Name]], Table13[[#This Row],[Last_Name]]))</f>
        <v>Gracejones</v>
      </c>
      <c r="N554" s="3" t="str">
        <f t="shared" si="8"/>
        <v>Nov</v>
      </c>
      <c r="O554" s="3" t="str">
        <f>TEXT(Table13[[#This Row],[Join_Date]],"yyyy")</f>
        <v>2021</v>
      </c>
      <c r="P554" s="3" t="str">
        <f>LEFT('Main Project Raw Data'!E554,FIND("-",'Main Project Raw Data'!E554)-1)</f>
        <v>Finance</v>
      </c>
      <c r="Q554" s="3" t="str">
        <f>RIGHT('Main Project Raw Data'!E554,LEN('Main Project Raw Data'!E554)-FIND("-",'Main Project Raw Data'!E554))</f>
        <v>New York</v>
      </c>
    </row>
    <row r="555" spans="1:17" x14ac:dyDescent="0.3">
      <c r="A555" s="3" t="str">
        <f>TRIM(Table1[[#This Row],[Employee_ID]])</f>
        <v>EMP1553</v>
      </c>
      <c r="B555" s="3" t="str">
        <f>TRIM(Table1[[#This Row],[First_Name]])</f>
        <v>Bob</v>
      </c>
      <c r="C555" s="3" t="str">
        <f>TRIM(Table1[[#This Row],[Last_Name]])</f>
        <v>Brown</v>
      </c>
      <c r="D555" s="3">
        <f>IF(Table1[[#This Row],[Age]]="",AVERAGE(Table1[Age]),Table1[[#This Row],[Age]])</f>
        <v>40</v>
      </c>
      <c r="E555" s="3" t="s">
        <v>100</v>
      </c>
      <c r="F555" s="3" t="s">
        <v>28</v>
      </c>
      <c r="G555" s="5">
        <f>IF(ISNUMBER('Main Project Raw Data'!G555),'Main Project Raw Data'!G555,IF(ISNUMBER(SEARCH("/",'Main Project Raw Data'!G555)),DATE(RIGHT('Main Project Raw Data'!G555,4),LEFT('Main Project Raw Data'!G555,FIND("/",'Main Project Raw Data'!G555)-1),MID('Main Project Raw Data'!G555,FIND("/",'Main Project Raw Data'!G555)+1,2)),DATE(RIGHT('Main Project Raw Data'!G555,4),MID('Main Project Raw Data'!G555,4,2),LEFT('Main Project Raw Data'!G555,2))))</f>
        <v>44863</v>
      </c>
      <c r="H555" s="3">
        <f>IF(Table1[[#This Row],[Salary]]="",AVERAGE(Table1[Salary]),Table1[[#This Row],[Salary]])</f>
        <v>59424.52</v>
      </c>
      <c r="I555" s="3" t="s">
        <v>22</v>
      </c>
      <c r="J555" s="3">
        <f>ABS(Table1[[#This Row],[Phone]])</f>
        <v>2161070517</v>
      </c>
      <c r="K555" s="3" t="str">
        <f>PROPER(TRIM(Table1[[#This Row],[Performance_Score]]))</f>
        <v>Good</v>
      </c>
      <c r="L555" s="3" t="b">
        <f>Table1[[#This Row],[Remote_Work]]</f>
        <v>0</v>
      </c>
      <c r="M555" s="3" t="str">
        <f>PROPER(CONCATENATE(Table13[[#This Row],[First_Name]], Table13[[#This Row],[Last_Name]]))</f>
        <v>Bobbrown</v>
      </c>
      <c r="N555" s="3" t="str">
        <f t="shared" si="8"/>
        <v>Oct</v>
      </c>
      <c r="O555" s="3" t="str">
        <f>TEXT(Table13[[#This Row],[Join_Date]],"yyyy")</f>
        <v>2022</v>
      </c>
      <c r="P555" s="3" t="str">
        <f>LEFT('Main Project Raw Data'!E555,FIND("-",'Main Project Raw Data'!E555)-1)</f>
        <v>Finance</v>
      </c>
      <c r="Q555" s="3" t="str">
        <f>RIGHT('Main Project Raw Data'!E555,LEN('Main Project Raw Data'!E555)-FIND("-",'Main Project Raw Data'!E555))</f>
        <v>Nevada</v>
      </c>
    </row>
    <row r="556" spans="1:17" x14ac:dyDescent="0.3">
      <c r="A556" s="3" t="str">
        <f>TRIM(Table1[[#This Row],[Employee_ID]])</f>
        <v>EMP1554</v>
      </c>
      <c r="B556" s="3" t="str">
        <f>TRIM(Table1[[#This Row],[First_Name]])</f>
        <v>Alice</v>
      </c>
      <c r="C556" s="3" t="str">
        <f>TRIM(Table1[[#This Row],[Last_Name]])</f>
        <v>Smith</v>
      </c>
      <c r="D556" s="3">
        <f>IF(Table1[[#This Row],[Age]]="",AVERAGE(Table1[Age]),Table1[[#This Row],[Age]])</f>
        <v>32.484548825710753</v>
      </c>
      <c r="E556" s="3" t="s">
        <v>265</v>
      </c>
      <c r="F556" s="3" t="s">
        <v>33</v>
      </c>
      <c r="G556" s="5">
        <f>IF(ISNUMBER('Main Project Raw Data'!G556),'Main Project Raw Data'!G556,IF(ISNUMBER(SEARCH("/",'Main Project Raw Data'!G556)),DATE(RIGHT('Main Project Raw Data'!G556,4),LEFT('Main Project Raw Data'!G556,FIND("/",'Main Project Raw Data'!G556)-1),MID('Main Project Raw Data'!G556,FIND("/",'Main Project Raw Data'!G556)+1,2)),DATE(RIGHT('Main Project Raw Data'!G556,4),MID('Main Project Raw Data'!G556,4,2),LEFT('Main Project Raw Data'!G556,2))))</f>
        <v>44753</v>
      </c>
      <c r="H556" s="3">
        <f>IF(Table1[[#This Row],[Salary]]="",AVERAGE(Table1[Salary]),Table1[[#This Row],[Salary]])</f>
        <v>104675.7</v>
      </c>
      <c r="I556" s="3" t="s">
        <v>182</v>
      </c>
      <c r="J556" s="3">
        <f>ABS(Table1[[#This Row],[Phone]])</f>
        <v>4390552957</v>
      </c>
      <c r="K556" s="3" t="str">
        <f>PROPER(TRIM(Table1[[#This Row],[Performance_Score]]))</f>
        <v>Poor</v>
      </c>
      <c r="L556" s="3" t="b">
        <f>Table1[[#This Row],[Remote_Work]]</f>
        <v>1</v>
      </c>
      <c r="M556" s="3" t="str">
        <f>PROPER(CONCATENATE(Table13[[#This Row],[First_Name]], Table13[[#This Row],[Last_Name]]))</f>
        <v>Alicesmith</v>
      </c>
      <c r="N556" s="3" t="str">
        <f t="shared" si="8"/>
        <v>Jul</v>
      </c>
      <c r="O556" s="3" t="str">
        <f>TEXT(Table13[[#This Row],[Join_Date]],"yyyy")</f>
        <v>2022</v>
      </c>
      <c r="P556" s="3" t="str">
        <f>LEFT('Main Project Raw Data'!E556,FIND("-",'Main Project Raw Data'!E556)-1)</f>
        <v>Finance</v>
      </c>
      <c r="Q556" s="3" t="str">
        <f>RIGHT('Main Project Raw Data'!E556,LEN('Main Project Raw Data'!E556)-FIND("-",'Main Project Raw Data'!E556))</f>
        <v>Illinois</v>
      </c>
    </row>
    <row r="557" spans="1:17" x14ac:dyDescent="0.3">
      <c r="A557" s="3" t="str">
        <f>TRIM(Table1[[#This Row],[Employee_ID]])</f>
        <v>EMP1555</v>
      </c>
      <c r="B557" s="3" t="str">
        <f>TRIM(Table1[[#This Row],[First_Name]])</f>
        <v>Charlie</v>
      </c>
      <c r="C557" s="3" t="str">
        <f>TRIM(Table1[[#This Row],[Last_Name]])</f>
        <v>Garcia</v>
      </c>
      <c r="D557" s="3">
        <f>IF(Table1[[#This Row],[Age]]="",AVERAGE(Table1[Age]),Table1[[#This Row],[Age]])</f>
        <v>30</v>
      </c>
      <c r="E557" s="3" t="s">
        <v>39</v>
      </c>
      <c r="F557" s="3" t="s">
        <v>28</v>
      </c>
      <c r="G557" s="5">
        <f>IF(ISNUMBER('Main Project Raw Data'!G557),'Main Project Raw Data'!G557,IF(ISNUMBER(SEARCH("/",'Main Project Raw Data'!G557)),DATE(RIGHT('Main Project Raw Data'!G557,4),LEFT('Main Project Raw Data'!G557,FIND("/",'Main Project Raw Data'!G557)-1),MID('Main Project Raw Data'!G557,FIND("/",'Main Project Raw Data'!G557)+1,2)),DATE(RIGHT('Main Project Raw Data'!G557,4),MID('Main Project Raw Data'!G557,4,2),LEFT('Main Project Raw Data'!G557,2))))</f>
        <v>45060</v>
      </c>
      <c r="H557" s="3">
        <f>IF(Table1[[#This Row],[Salary]]="",AVERAGE(Table1[Salary]),Table1[[#This Row],[Salary]])</f>
        <v>92431.25</v>
      </c>
      <c r="I557" s="3" t="s">
        <v>87</v>
      </c>
      <c r="J557" s="3">
        <f>ABS(Table1[[#This Row],[Phone]])</f>
        <v>660138240</v>
      </c>
      <c r="K557" s="3" t="str">
        <f>PROPER(TRIM(Table1[[#This Row],[Performance_Score]]))</f>
        <v>Average</v>
      </c>
      <c r="L557" s="3" t="b">
        <f>Table1[[#This Row],[Remote_Work]]</f>
        <v>0</v>
      </c>
      <c r="M557" s="3" t="str">
        <f>PROPER(CONCATENATE(Table13[[#This Row],[First_Name]], Table13[[#This Row],[Last_Name]]))</f>
        <v>Charliegarcia</v>
      </c>
      <c r="N557" s="3" t="str">
        <f t="shared" si="8"/>
        <v>May</v>
      </c>
      <c r="O557" s="3" t="str">
        <f>TEXT(Table13[[#This Row],[Join_Date]],"yyyy")</f>
        <v>2023</v>
      </c>
      <c r="P557" s="3" t="str">
        <f>LEFT('Main Project Raw Data'!E557,FIND("-",'Main Project Raw Data'!E557)-1)</f>
        <v>Cloud Tech</v>
      </c>
      <c r="Q557" s="3" t="str">
        <f>RIGHT('Main Project Raw Data'!E557,LEN('Main Project Raw Data'!E557)-FIND("-",'Main Project Raw Data'!E557))</f>
        <v>Florida</v>
      </c>
    </row>
    <row r="558" spans="1:17" x14ac:dyDescent="0.3">
      <c r="A558" s="3" t="str">
        <f>TRIM(Table1[[#This Row],[Employee_ID]])</f>
        <v>EMP1556</v>
      </c>
      <c r="B558" s="3" t="str">
        <f>TRIM(Table1[[#This Row],[First_Name]])</f>
        <v>Grace</v>
      </c>
      <c r="C558" s="3" t="str">
        <f>TRIM(Table1[[#This Row],[Last_Name]])</f>
        <v>Garcia</v>
      </c>
      <c r="D558" s="3">
        <f>IF(Table1[[#This Row],[Age]]="",AVERAGE(Table1[Age]),Table1[[#This Row],[Age]])</f>
        <v>40</v>
      </c>
      <c r="E558" s="3" t="s">
        <v>219</v>
      </c>
      <c r="F558" s="3" t="s">
        <v>16</v>
      </c>
      <c r="G558" s="5">
        <f>IF(ISNUMBER('Main Project Raw Data'!G558),'Main Project Raw Data'!G558,IF(ISNUMBER(SEARCH("/",'Main Project Raw Data'!G558)),DATE(RIGHT('Main Project Raw Data'!G558,4),LEFT('Main Project Raw Data'!G558,FIND("/",'Main Project Raw Data'!G558)-1),MID('Main Project Raw Data'!G558,FIND("/",'Main Project Raw Data'!G558)+1,2)),DATE(RIGHT('Main Project Raw Data'!G558,4),MID('Main Project Raw Data'!G558,4,2),LEFT('Main Project Raw Data'!G558,2))))</f>
        <v>44391</v>
      </c>
      <c r="H558" s="3">
        <f>IF(Table1[[#This Row],[Salary]]="",AVERAGE(Table1[Salary]),Table1[[#This Row],[Salary]])</f>
        <v>77850.899999999994</v>
      </c>
      <c r="I558" s="3" t="s">
        <v>83</v>
      </c>
      <c r="J558" s="3">
        <f>ABS(Table1[[#This Row],[Phone]])</f>
        <v>2704938619</v>
      </c>
      <c r="K558" s="3" t="str">
        <f>PROPER(TRIM(Table1[[#This Row],[Performance_Score]]))</f>
        <v>Average</v>
      </c>
      <c r="L558" s="3" t="b">
        <f>Table1[[#This Row],[Remote_Work]]</f>
        <v>1</v>
      </c>
      <c r="M558" s="3" t="str">
        <f>PROPER(CONCATENATE(Table13[[#This Row],[First_Name]], Table13[[#This Row],[Last_Name]]))</f>
        <v>Gracegarcia</v>
      </c>
      <c r="N558" s="3" t="str">
        <f t="shared" si="8"/>
        <v>Jul</v>
      </c>
      <c r="O558" s="3" t="str">
        <f>TEXT(Table13[[#This Row],[Join_Date]],"yyyy")</f>
        <v>2021</v>
      </c>
      <c r="P558" s="3" t="str">
        <f>LEFT('Main Project Raw Data'!E558,FIND("-",'Main Project Raw Data'!E558)-1)</f>
        <v>Sales</v>
      </c>
      <c r="Q558" s="3" t="str">
        <f>RIGHT('Main Project Raw Data'!E558,LEN('Main Project Raw Data'!E558)-FIND("-",'Main Project Raw Data'!E558))</f>
        <v>Nevada</v>
      </c>
    </row>
    <row r="559" spans="1:17" x14ac:dyDescent="0.3">
      <c r="A559" s="3" t="str">
        <f>TRIM(Table1[[#This Row],[Employee_ID]])</f>
        <v>EMP1557</v>
      </c>
      <c r="B559" s="3" t="str">
        <f>TRIM(Table1[[#This Row],[First_Name]])</f>
        <v>Eva</v>
      </c>
      <c r="C559" s="3" t="str">
        <f>TRIM(Table1[[#This Row],[Last_Name]])</f>
        <v>Miller</v>
      </c>
      <c r="D559" s="3">
        <f>IF(Table1[[#This Row],[Age]]="",AVERAGE(Table1[Age]),Table1[[#This Row],[Age]])</f>
        <v>40</v>
      </c>
      <c r="E559" s="3" t="s">
        <v>196</v>
      </c>
      <c r="F559" s="3" t="s">
        <v>33</v>
      </c>
      <c r="G559" s="5">
        <f>IF(ISNUMBER('Main Project Raw Data'!G559),'Main Project Raw Data'!G559,IF(ISNUMBER(SEARCH("/",'Main Project Raw Data'!G559)),DATE(RIGHT('Main Project Raw Data'!G559,4),LEFT('Main Project Raw Data'!G559,FIND("/",'Main Project Raw Data'!G559)-1),MID('Main Project Raw Data'!G559,FIND("/",'Main Project Raw Data'!G559)+1,2)),DATE(RIGHT('Main Project Raw Data'!G559,4),MID('Main Project Raw Data'!G559,4,2),LEFT('Main Project Raw Data'!G559,2))))</f>
        <v>45064</v>
      </c>
      <c r="H559" s="3">
        <f>IF(Table1[[#This Row],[Salary]]="",AVERAGE(Table1[Salary]),Table1[[#This Row],[Salary]])</f>
        <v>99001</v>
      </c>
      <c r="I559" s="3" t="s">
        <v>263</v>
      </c>
      <c r="J559" s="3">
        <f>ABS(Table1[[#This Row],[Phone]])</f>
        <v>4485157918</v>
      </c>
      <c r="K559" s="3" t="str">
        <f>PROPER(TRIM(Table1[[#This Row],[Performance_Score]]))</f>
        <v>Good</v>
      </c>
      <c r="L559" s="3" t="b">
        <f>Table1[[#This Row],[Remote_Work]]</f>
        <v>1</v>
      </c>
      <c r="M559" s="3" t="str">
        <f>PROPER(CONCATENATE(Table13[[#This Row],[First_Name]], Table13[[#This Row],[Last_Name]]))</f>
        <v>Evamiller</v>
      </c>
      <c r="N559" s="3" t="str">
        <f t="shared" si="8"/>
        <v>May</v>
      </c>
      <c r="O559" s="3" t="str">
        <f>TEXT(Table13[[#This Row],[Join_Date]],"yyyy")</f>
        <v>2023</v>
      </c>
      <c r="P559" s="3" t="str">
        <f>LEFT('Main Project Raw Data'!E559,FIND("-",'Main Project Raw Data'!E559)-1)</f>
        <v>Admin</v>
      </c>
      <c r="Q559" s="3" t="str">
        <f>RIGHT('Main Project Raw Data'!E559,LEN('Main Project Raw Data'!E559)-FIND("-",'Main Project Raw Data'!E559))</f>
        <v>New York</v>
      </c>
    </row>
    <row r="560" spans="1:17" x14ac:dyDescent="0.3">
      <c r="A560" s="3" t="str">
        <f>TRIM(Table1[[#This Row],[Employee_ID]])</f>
        <v>EMP1558</v>
      </c>
      <c r="B560" s="3" t="str">
        <f>TRIM(Table1[[#This Row],[First_Name]])</f>
        <v>Eva</v>
      </c>
      <c r="C560" s="3" t="str">
        <f>TRIM(Table1[[#This Row],[Last_Name]])</f>
        <v>Garcia</v>
      </c>
      <c r="D560" s="3">
        <f>IF(Table1[[#This Row],[Age]]="",AVERAGE(Table1[Age]),Table1[[#This Row],[Age]])</f>
        <v>32.484548825710753</v>
      </c>
      <c r="E560" s="3" t="s">
        <v>149</v>
      </c>
      <c r="F560" s="3" t="s">
        <v>28</v>
      </c>
      <c r="G560" s="5">
        <f>IF(ISNUMBER('Main Project Raw Data'!G560),'Main Project Raw Data'!G560,IF(ISNUMBER(SEARCH("/",'Main Project Raw Data'!G560)),DATE(RIGHT('Main Project Raw Data'!G560,4),LEFT('Main Project Raw Data'!G560,FIND("/",'Main Project Raw Data'!G560)-1),MID('Main Project Raw Data'!G560,FIND("/",'Main Project Raw Data'!G560)+1,2)),DATE(RIGHT('Main Project Raw Data'!G560,4),MID('Main Project Raw Data'!G560,4,2),LEFT('Main Project Raw Data'!G560,2))))</f>
        <v>45109</v>
      </c>
      <c r="H560" s="3">
        <f>IF(Table1[[#This Row],[Salary]]="",AVERAGE(Table1[Salary]),Table1[[#This Row],[Salary]])</f>
        <v>94280.83</v>
      </c>
      <c r="I560" s="3" t="s">
        <v>296</v>
      </c>
      <c r="J560" s="3">
        <f>ABS(Table1[[#This Row],[Phone]])</f>
        <v>7111212589</v>
      </c>
      <c r="K560" s="3" t="str">
        <f>PROPER(TRIM(Table1[[#This Row],[Performance_Score]]))</f>
        <v>Good</v>
      </c>
      <c r="L560" s="3" t="b">
        <f>Table1[[#This Row],[Remote_Work]]</f>
        <v>1</v>
      </c>
      <c r="M560" s="3" t="str">
        <f>PROPER(CONCATENATE(Table13[[#This Row],[First_Name]], Table13[[#This Row],[Last_Name]]))</f>
        <v>Evagarcia</v>
      </c>
      <c r="N560" s="3" t="str">
        <f t="shared" si="8"/>
        <v>Jul</v>
      </c>
      <c r="O560" s="3" t="str">
        <f>TEXT(Table13[[#This Row],[Join_Date]],"yyyy")</f>
        <v>2023</v>
      </c>
      <c r="P560" s="3" t="str">
        <f>LEFT('Main Project Raw Data'!E560,FIND("-",'Main Project Raw Data'!E560)-1)</f>
        <v>HR</v>
      </c>
      <c r="Q560" s="3" t="str">
        <f>RIGHT('Main Project Raw Data'!E560,LEN('Main Project Raw Data'!E560)-FIND("-",'Main Project Raw Data'!E560))</f>
        <v>Nevada</v>
      </c>
    </row>
    <row r="561" spans="1:17" x14ac:dyDescent="0.3">
      <c r="A561" s="3" t="str">
        <f>TRIM(Table1[[#This Row],[Employee_ID]])</f>
        <v>EMP1559</v>
      </c>
      <c r="B561" s="3" t="str">
        <f>TRIM(Table1[[#This Row],[First_Name]])</f>
        <v>Eva</v>
      </c>
      <c r="C561" s="3" t="str">
        <f>TRIM(Table1[[#This Row],[Last_Name]])</f>
        <v>Miller</v>
      </c>
      <c r="D561" s="3">
        <f>IF(Table1[[#This Row],[Age]]="",AVERAGE(Table1[Age]),Table1[[#This Row],[Age]])</f>
        <v>35</v>
      </c>
      <c r="E561" s="3" t="s">
        <v>56</v>
      </c>
      <c r="F561" s="3" t="s">
        <v>28</v>
      </c>
      <c r="G561" s="5">
        <f>IF(ISNUMBER('Main Project Raw Data'!G561),'Main Project Raw Data'!G561,IF(ISNUMBER(SEARCH("/",'Main Project Raw Data'!G561)),DATE(RIGHT('Main Project Raw Data'!G561,4),LEFT('Main Project Raw Data'!G561,FIND("/",'Main Project Raw Data'!G561)-1),MID('Main Project Raw Data'!G561,FIND("/",'Main Project Raw Data'!G561)+1,2)),DATE(RIGHT('Main Project Raw Data'!G561,4),MID('Main Project Raw Data'!G561,4,2),LEFT('Main Project Raw Data'!G561,2))))</f>
        <v>45162</v>
      </c>
      <c r="H561" s="3">
        <f>IF(Table1[[#This Row],[Salary]]="",AVERAGE(Table1[Salary]),Table1[[#This Row],[Salary]])</f>
        <v>118262.56</v>
      </c>
      <c r="I561" s="3" t="s">
        <v>263</v>
      </c>
      <c r="J561" s="3">
        <f>ABS(Table1[[#This Row],[Phone]])</f>
        <v>2035713431</v>
      </c>
      <c r="K561" s="3" t="str">
        <f>PROPER(TRIM(Table1[[#This Row],[Performance_Score]]))</f>
        <v>Average</v>
      </c>
      <c r="L561" s="3" t="b">
        <f>Table1[[#This Row],[Remote_Work]]</f>
        <v>1</v>
      </c>
      <c r="M561" s="3" t="str">
        <f>PROPER(CONCATENATE(Table13[[#This Row],[First_Name]], Table13[[#This Row],[Last_Name]]))</f>
        <v>Evamiller</v>
      </c>
      <c r="N561" s="3" t="str">
        <f t="shared" si="8"/>
        <v>Aug</v>
      </c>
      <c r="O561" s="3" t="str">
        <f>TEXT(Table13[[#This Row],[Join_Date]],"yyyy")</f>
        <v>2023</v>
      </c>
      <c r="P561" s="3" t="str">
        <f>LEFT('Main Project Raw Data'!E561,FIND("-",'Main Project Raw Data'!E561)-1)</f>
        <v>DevOps</v>
      </c>
      <c r="Q561" s="3" t="str">
        <f>RIGHT('Main Project Raw Data'!E561,LEN('Main Project Raw Data'!E561)-FIND("-",'Main Project Raw Data'!E561))</f>
        <v>New York</v>
      </c>
    </row>
    <row r="562" spans="1:17" x14ac:dyDescent="0.3">
      <c r="A562" s="3" t="str">
        <f>TRIM(Table1[[#This Row],[Employee_ID]])</f>
        <v>EMP1560</v>
      </c>
      <c r="B562" s="3" t="str">
        <f>TRIM(Table1[[#This Row],[First_Name]])</f>
        <v>Frank</v>
      </c>
      <c r="C562" s="3" t="str">
        <f>TRIM(Table1[[#This Row],[Last_Name]])</f>
        <v>Brown</v>
      </c>
      <c r="D562" s="3">
        <f>IF(Table1[[#This Row],[Age]]="",AVERAGE(Table1[Age]),Table1[[#This Row],[Age]])</f>
        <v>25</v>
      </c>
      <c r="E562" s="3" t="s">
        <v>192</v>
      </c>
      <c r="F562" s="3" t="s">
        <v>33</v>
      </c>
      <c r="G562" s="5">
        <f>IF(ISNUMBER('Main Project Raw Data'!G562),'Main Project Raw Data'!G562,IF(ISNUMBER(SEARCH("/",'Main Project Raw Data'!G562)),DATE(RIGHT('Main Project Raw Data'!G562,4),LEFT('Main Project Raw Data'!G562,FIND("/",'Main Project Raw Data'!G562)-1),MID('Main Project Raw Data'!G562,FIND("/",'Main Project Raw Data'!G562)+1,2)),DATE(RIGHT('Main Project Raw Data'!G562,4),MID('Main Project Raw Data'!G562,4,2),LEFT('Main Project Raw Data'!G562,2))))</f>
        <v>45142</v>
      </c>
      <c r="H562" s="3">
        <f>IF(Table1[[#This Row],[Salary]]="",AVERAGE(Table1[Salary]),Table1[[#This Row],[Salary]])</f>
        <v>89944.67</v>
      </c>
      <c r="I562" s="3" t="s">
        <v>239</v>
      </c>
      <c r="J562" s="3">
        <f>ABS(Table1[[#This Row],[Phone]])</f>
        <v>4064242955</v>
      </c>
      <c r="K562" s="3" t="str">
        <f>PROPER(TRIM(Table1[[#This Row],[Performance_Score]]))</f>
        <v>Poor</v>
      </c>
      <c r="L562" s="3" t="b">
        <f>Table1[[#This Row],[Remote_Work]]</f>
        <v>0</v>
      </c>
      <c r="M562" s="3" t="str">
        <f>PROPER(CONCATENATE(Table13[[#This Row],[First_Name]], Table13[[#This Row],[Last_Name]]))</f>
        <v>Frankbrown</v>
      </c>
      <c r="N562" s="3" t="str">
        <f t="shared" si="8"/>
        <v>Aug</v>
      </c>
      <c r="O562" s="3" t="str">
        <f>TEXT(Table13[[#This Row],[Join_Date]],"yyyy")</f>
        <v>2023</v>
      </c>
      <c r="P562" s="3" t="str">
        <f>LEFT('Main Project Raw Data'!E562,FIND("-",'Main Project Raw Data'!E562)-1)</f>
        <v>HR</v>
      </c>
      <c r="Q562" s="3" t="str">
        <f>RIGHT('Main Project Raw Data'!E562,LEN('Main Project Raw Data'!E562)-FIND("-",'Main Project Raw Data'!E562))</f>
        <v>Illinois</v>
      </c>
    </row>
    <row r="563" spans="1:17" x14ac:dyDescent="0.3">
      <c r="A563" s="3" t="str">
        <f>TRIM(Table1[[#This Row],[Employee_ID]])</f>
        <v>EMP1561</v>
      </c>
      <c r="B563" s="3" t="str">
        <f>TRIM(Table1[[#This Row],[First_Name]])</f>
        <v>Grace</v>
      </c>
      <c r="C563" s="3" t="str">
        <f>TRIM(Table1[[#This Row],[Last_Name]])</f>
        <v>Williams</v>
      </c>
      <c r="D563" s="3">
        <f>IF(Table1[[#This Row],[Age]]="",AVERAGE(Table1[Age]),Table1[[#This Row],[Age]])</f>
        <v>32.484548825710753</v>
      </c>
      <c r="E563" s="3" t="s">
        <v>212</v>
      </c>
      <c r="F563" s="3" t="s">
        <v>16</v>
      </c>
      <c r="G563" s="5">
        <f>IF(ISNUMBER('Main Project Raw Data'!G563),'Main Project Raw Data'!G563,IF(ISNUMBER(SEARCH("/",'Main Project Raw Data'!G563)),DATE(RIGHT('Main Project Raw Data'!G563,4),LEFT('Main Project Raw Data'!G563,FIND("/",'Main Project Raw Data'!G563)-1),MID('Main Project Raw Data'!G563,FIND("/",'Main Project Raw Data'!G563)+1,2)),DATE(RIGHT('Main Project Raw Data'!G563,4),MID('Main Project Raw Data'!G563,4,2),LEFT('Main Project Raw Data'!G563,2))))</f>
        <v>44724</v>
      </c>
      <c r="H563" s="3">
        <f>IF(Table1[[#This Row],[Salary]]="",AVERAGE(Table1[Salary]),Table1[[#This Row],[Salary]])</f>
        <v>57452.93</v>
      </c>
      <c r="I563" s="3" t="s">
        <v>71</v>
      </c>
      <c r="J563" s="3">
        <f>ABS(Table1[[#This Row],[Phone]])</f>
        <v>3343244740</v>
      </c>
      <c r="K563" s="3" t="str">
        <f>PROPER(TRIM(Table1[[#This Row],[Performance_Score]]))</f>
        <v>Good</v>
      </c>
      <c r="L563" s="3" t="b">
        <f>Table1[[#This Row],[Remote_Work]]</f>
        <v>1</v>
      </c>
      <c r="M563" s="3" t="str">
        <f>PROPER(CONCATENATE(Table13[[#This Row],[First_Name]], Table13[[#This Row],[Last_Name]]))</f>
        <v>Gracewilliams</v>
      </c>
      <c r="N563" s="3" t="str">
        <f t="shared" si="8"/>
        <v>Jun</v>
      </c>
      <c r="O563" s="3" t="str">
        <f>TEXT(Table13[[#This Row],[Join_Date]],"yyyy")</f>
        <v>2022</v>
      </c>
      <c r="P563" s="3" t="str">
        <f>LEFT('Main Project Raw Data'!E563,FIND("-",'Main Project Raw Data'!E563)-1)</f>
        <v>HR</v>
      </c>
      <c r="Q563" s="3" t="str">
        <f>RIGHT('Main Project Raw Data'!E563,LEN('Main Project Raw Data'!E563)-FIND("-",'Main Project Raw Data'!E563))</f>
        <v>Florida</v>
      </c>
    </row>
    <row r="564" spans="1:17" x14ac:dyDescent="0.3">
      <c r="A564" s="3" t="str">
        <f>TRIM(Table1[[#This Row],[Employee_ID]])</f>
        <v>EMP1562</v>
      </c>
      <c r="B564" s="3" t="str">
        <f>TRIM(Table1[[#This Row],[First_Name]])</f>
        <v>Alice</v>
      </c>
      <c r="C564" s="3" t="str">
        <f>TRIM(Table1[[#This Row],[Last_Name]])</f>
        <v>Davis</v>
      </c>
      <c r="D564" s="3">
        <f>IF(Table1[[#This Row],[Age]]="",AVERAGE(Table1[Age]),Table1[[#This Row],[Age]])</f>
        <v>25</v>
      </c>
      <c r="E564" s="3" t="s">
        <v>118</v>
      </c>
      <c r="F564" s="3" t="s">
        <v>16</v>
      </c>
      <c r="G564" s="5">
        <f>IF(ISNUMBER('Main Project Raw Data'!G564),'Main Project Raw Data'!G564,IF(ISNUMBER(SEARCH("/",'Main Project Raw Data'!G564)),DATE(RIGHT('Main Project Raw Data'!G564,4),LEFT('Main Project Raw Data'!G564,FIND("/",'Main Project Raw Data'!G564)-1),MID('Main Project Raw Data'!G564,FIND("/",'Main Project Raw Data'!G564)+1,2)),DATE(RIGHT('Main Project Raw Data'!G564,4),MID('Main Project Raw Data'!G564,4,2),LEFT('Main Project Raw Data'!G564,2))))</f>
        <v>44447</v>
      </c>
      <c r="H564" s="3">
        <f>IF(Table1[[#This Row],[Salary]]="",AVERAGE(Table1[Salary]),Table1[[#This Row],[Salary]])</f>
        <v>97837.32</v>
      </c>
      <c r="I564" s="3" t="s">
        <v>163</v>
      </c>
      <c r="J564" s="3">
        <f>ABS(Table1[[#This Row],[Phone]])</f>
        <v>7595587208</v>
      </c>
      <c r="K564" s="3" t="str">
        <f>PROPER(TRIM(Table1[[#This Row],[Performance_Score]]))</f>
        <v>Excellent</v>
      </c>
      <c r="L564" s="3" t="b">
        <f>Table1[[#This Row],[Remote_Work]]</f>
        <v>0</v>
      </c>
      <c r="M564" s="3" t="str">
        <f>PROPER(CONCATENATE(Table13[[#This Row],[First_Name]], Table13[[#This Row],[Last_Name]]))</f>
        <v>Alicedavis</v>
      </c>
      <c r="N564" s="3" t="str">
        <f t="shared" si="8"/>
        <v>Sep</v>
      </c>
      <c r="O564" s="3" t="str">
        <f>TEXT(Table13[[#This Row],[Join_Date]],"yyyy")</f>
        <v>2021</v>
      </c>
      <c r="P564" s="3" t="str">
        <f>LEFT('Main Project Raw Data'!E564,FIND("-",'Main Project Raw Data'!E564)-1)</f>
        <v>Admin</v>
      </c>
      <c r="Q564" s="3" t="str">
        <f>RIGHT('Main Project Raw Data'!E564,LEN('Main Project Raw Data'!E564)-FIND("-",'Main Project Raw Data'!E564))</f>
        <v>California</v>
      </c>
    </row>
    <row r="565" spans="1:17" x14ac:dyDescent="0.3">
      <c r="A565" s="3" t="str">
        <f>TRIM(Table1[[#This Row],[Employee_ID]])</f>
        <v>EMP1563</v>
      </c>
      <c r="B565" s="3" t="str">
        <f>TRIM(Table1[[#This Row],[First_Name]])</f>
        <v>Alice</v>
      </c>
      <c r="C565" s="3" t="str">
        <f>TRIM(Table1[[#This Row],[Last_Name]])</f>
        <v>Davis</v>
      </c>
      <c r="D565" s="3">
        <f>IF(Table1[[#This Row],[Age]]="",AVERAGE(Table1[Age]),Table1[[#This Row],[Age]])</f>
        <v>35</v>
      </c>
      <c r="E565" s="3" t="s">
        <v>89</v>
      </c>
      <c r="F565" s="3" t="s">
        <v>16</v>
      </c>
      <c r="G565" s="5">
        <f>IF(ISNUMBER('Main Project Raw Data'!G565),'Main Project Raw Data'!G565,IF(ISNUMBER(SEARCH("/",'Main Project Raw Data'!G565)),DATE(RIGHT('Main Project Raw Data'!G565,4),LEFT('Main Project Raw Data'!G565,FIND("/",'Main Project Raw Data'!G565)-1),MID('Main Project Raw Data'!G565,FIND("/",'Main Project Raw Data'!G565)+1,2)),DATE(RIGHT('Main Project Raw Data'!G565,4),MID('Main Project Raw Data'!G565,4,2),LEFT('Main Project Raw Data'!G565,2))))</f>
        <v>44652</v>
      </c>
      <c r="H565" s="3">
        <f>IF(Table1[[#This Row],[Salary]]="",AVERAGE(Table1[Salary]),Table1[[#This Row],[Salary]])</f>
        <v>106981.84</v>
      </c>
      <c r="I565" s="3" t="s">
        <v>163</v>
      </c>
      <c r="J565" s="3">
        <f>ABS(Table1[[#This Row],[Phone]])</f>
        <v>6289365434</v>
      </c>
      <c r="K565" s="3" t="str">
        <f>PROPER(TRIM(Table1[[#This Row],[Performance_Score]]))</f>
        <v>Poor</v>
      </c>
      <c r="L565" s="3" t="b">
        <f>Table1[[#This Row],[Remote_Work]]</f>
        <v>1</v>
      </c>
      <c r="M565" s="3" t="str">
        <f>PROPER(CONCATENATE(Table13[[#This Row],[First_Name]], Table13[[#This Row],[Last_Name]]))</f>
        <v>Alicedavis</v>
      </c>
      <c r="N565" s="3" t="str">
        <f t="shared" si="8"/>
        <v>Apr</v>
      </c>
      <c r="O565" s="3" t="str">
        <f>TEXT(Table13[[#This Row],[Join_Date]],"yyyy")</f>
        <v>2022</v>
      </c>
      <c r="P565" s="3" t="str">
        <f>LEFT('Main Project Raw Data'!E565,FIND("-",'Main Project Raw Data'!E565)-1)</f>
        <v>Admin</v>
      </c>
      <c r="Q565" s="3" t="str">
        <f>RIGHT('Main Project Raw Data'!E565,LEN('Main Project Raw Data'!E565)-FIND("-",'Main Project Raw Data'!E565))</f>
        <v>Illinois</v>
      </c>
    </row>
    <row r="566" spans="1:17" x14ac:dyDescent="0.3">
      <c r="A566" s="3" t="str">
        <f>TRIM(Table1[[#This Row],[Employee_ID]])</f>
        <v>EMP1564</v>
      </c>
      <c r="B566" s="3" t="str">
        <f>TRIM(Table1[[#This Row],[First_Name]])</f>
        <v>David</v>
      </c>
      <c r="C566" s="3" t="str">
        <f>TRIM(Table1[[#This Row],[Last_Name]])</f>
        <v>Brown</v>
      </c>
      <c r="D566" s="3">
        <f>IF(Table1[[#This Row],[Age]]="",AVERAGE(Table1[Age]),Table1[[#This Row],[Age]])</f>
        <v>32.484548825710753</v>
      </c>
      <c r="E566" s="3" t="s">
        <v>227</v>
      </c>
      <c r="F566" s="3" t="s">
        <v>28</v>
      </c>
      <c r="G566" s="5">
        <f>IF(ISNUMBER('Main Project Raw Data'!G566),'Main Project Raw Data'!G566,IF(ISNUMBER(SEARCH("/",'Main Project Raw Data'!G566)),DATE(RIGHT('Main Project Raw Data'!G566,4),LEFT('Main Project Raw Data'!G566,FIND("/",'Main Project Raw Data'!G566)-1),MID('Main Project Raw Data'!G566,FIND("/",'Main Project Raw Data'!G566)+1,2)),DATE(RIGHT('Main Project Raw Data'!G566,4),MID('Main Project Raw Data'!G566,4,2),LEFT('Main Project Raw Data'!G566,2))))</f>
        <v>45437</v>
      </c>
      <c r="H566" s="3">
        <f>IF(Table1[[#This Row],[Salary]]="",AVERAGE(Table1[Salary]),Table1[[#This Row],[Salary]])</f>
        <v>105778.36</v>
      </c>
      <c r="I566" s="3" t="s">
        <v>225</v>
      </c>
      <c r="J566" s="3">
        <f>ABS(Table1[[#This Row],[Phone]])</f>
        <v>8841834373</v>
      </c>
      <c r="K566" s="3" t="str">
        <f>PROPER(TRIM(Table1[[#This Row],[Performance_Score]]))</f>
        <v>Good</v>
      </c>
      <c r="L566" s="3" t="b">
        <f>Table1[[#This Row],[Remote_Work]]</f>
        <v>1</v>
      </c>
      <c r="M566" s="3" t="str">
        <f>PROPER(CONCATENATE(Table13[[#This Row],[First_Name]], Table13[[#This Row],[Last_Name]]))</f>
        <v>Davidbrown</v>
      </c>
      <c r="N566" s="3" t="str">
        <f t="shared" si="8"/>
        <v>May</v>
      </c>
      <c r="O566" s="3" t="str">
        <f>TEXT(Table13[[#This Row],[Join_Date]],"yyyy")</f>
        <v>2024</v>
      </c>
      <c r="P566" s="3" t="str">
        <f>LEFT('Main Project Raw Data'!E566,FIND("-",'Main Project Raw Data'!E566)-1)</f>
        <v>Finance</v>
      </c>
      <c r="Q566" s="3" t="str">
        <f>RIGHT('Main Project Raw Data'!E566,LEN('Main Project Raw Data'!E566)-FIND("-",'Main Project Raw Data'!E566))</f>
        <v>New York</v>
      </c>
    </row>
    <row r="567" spans="1:17" x14ac:dyDescent="0.3">
      <c r="A567" s="3" t="str">
        <f>TRIM(Table1[[#This Row],[Employee_ID]])</f>
        <v>EMP1565</v>
      </c>
      <c r="B567" s="3" t="str">
        <f>TRIM(Table1[[#This Row],[First_Name]])</f>
        <v>Alice</v>
      </c>
      <c r="C567" s="3" t="str">
        <f>TRIM(Table1[[#This Row],[Last_Name]])</f>
        <v>Johnson</v>
      </c>
      <c r="D567" s="3">
        <f>IF(Table1[[#This Row],[Age]]="",AVERAGE(Table1[Age]),Table1[[#This Row],[Age]])</f>
        <v>40</v>
      </c>
      <c r="E567" s="3" t="s">
        <v>112</v>
      </c>
      <c r="F567" s="3" t="s">
        <v>28</v>
      </c>
      <c r="G567" s="5">
        <f>IF(ISNUMBER('Main Project Raw Data'!G567),'Main Project Raw Data'!G567,IF(ISNUMBER(SEARCH("/",'Main Project Raw Data'!G567)),DATE(RIGHT('Main Project Raw Data'!G567,4),LEFT('Main Project Raw Data'!G567,FIND("/",'Main Project Raw Data'!G567)-1),MID('Main Project Raw Data'!G567,FIND("/",'Main Project Raw Data'!G567)+1,2)),DATE(RIGHT('Main Project Raw Data'!G567,4),MID('Main Project Raw Data'!G567,4,2),LEFT('Main Project Raw Data'!G567,2))))</f>
        <v>44237</v>
      </c>
      <c r="H567" s="3">
        <f>IF(Table1[[#This Row],[Salary]]="",AVERAGE(Table1[Salary]),Table1[[#This Row],[Salary]])</f>
        <v>117608.32000000001</v>
      </c>
      <c r="I567" s="3" t="s">
        <v>150</v>
      </c>
      <c r="J567" s="3">
        <f>ABS(Table1[[#This Row],[Phone]])</f>
        <v>182727954</v>
      </c>
      <c r="K567" s="3" t="str">
        <f>PROPER(TRIM(Table1[[#This Row],[Performance_Score]]))</f>
        <v>Good</v>
      </c>
      <c r="L567" s="3" t="b">
        <f>Table1[[#This Row],[Remote_Work]]</f>
        <v>1</v>
      </c>
      <c r="M567" s="3" t="str">
        <f>PROPER(CONCATENATE(Table13[[#This Row],[First_Name]], Table13[[#This Row],[Last_Name]]))</f>
        <v>Alicejohnson</v>
      </c>
      <c r="N567" s="3" t="str">
        <f t="shared" si="8"/>
        <v>Feb</v>
      </c>
      <c r="O567" s="3" t="str">
        <f>TEXT(Table13[[#This Row],[Join_Date]],"yyyy")</f>
        <v>2021</v>
      </c>
      <c r="P567" s="3" t="str">
        <f>LEFT('Main Project Raw Data'!E567,FIND("-",'Main Project Raw Data'!E567)-1)</f>
        <v>Finance</v>
      </c>
      <c r="Q567" s="3" t="str">
        <f>RIGHT('Main Project Raw Data'!E567,LEN('Main Project Raw Data'!E567)-FIND("-",'Main Project Raw Data'!E567))</f>
        <v>Florida</v>
      </c>
    </row>
    <row r="568" spans="1:17" x14ac:dyDescent="0.3">
      <c r="A568" s="3" t="str">
        <f>TRIM(Table1[[#This Row],[Employee_ID]])</f>
        <v>EMP1566</v>
      </c>
      <c r="B568" s="3" t="str">
        <f>TRIM(Table1[[#This Row],[First_Name]])</f>
        <v>Eva</v>
      </c>
      <c r="C568" s="3" t="str">
        <f>TRIM(Table1[[#This Row],[Last_Name]])</f>
        <v>Johnson</v>
      </c>
      <c r="D568" s="3">
        <f>IF(Table1[[#This Row],[Age]]="",AVERAGE(Table1[Age]),Table1[[#This Row],[Age]])</f>
        <v>30</v>
      </c>
      <c r="E568" s="3" t="s">
        <v>74</v>
      </c>
      <c r="F568" s="3" t="s">
        <v>16</v>
      </c>
      <c r="G568" s="5">
        <f>IF(ISNUMBER('Main Project Raw Data'!G568),'Main Project Raw Data'!G568,IF(ISNUMBER(SEARCH("/",'Main Project Raw Data'!G568)),DATE(RIGHT('Main Project Raw Data'!G568,4),LEFT('Main Project Raw Data'!G568,FIND("/",'Main Project Raw Data'!G568)-1),MID('Main Project Raw Data'!G568,FIND("/",'Main Project Raw Data'!G568)+1,2)),DATE(RIGHT('Main Project Raw Data'!G568,4),MID('Main Project Raw Data'!G568,4,2),LEFT('Main Project Raw Data'!G568,2))))</f>
        <v>45128</v>
      </c>
      <c r="H568" s="3">
        <f>IF(Table1[[#This Row],[Salary]]="",AVERAGE(Table1[Salary]),Table1[[#This Row],[Salary]])</f>
        <v>99324.03</v>
      </c>
      <c r="I568" s="3" t="s">
        <v>322</v>
      </c>
      <c r="J568" s="3">
        <f>ABS(Table1[[#This Row],[Phone]])</f>
        <v>9690515025</v>
      </c>
      <c r="K568" s="3" t="str">
        <f>PROPER(TRIM(Table1[[#This Row],[Performance_Score]]))</f>
        <v>Excellent</v>
      </c>
      <c r="L568" s="3" t="b">
        <f>Table1[[#This Row],[Remote_Work]]</f>
        <v>0</v>
      </c>
      <c r="M568" s="3" t="str">
        <f>PROPER(CONCATENATE(Table13[[#This Row],[First_Name]], Table13[[#This Row],[Last_Name]]))</f>
        <v>Evajohnson</v>
      </c>
      <c r="N568" s="3" t="str">
        <f t="shared" si="8"/>
        <v>Jul</v>
      </c>
      <c r="O568" s="3" t="str">
        <f>TEXT(Table13[[#This Row],[Join_Date]],"yyyy")</f>
        <v>2023</v>
      </c>
      <c r="P568" s="3" t="str">
        <f>LEFT('Main Project Raw Data'!E568,FIND("-",'Main Project Raw Data'!E568)-1)</f>
        <v>Sales</v>
      </c>
      <c r="Q568" s="3" t="str">
        <f>RIGHT('Main Project Raw Data'!E568,LEN('Main Project Raw Data'!E568)-FIND("-",'Main Project Raw Data'!E568))</f>
        <v>Florida</v>
      </c>
    </row>
    <row r="569" spans="1:17" x14ac:dyDescent="0.3">
      <c r="A569" s="3" t="str">
        <f>TRIM(Table1[[#This Row],[Employee_ID]])</f>
        <v>EMP1567</v>
      </c>
      <c r="B569" s="3" t="str">
        <f>TRIM(Table1[[#This Row],[First_Name]])</f>
        <v>David</v>
      </c>
      <c r="C569" s="3" t="str">
        <f>TRIM(Table1[[#This Row],[Last_Name]])</f>
        <v>Garcia</v>
      </c>
      <c r="D569" s="3">
        <f>IF(Table1[[#This Row],[Age]]="",AVERAGE(Table1[Age]),Table1[[#This Row],[Age]])</f>
        <v>30</v>
      </c>
      <c r="E569" s="3" t="s">
        <v>212</v>
      </c>
      <c r="F569" s="3" t="s">
        <v>16</v>
      </c>
      <c r="G569" s="5">
        <f>IF(ISNUMBER('Main Project Raw Data'!G569),'Main Project Raw Data'!G569,IF(ISNUMBER(SEARCH("/",'Main Project Raw Data'!G569)),DATE(RIGHT('Main Project Raw Data'!G569,4),LEFT('Main Project Raw Data'!G569,FIND("/",'Main Project Raw Data'!G569)-1),MID('Main Project Raw Data'!G569,FIND("/",'Main Project Raw Data'!G569)+1,2)),DATE(RIGHT('Main Project Raw Data'!G569,4),MID('Main Project Raw Data'!G569,4,2),LEFT('Main Project Raw Data'!G569,2))))</f>
        <v>45229</v>
      </c>
      <c r="H569" s="3">
        <f>IF(Table1[[#This Row],[Salary]]="",AVERAGE(Table1[Salary]),Table1[[#This Row],[Salary]])</f>
        <v>55212.83</v>
      </c>
      <c r="I569" s="3" t="s">
        <v>101</v>
      </c>
      <c r="J569" s="3">
        <f>ABS(Table1[[#This Row],[Phone]])</f>
        <v>7551254277</v>
      </c>
      <c r="K569" s="3" t="str">
        <f>PROPER(TRIM(Table1[[#This Row],[Performance_Score]]))</f>
        <v>Excellent</v>
      </c>
      <c r="L569" s="3" t="b">
        <f>Table1[[#This Row],[Remote_Work]]</f>
        <v>1</v>
      </c>
      <c r="M569" s="3" t="str">
        <f>PROPER(CONCATENATE(Table13[[#This Row],[First_Name]], Table13[[#This Row],[Last_Name]]))</f>
        <v>Davidgarcia</v>
      </c>
      <c r="N569" s="3" t="str">
        <f t="shared" si="8"/>
        <v>Oct</v>
      </c>
      <c r="O569" s="3" t="str">
        <f>TEXT(Table13[[#This Row],[Join_Date]],"yyyy")</f>
        <v>2023</v>
      </c>
      <c r="P569" s="3" t="str">
        <f>LEFT('Main Project Raw Data'!E569,FIND("-",'Main Project Raw Data'!E569)-1)</f>
        <v>HR</v>
      </c>
      <c r="Q569" s="3" t="str">
        <f>RIGHT('Main Project Raw Data'!E569,LEN('Main Project Raw Data'!E569)-FIND("-",'Main Project Raw Data'!E569))</f>
        <v>Florida</v>
      </c>
    </row>
    <row r="570" spans="1:17" x14ac:dyDescent="0.3">
      <c r="A570" s="3" t="str">
        <f>TRIM(Table1[[#This Row],[Employee_ID]])</f>
        <v>EMP1568</v>
      </c>
      <c r="B570" s="3" t="str">
        <f>TRIM(Table1[[#This Row],[First_Name]])</f>
        <v>Bob</v>
      </c>
      <c r="C570" s="3" t="str">
        <f>TRIM(Table1[[#This Row],[Last_Name]])</f>
        <v>Davis</v>
      </c>
      <c r="D570" s="3">
        <f>IF(Table1[[#This Row],[Age]]="",AVERAGE(Table1[Age]),Table1[[#This Row],[Age]])</f>
        <v>40</v>
      </c>
      <c r="E570" s="3" t="s">
        <v>39</v>
      </c>
      <c r="F570" s="3" t="s">
        <v>33</v>
      </c>
      <c r="G570" s="5">
        <f>IF(ISNUMBER('Main Project Raw Data'!G570),'Main Project Raw Data'!G570,IF(ISNUMBER(SEARCH("/",'Main Project Raw Data'!G570)),DATE(RIGHT('Main Project Raw Data'!G570,4),LEFT('Main Project Raw Data'!G570,FIND("/",'Main Project Raw Data'!G570)-1),MID('Main Project Raw Data'!G570,FIND("/",'Main Project Raw Data'!G570)+1,2)),DATE(RIGHT('Main Project Raw Data'!G570,4),MID('Main Project Raw Data'!G570,4,2),LEFT('Main Project Raw Data'!G570,2))))</f>
        <v>44970</v>
      </c>
      <c r="H570" s="3">
        <f>IF(Table1[[#This Row],[Salary]]="",AVERAGE(Table1[Salary]),Table1[[#This Row],[Salary]])</f>
        <v>68496.77</v>
      </c>
      <c r="I570" s="3" t="s">
        <v>17</v>
      </c>
      <c r="J570" s="3">
        <f>ABS(Table1[[#This Row],[Phone]])</f>
        <v>2079799666</v>
      </c>
      <c r="K570" s="3" t="str">
        <f>PROPER(TRIM(Table1[[#This Row],[Performance_Score]]))</f>
        <v>Average</v>
      </c>
      <c r="L570" s="3" t="b">
        <f>Table1[[#This Row],[Remote_Work]]</f>
        <v>0</v>
      </c>
      <c r="M570" s="3" t="str">
        <f>PROPER(CONCATENATE(Table13[[#This Row],[First_Name]], Table13[[#This Row],[Last_Name]]))</f>
        <v>Bobdavis</v>
      </c>
      <c r="N570" s="3" t="str">
        <f t="shared" si="8"/>
        <v>Feb</v>
      </c>
      <c r="O570" s="3" t="str">
        <f>TEXT(Table13[[#This Row],[Join_Date]],"yyyy")</f>
        <v>2023</v>
      </c>
      <c r="P570" s="3" t="str">
        <f>LEFT('Main Project Raw Data'!E570,FIND("-",'Main Project Raw Data'!E570)-1)</f>
        <v>Cloud Tech</v>
      </c>
      <c r="Q570" s="3" t="str">
        <f>RIGHT('Main Project Raw Data'!E570,LEN('Main Project Raw Data'!E570)-FIND("-",'Main Project Raw Data'!E570))</f>
        <v>Florida</v>
      </c>
    </row>
    <row r="571" spans="1:17" x14ac:dyDescent="0.3">
      <c r="A571" s="3" t="str">
        <f>TRIM(Table1[[#This Row],[Employee_ID]])</f>
        <v>EMP1569</v>
      </c>
      <c r="B571" s="3" t="str">
        <f>TRIM(Table1[[#This Row],[First_Name]])</f>
        <v>Eva</v>
      </c>
      <c r="C571" s="3" t="str">
        <f>TRIM(Table1[[#This Row],[Last_Name]])</f>
        <v>Davis</v>
      </c>
      <c r="D571" s="3">
        <f>IF(Table1[[#This Row],[Age]]="",AVERAGE(Table1[Age]),Table1[[#This Row],[Age]])</f>
        <v>25</v>
      </c>
      <c r="E571" s="3" t="s">
        <v>212</v>
      </c>
      <c r="F571" s="3" t="s">
        <v>28</v>
      </c>
      <c r="G571" s="5">
        <f>IF(ISNUMBER('Main Project Raw Data'!G571),'Main Project Raw Data'!G571,IF(ISNUMBER(SEARCH("/",'Main Project Raw Data'!G571)),DATE(RIGHT('Main Project Raw Data'!G571,4),LEFT('Main Project Raw Data'!G571,FIND("/",'Main Project Raw Data'!G571)-1),MID('Main Project Raw Data'!G571,FIND("/",'Main Project Raw Data'!G571)+1,2)),DATE(RIGHT('Main Project Raw Data'!G571,4),MID('Main Project Raw Data'!G571,4,2),LEFT('Main Project Raw Data'!G571,2))))</f>
        <v>44148</v>
      </c>
      <c r="H571" s="3">
        <f>IF(Table1[[#This Row],[Salary]]="",AVERAGE(Table1[Salary]),Table1[[#This Row],[Salary]])</f>
        <v>52795.839999999997</v>
      </c>
      <c r="I571" s="3" t="s">
        <v>35</v>
      </c>
      <c r="J571" s="3">
        <f>ABS(Table1[[#This Row],[Phone]])</f>
        <v>3459576402</v>
      </c>
      <c r="K571" s="3" t="str">
        <f>PROPER(TRIM(Table1[[#This Row],[Performance_Score]]))</f>
        <v>Poor</v>
      </c>
      <c r="L571" s="3" t="b">
        <f>Table1[[#This Row],[Remote_Work]]</f>
        <v>0</v>
      </c>
      <c r="M571" s="3" t="str">
        <f>PROPER(CONCATENATE(Table13[[#This Row],[First_Name]], Table13[[#This Row],[Last_Name]]))</f>
        <v>Evadavis</v>
      </c>
      <c r="N571" s="3" t="str">
        <f t="shared" si="8"/>
        <v>Nov</v>
      </c>
      <c r="O571" s="3" t="str">
        <f>TEXT(Table13[[#This Row],[Join_Date]],"yyyy")</f>
        <v>2020</v>
      </c>
      <c r="P571" s="3" t="str">
        <f>LEFT('Main Project Raw Data'!E571,FIND("-",'Main Project Raw Data'!E571)-1)</f>
        <v>HR</v>
      </c>
      <c r="Q571" s="3" t="str">
        <f>RIGHT('Main Project Raw Data'!E571,LEN('Main Project Raw Data'!E571)-FIND("-",'Main Project Raw Data'!E571))</f>
        <v>Florida</v>
      </c>
    </row>
    <row r="572" spans="1:17" x14ac:dyDescent="0.3">
      <c r="A572" s="3" t="str">
        <f>TRIM(Table1[[#This Row],[Employee_ID]])</f>
        <v>EMP1570</v>
      </c>
      <c r="B572" s="3" t="str">
        <f>TRIM(Table1[[#This Row],[First_Name]])</f>
        <v>Alice</v>
      </c>
      <c r="C572" s="3" t="str">
        <f>TRIM(Table1[[#This Row],[Last_Name]])</f>
        <v>Miller</v>
      </c>
      <c r="D572" s="3">
        <f>IF(Table1[[#This Row],[Age]]="",AVERAGE(Table1[Age]),Table1[[#This Row],[Age]])</f>
        <v>32.484548825710753</v>
      </c>
      <c r="E572" s="3" t="s">
        <v>15</v>
      </c>
      <c r="F572" s="3" t="s">
        <v>33</v>
      </c>
      <c r="G572" s="5">
        <f>IF(ISNUMBER('Main Project Raw Data'!G572),'Main Project Raw Data'!G572,IF(ISNUMBER(SEARCH("/",'Main Project Raw Data'!G572)),DATE(RIGHT('Main Project Raw Data'!G572,4),LEFT('Main Project Raw Data'!G572,FIND("/",'Main Project Raw Data'!G572)-1),MID('Main Project Raw Data'!G572,FIND("/",'Main Project Raw Data'!G572)+1,2)),DATE(RIGHT('Main Project Raw Data'!G572,4),MID('Main Project Raw Data'!G572,4,2),LEFT('Main Project Raw Data'!G572,2))))</f>
        <v>45418</v>
      </c>
      <c r="H572" s="3">
        <f>IF(Table1[[#This Row],[Salary]]="",AVERAGE(Table1[Salary]),Table1[[#This Row],[Salary]])</f>
        <v>90087.39</v>
      </c>
      <c r="I572" s="3" t="s">
        <v>166</v>
      </c>
      <c r="J572" s="3">
        <f>ABS(Table1[[#This Row],[Phone]])</f>
        <v>8166496901</v>
      </c>
      <c r="K572" s="3" t="str">
        <f>PROPER(TRIM(Table1[[#This Row],[Performance_Score]]))</f>
        <v>Poor</v>
      </c>
      <c r="L572" s="3" t="b">
        <f>Table1[[#This Row],[Remote_Work]]</f>
        <v>0</v>
      </c>
      <c r="M572" s="3" t="str">
        <f>PROPER(CONCATENATE(Table13[[#This Row],[First_Name]], Table13[[#This Row],[Last_Name]]))</f>
        <v>Alicemiller</v>
      </c>
      <c r="N572" s="3" t="str">
        <f t="shared" si="8"/>
        <v>May</v>
      </c>
      <c r="O572" s="3" t="str">
        <f>TEXT(Table13[[#This Row],[Join_Date]],"yyyy")</f>
        <v>2024</v>
      </c>
      <c r="P572" s="3" t="str">
        <f>LEFT('Main Project Raw Data'!E572,FIND("-",'Main Project Raw Data'!E572)-1)</f>
        <v>DevOps</v>
      </c>
      <c r="Q572" s="3" t="str">
        <f>RIGHT('Main Project Raw Data'!E572,LEN('Main Project Raw Data'!E572)-FIND("-",'Main Project Raw Data'!E572))</f>
        <v>California</v>
      </c>
    </row>
    <row r="573" spans="1:17" x14ac:dyDescent="0.3">
      <c r="A573" s="3" t="str">
        <f>TRIM(Table1[[#This Row],[Employee_ID]])</f>
        <v>EMP1571</v>
      </c>
      <c r="B573" s="3" t="str">
        <f>TRIM(Table1[[#This Row],[First_Name]])</f>
        <v>Frank</v>
      </c>
      <c r="C573" s="3" t="str">
        <f>TRIM(Table1[[#This Row],[Last_Name]])</f>
        <v>Williams</v>
      </c>
      <c r="D573" s="3">
        <f>IF(Table1[[#This Row],[Age]]="",AVERAGE(Table1[Age]),Table1[[#This Row],[Age]])</f>
        <v>32.484548825710753</v>
      </c>
      <c r="E573" s="3" t="s">
        <v>196</v>
      </c>
      <c r="F573" s="3" t="s">
        <v>28</v>
      </c>
      <c r="G573" s="5">
        <f>IF(ISNUMBER('Main Project Raw Data'!G573),'Main Project Raw Data'!G573,IF(ISNUMBER(SEARCH("/",'Main Project Raw Data'!G573)),DATE(RIGHT('Main Project Raw Data'!G573,4),LEFT('Main Project Raw Data'!G573,FIND("/",'Main Project Raw Data'!G573)-1),MID('Main Project Raw Data'!G573,FIND("/",'Main Project Raw Data'!G573)+1,2)),DATE(RIGHT('Main Project Raw Data'!G573,4),MID('Main Project Raw Data'!G573,4,2),LEFT('Main Project Raw Data'!G573,2))))</f>
        <v>43970</v>
      </c>
      <c r="H573" s="3">
        <f>IF(Table1[[#This Row],[Salary]]="",AVERAGE(Table1[Salary]),Table1[[#This Row],[Salary]])</f>
        <v>105038.08</v>
      </c>
      <c r="I573" s="3" t="s">
        <v>40</v>
      </c>
      <c r="J573" s="3">
        <f>ABS(Table1[[#This Row],[Phone]])</f>
        <v>8249839224</v>
      </c>
      <c r="K573" s="3" t="str">
        <f>PROPER(TRIM(Table1[[#This Row],[Performance_Score]]))</f>
        <v>Average</v>
      </c>
      <c r="L573" s="3" t="b">
        <f>Table1[[#This Row],[Remote_Work]]</f>
        <v>0</v>
      </c>
      <c r="M573" s="3" t="str">
        <f>PROPER(CONCATENATE(Table13[[#This Row],[First_Name]], Table13[[#This Row],[Last_Name]]))</f>
        <v>Frankwilliams</v>
      </c>
      <c r="N573" s="3" t="str">
        <f t="shared" si="8"/>
        <v>May</v>
      </c>
      <c r="O573" s="3" t="str">
        <f>TEXT(Table13[[#This Row],[Join_Date]],"yyyy")</f>
        <v>2020</v>
      </c>
      <c r="P573" s="3" t="str">
        <f>LEFT('Main Project Raw Data'!E573,FIND("-",'Main Project Raw Data'!E573)-1)</f>
        <v>Admin</v>
      </c>
      <c r="Q573" s="3" t="str">
        <f>RIGHT('Main Project Raw Data'!E573,LEN('Main Project Raw Data'!E573)-FIND("-",'Main Project Raw Data'!E573))</f>
        <v>New York</v>
      </c>
    </row>
    <row r="574" spans="1:17" x14ac:dyDescent="0.3">
      <c r="A574" s="3" t="str">
        <f>TRIM(Table1[[#This Row],[Employee_ID]])</f>
        <v>EMP1572</v>
      </c>
      <c r="B574" s="3" t="str">
        <f>TRIM(Table1[[#This Row],[First_Name]])</f>
        <v>Grace</v>
      </c>
      <c r="C574" s="3" t="str">
        <f>TRIM(Table1[[#This Row],[Last_Name]])</f>
        <v>Smith</v>
      </c>
      <c r="D574" s="3">
        <f>IF(Table1[[#This Row],[Age]]="",AVERAGE(Table1[Age]),Table1[[#This Row],[Age]])</f>
        <v>25</v>
      </c>
      <c r="E574" s="3" t="s">
        <v>66</v>
      </c>
      <c r="F574" s="3" t="s">
        <v>16</v>
      </c>
      <c r="G574" s="5">
        <f>IF(ISNUMBER('Main Project Raw Data'!G574),'Main Project Raw Data'!G574,IF(ISNUMBER(SEARCH("/",'Main Project Raw Data'!G574)),DATE(RIGHT('Main Project Raw Data'!G574,4),LEFT('Main Project Raw Data'!G574,FIND("/",'Main Project Raw Data'!G574)-1),MID('Main Project Raw Data'!G574,FIND("/",'Main Project Raw Data'!G574)+1,2)),DATE(RIGHT('Main Project Raw Data'!G574,4),MID('Main Project Raw Data'!G574,4,2),LEFT('Main Project Raw Data'!G574,2))))</f>
        <v>45189</v>
      </c>
      <c r="H574" s="3">
        <f>IF(Table1[[#This Row],[Salary]]="",AVERAGE(Table1[Salary]),Table1[[#This Row],[Salary]])</f>
        <v>73231.850000000006</v>
      </c>
      <c r="I574" s="3" t="s">
        <v>135</v>
      </c>
      <c r="J574" s="3">
        <f>ABS(Table1[[#This Row],[Phone]])</f>
        <v>142576269</v>
      </c>
      <c r="K574" s="3" t="str">
        <f>PROPER(TRIM(Table1[[#This Row],[Performance_Score]]))</f>
        <v>Poor</v>
      </c>
      <c r="L574" s="3" t="b">
        <f>Table1[[#This Row],[Remote_Work]]</f>
        <v>0</v>
      </c>
      <c r="M574" s="3" t="str">
        <f>PROPER(CONCATENATE(Table13[[#This Row],[First_Name]], Table13[[#This Row],[Last_Name]]))</f>
        <v>Gracesmith</v>
      </c>
      <c r="N574" s="3" t="str">
        <f t="shared" si="8"/>
        <v>Sep</v>
      </c>
      <c r="O574" s="3" t="str">
        <f>TEXT(Table13[[#This Row],[Join_Date]],"yyyy")</f>
        <v>2023</v>
      </c>
      <c r="P574" s="3" t="str">
        <f>LEFT('Main Project Raw Data'!E574,FIND("-",'Main Project Raw Data'!E574)-1)</f>
        <v>HR</v>
      </c>
      <c r="Q574" s="3" t="str">
        <f>RIGHT('Main Project Raw Data'!E574,LEN('Main Project Raw Data'!E574)-FIND("-",'Main Project Raw Data'!E574))</f>
        <v>New York</v>
      </c>
    </row>
    <row r="575" spans="1:17" x14ac:dyDescent="0.3">
      <c r="A575" s="3" t="str">
        <f>TRIM(Table1[[#This Row],[Employee_ID]])</f>
        <v>EMP1573</v>
      </c>
      <c r="B575" s="3" t="str">
        <f>TRIM(Table1[[#This Row],[First_Name]])</f>
        <v>David</v>
      </c>
      <c r="C575" s="3" t="str">
        <f>TRIM(Table1[[#This Row],[Last_Name]])</f>
        <v>Johnson</v>
      </c>
      <c r="D575" s="3">
        <f>IF(Table1[[#This Row],[Age]]="",AVERAGE(Table1[Age]),Table1[[#This Row],[Age]])</f>
        <v>32.484548825710753</v>
      </c>
      <c r="E575" s="3" t="s">
        <v>74</v>
      </c>
      <c r="F575" s="3" t="s">
        <v>28</v>
      </c>
      <c r="G575" s="5">
        <f>IF(ISNUMBER('Main Project Raw Data'!G575),'Main Project Raw Data'!G575,IF(ISNUMBER(SEARCH("/",'Main Project Raw Data'!G575)),DATE(RIGHT('Main Project Raw Data'!G575,4),LEFT('Main Project Raw Data'!G575,FIND("/",'Main Project Raw Data'!G575)-1),MID('Main Project Raw Data'!G575,FIND("/",'Main Project Raw Data'!G575)+1,2)),DATE(RIGHT('Main Project Raw Data'!G575,4),MID('Main Project Raw Data'!G575,4,2),LEFT('Main Project Raw Data'!G575,2))))</f>
        <v>45517</v>
      </c>
      <c r="H575" s="3">
        <f>IF(Table1[[#This Row],[Salary]]="",AVERAGE(Table1[Salary]),Table1[[#This Row],[Salary]])</f>
        <v>102649.36</v>
      </c>
      <c r="I575" s="3" t="s">
        <v>217</v>
      </c>
      <c r="J575" s="3">
        <f>ABS(Table1[[#This Row],[Phone]])</f>
        <v>2324412335</v>
      </c>
      <c r="K575" s="3" t="str">
        <f>PROPER(TRIM(Table1[[#This Row],[Performance_Score]]))</f>
        <v>Poor</v>
      </c>
      <c r="L575" s="3" t="b">
        <f>Table1[[#This Row],[Remote_Work]]</f>
        <v>0</v>
      </c>
      <c r="M575" s="3" t="str">
        <f>PROPER(CONCATENATE(Table13[[#This Row],[First_Name]], Table13[[#This Row],[Last_Name]]))</f>
        <v>Davidjohnson</v>
      </c>
      <c r="N575" s="3" t="str">
        <f t="shared" si="8"/>
        <v>Aug</v>
      </c>
      <c r="O575" s="3" t="str">
        <f>TEXT(Table13[[#This Row],[Join_Date]],"yyyy")</f>
        <v>2024</v>
      </c>
      <c r="P575" s="3" t="str">
        <f>LEFT('Main Project Raw Data'!E575,FIND("-",'Main Project Raw Data'!E575)-1)</f>
        <v>Sales</v>
      </c>
      <c r="Q575" s="3" t="str">
        <f>RIGHT('Main Project Raw Data'!E575,LEN('Main Project Raw Data'!E575)-FIND("-",'Main Project Raw Data'!E575))</f>
        <v>Florida</v>
      </c>
    </row>
    <row r="576" spans="1:17" x14ac:dyDescent="0.3">
      <c r="A576" s="3" t="str">
        <f>TRIM(Table1[[#This Row],[Employee_ID]])</f>
        <v>EMP1574</v>
      </c>
      <c r="B576" s="3" t="str">
        <f>TRIM(Table1[[#This Row],[First_Name]])</f>
        <v>Bob</v>
      </c>
      <c r="C576" s="3" t="str">
        <f>TRIM(Table1[[#This Row],[Last_Name]])</f>
        <v>Davis</v>
      </c>
      <c r="D576" s="3">
        <f>IF(Table1[[#This Row],[Age]]="",AVERAGE(Table1[Age]),Table1[[#This Row],[Age]])</f>
        <v>35</v>
      </c>
      <c r="E576" s="3" t="s">
        <v>227</v>
      </c>
      <c r="F576" s="3" t="s">
        <v>28</v>
      </c>
      <c r="G576" s="5">
        <f>IF(ISNUMBER('Main Project Raw Data'!G576),'Main Project Raw Data'!G576,IF(ISNUMBER(SEARCH("/",'Main Project Raw Data'!G576)),DATE(RIGHT('Main Project Raw Data'!G576,4),LEFT('Main Project Raw Data'!G576,FIND("/",'Main Project Raw Data'!G576)-1),MID('Main Project Raw Data'!G576,FIND("/",'Main Project Raw Data'!G576)+1,2)),DATE(RIGHT('Main Project Raw Data'!G576,4),MID('Main Project Raw Data'!G576,4,2),LEFT('Main Project Raw Data'!G576,2))))</f>
        <v>45205</v>
      </c>
      <c r="H576" s="3">
        <f>IF(Table1[[#This Row],[Salary]]="",AVERAGE(Table1[Salary]),Table1[[#This Row],[Salary]])</f>
        <v>114302.51</v>
      </c>
      <c r="I576" s="3" t="s">
        <v>17</v>
      </c>
      <c r="J576" s="3">
        <f>ABS(Table1[[#This Row],[Phone]])</f>
        <v>1328507250</v>
      </c>
      <c r="K576" s="3" t="str">
        <f>PROPER(TRIM(Table1[[#This Row],[Performance_Score]]))</f>
        <v>Poor</v>
      </c>
      <c r="L576" s="3" t="b">
        <f>Table1[[#This Row],[Remote_Work]]</f>
        <v>0</v>
      </c>
      <c r="M576" s="3" t="str">
        <f>PROPER(CONCATENATE(Table13[[#This Row],[First_Name]], Table13[[#This Row],[Last_Name]]))</f>
        <v>Bobdavis</v>
      </c>
      <c r="N576" s="3" t="str">
        <f t="shared" si="8"/>
        <v>Oct</v>
      </c>
      <c r="O576" s="3" t="str">
        <f>TEXT(Table13[[#This Row],[Join_Date]],"yyyy")</f>
        <v>2023</v>
      </c>
      <c r="P576" s="3" t="str">
        <f>LEFT('Main Project Raw Data'!E576,FIND("-",'Main Project Raw Data'!E576)-1)</f>
        <v>Finance</v>
      </c>
      <c r="Q576" s="3" t="str">
        <f>RIGHT('Main Project Raw Data'!E576,LEN('Main Project Raw Data'!E576)-FIND("-",'Main Project Raw Data'!E576))</f>
        <v>New York</v>
      </c>
    </row>
    <row r="577" spans="1:17" x14ac:dyDescent="0.3">
      <c r="A577" s="3" t="str">
        <f>TRIM(Table1[[#This Row],[Employee_ID]])</f>
        <v>EMP1575</v>
      </c>
      <c r="B577" s="3" t="str">
        <f>TRIM(Table1[[#This Row],[First_Name]])</f>
        <v>Alice</v>
      </c>
      <c r="C577" s="3" t="str">
        <f>TRIM(Table1[[#This Row],[Last_Name]])</f>
        <v>Miller</v>
      </c>
      <c r="D577" s="3">
        <f>IF(Table1[[#This Row],[Age]]="",AVERAGE(Table1[Age]),Table1[[#This Row],[Age]])</f>
        <v>35</v>
      </c>
      <c r="E577" s="3" t="s">
        <v>21</v>
      </c>
      <c r="F577" s="3" t="s">
        <v>33</v>
      </c>
      <c r="G577" s="5">
        <f>IF(ISNUMBER('Main Project Raw Data'!G577),'Main Project Raw Data'!G577,IF(ISNUMBER(SEARCH("/",'Main Project Raw Data'!G577)),DATE(RIGHT('Main Project Raw Data'!G577,4),LEFT('Main Project Raw Data'!G577,FIND("/",'Main Project Raw Data'!G577)-1),MID('Main Project Raw Data'!G577,FIND("/",'Main Project Raw Data'!G577)+1,2)),DATE(RIGHT('Main Project Raw Data'!G577,4),MID('Main Project Raw Data'!G577,4,2),LEFT('Main Project Raw Data'!G577,2))))</f>
        <v>44445</v>
      </c>
      <c r="H577" s="3">
        <f>IF(Table1[[#This Row],[Salary]]="",AVERAGE(Table1[Salary]),Table1[[#This Row],[Salary]])</f>
        <v>87816.61</v>
      </c>
      <c r="I577" s="3" t="s">
        <v>166</v>
      </c>
      <c r="J577" s="3">
        <f>ABS(Table1[[#This Row],[Phone]])</f>
        <v>7863767315</v>
      </c>
      <c r="K577" s="3" t="str">
        <f>PROPER(TRIM(Table1[[#This Row],[Performance_Score]]))</f>
        <v>Poor</v>
      </c>
      <c r="L577" s="3" t="b">
        <f>Table1[[#This Row],[Remote_Work]]</f>
        <v>0</v>
      </c>
      <c r="M577" s="3" t="str">
        <f>PROPER(CONCATENATE(Table13[[#This Row],[First_Name]], Table13[[#This Row],[Last_Name]]))</f>
        <v>Alicemiller</v>
      </c>
      <c r="N577" s="3" t="str">
        <f t="shared" si="8"/>
        <v>Sep</v>
      </c>
      <c r="O577" s="3" t="str">
        <f>TEXT(Table13[[#This Row],[Join_Date]],"yyyy")</f>
        <v>2021</v>
      </c>
      <c r="P577" s="3" t="str">
        <f>LEFT('Main Project Raw Data'!E577,FIND("-",'Main Project Raw Data'!E577)-1)</f>
        <v>Finance</v>
      </c>
      <c r="Q577" s="3" t="str">
        <f>RIGHT('Main Project Raw Data'!E577,LEN('Main Project Raw Data'!E577)-FIND("-",'Main Project Raw Data'!E577))</f>
        <v>Texas</v>
      </c>
    </row>
    <row r="578" spans="1:17" x14ac:dyDescent="0.3">
      <c r="A578" s="3" t="str">
        <f>TRIM(Table1[[#This Row],[Employee_ID]])</f>
        <v>EMP1576</v>
      </c>
      <c r="B578" s="3" t="str">
        <f>TRIM(Table1[[#This Row],[First_Name]])</f>
        <v>Frank</v>
      </c>
      <c r="C578" s="3" t="str">
        <f>TRIM(Table1[[#This Row],[Last_Name]])</f>
        <v>Jones</v>
      </c>
      <c r="D578" s="3">
        <f>IF(Table1[[#This Row],[Age]]="",AVERAGE(Table1[Age]),Table1[[#This Row],[Age]])</f>
        <v>32.484548825710753</v>
      </c>
      <c r="E578" s="3" t="s">
        <v>74</v>
      </c>
      <c r="F578" s="3" t="s">
        <v>33</v>
      </c>
      <c r="G578" s="5">
        <f>IF(ISNUMBER('Main Project Raw Data'!G578),'Main Project Raw Data'!G578,IF(ISNUMBER(SEARCH("/",'Main Project Raw Data'!G578)),DATE(RIGHT('Main Project Raw Data'!G578,4),LEFT('Main Project Raw Data'!G578,FIND("/",'Main Project Raw Data'!G578)-1),MID('Main Project Raw Data'!G578,FIND("/",'Main Project Raw Data'!G578)+1,2)),DATE(RIGHT('Main Project Raw Data'!G578,4),MID('Main Project Raw Data'!G578,4,2),LEFT('Main Project Raw Data'!G578,2))))</f>
        <v>43920</v>
      </c>
      <c r="H578" s="3">
        <f>IF(Table1[[#This Row],[Salary]]="",AVERAGE(Table1[Salary]),Table1[[#This Row],[Salary]])</f>
        <v>70750.38</v>
      </c>
      <c r="I578" s="3" t="s">
        <v>47</v>
      </c>
      <c r="J578" s="3">
        <f>ABS(Table1[[#This Row],[Phone]])</f>
        <v>2526546967</v>
      </c>
      <c r="K578" s="3" t="str">
        <f>PROPER(TRIM(Table1[[#This Row],[Performance_Score]]))</f>
        <v>Poor</v>
      </c>
      <c r="L578" s="3" t="b">
        <f>Table1[[#This Row],[Remote_Work]]</f>
        <v>0</v>
      </c>
      <c r="M578" s="3" t="str">
        <f>PROPER(CONCATENATE(Table13[[#This Row],[First_Name]], Table13[[#This Row],[Last_Name]]))</f>
        <v>Frankjones</v>
      </c>
      <c r="N578" s="3" t="str">
        <f t="shared" ref="N578:N641" si="9">TEXT(G578,"mmm")</f>
        <v>Mar</v>
      </c>
      <c r="O578" s="3" t="str">
        <f>TEXT(Table13[[#This Row],[Join_Date]],"yyyy")</f>
        <v>2020</v>
      </c>
      <c r="P578" s="3" t="str">
        <f>LEFT('Main Project Raw Data'!E578,FIND("-",'Main Project Raw Data'!E578)-1)</f>
        <v>Sales</v>
      </c>
      <c r="Q578" s="3" t="str">
        <f>RIGHT('Main Project Raw Data'!E578,LEN('Main Project Raw Data'!E578)-FIND("-",'Main Project Raw Data'!E578))</f>
        <v>Florida</v>
      </c>
    </row>
    <row r="579" spans="1:17" x14ac:dyDescent="0.3">
      <c r="A579" s="3" t="str">
        <f>TRIM(Table1[[#This Row],[Employee_ID]])</f>
        <v>EMP1577</v>
      </c>
      <c r="B579" s="3" t="str">
        <f>TRIM(Table1[[#This Row],[First_Name]])</f>
        <v>Frank</v>
      </c>
      <c r="C579" s="3" t="str">
        <f>TRIM(Table1[[#This Row],[Last_Name]])</f>
        <v>Miller</v>
      </c>
      <c r="D579" s="3">
        <f>IF(Table1[[#This Row],[Age]]="",AVERAGE(Table1[Age]),Table1[[#This Row],[Age]])</f>
        <v>32.484548825710753</v>
      </c>
      <c r="E579" s="3" t="s">
        <v>159</v>
      </c>
      <c r="F579" s="3" t="s">
        <v>16</v>
      </c>
      <c r="G579" s="5">
        <f>IF(ISNUMBER('Main Project Raw Data'!G579),'Main Project Raw Data'!G579,IF(ISNUMBER(SEARCH("/",'Main Project Raw Data'!G579)),DATE(RIGHT('Main Project Raw Data'!G579,4),LEFT('Main Project Raw Data'!G579,FIND("/",'Main Project Raw Data'!G579)-1),MID('Main Project Raw Data'!G579,FIND("/",'Main Project Raw Data'!G579)+1,2)),DATE(RIGHT('Main Project Raw Data'!G579,4),MID('Main Project Raw Data'!G579,4,2),LEFT('Main Project Raw Data'!G579,2))))</f>
        <v>45327</v>
      </c>
      <c r="H579" s="3">
        <f>IF(Table1[[#This Row],[Salary]]="",AVERAGE(Table1[Salary]),Table1[[#This Row],[Salary]])</f>
        <v>85155.056395582287</v>
      </c>
      <c r="I579" s="3" t="s">
        <v>110</v>
      </c>
      <c r="J579" s="3">
        <f>ABS(Table1[[#This Row],[Phone]])</f>
        <v>1579039234</v>
      </c>
      <c r="K579" s="3" t="str">
        <f>PROPER(TRIM(Table1[[#This Row],[Performance_Score]]))</f>
        <v>Excellent</v>
      </c>
      <c r="L579" s="3" t="b">
        <f>Table1[[#This Row],[Remote_Work]]</f>
        <v>1</v>
      </c>
      <c r="M579" s="3" t="str">
        <f>PROPER(CONCATENATE(Table13[[#This Row],[First_Name]], Table13[[#This Row],[Last_Name]]))</f>
        <v>Frankmiller</v>
      </c>
      <c r="N579" s="3" t="str">
        <f t="shared" si="9"/>
        <v>Feb</v>
      </c>
      <c r="O579" s="3" t="str">
        <f>TEXT(Table13[[#This Row],[Join_Date]],"yyyy")</f>
        <v>2024</v>
      </c>
      <c r="P579" s="3" t="str">
        <f>LEFT('Main Project Raw Data'!E579,FIND("-",'Main Project Raw Data'!E579)-1)</f>
        <v>Cloud Tech</v>
      </c>
      <c r="Q579" s="3" t="str">
        <f>RIGHT('Main Project Raw Data'!E579,LEN('Main Project Raw Data'!E579)-FIND("-",'Main Project Raw Data'!E579))</f>
        <v>Texas</v>
      </c>
    </row>
    <row r="580" spans="1:17" x14ac:dyDescent="0.3">
      <c r="A580" s="3" t="str">
        <f>TRIM(Table1[[#This Row],[Employee_ID]])</f>
        <v>EMP1578</v>
      </c>
      <c r="B580" s="3" t="str">
        <f>TRIM(Table1[[#This Row],[First_Name]])</f>
        <v>Bob</v>
      </c>
      <c r="C580" s="3" t="str">
        <f>TRIM(Table1[[#This Row],[Last_Name]])</f>
        <v>Johnson</v>
      </c>
      <c r="D580" s="3">
        <f>IF(Table1[[#This Row],[Age]]="",AVERAGE(Table1[Age]),Table1[[#This Row],[Age]])</f>
        <v>30</v>
      </c>
      <c r="E580" s="3" t="s">
        <v>328</v>
      </c>
      <c r="F580" s="3" t="s">
        <v>16</v>
      </c>
      <c r="G580" s="5">
        <f>IF(ISNUMBER('Main Project Raw Data'!G580),'Main Project Raw Data'!G580,IF(ISNUMBER(SEARCH("/",'Main Project Raw Data'!G580)),DATE(RIGHT('Main Project Raw Data'!G580,4),LEFT('Main Project Raw Data'!G580,FIND("/",'Main Project Raw Data'!G580)-1),MID('Main Project Raw Data'!G580,FIND("/",'Main Project Raw Data'!G580)+1,2)),DATE(RIGHT('Main Project Raw Data'!G580,4),MID('Main Project Raw Data'!G580,4,2),LEFT('Main Project Raw Data'!G580,2))))</f>
        <v>45454</v>
      </c>
      <c r="H580" s="3">
        <f>IF(Table1[[#This Row],[Salary]]="",AVERAGE(Table1[Salary]),Table1[[#This Row],[Salary]])</f>
        <v>97978.36</v>
      </c>
      <c r="I580" s="3" t="s">
        <v>199</v>
      </c>
      <c r="J580" s="3">
        <f>ABS(Table1[[#This Row],[Phone]])</f>
        <v>5580996131</v>
      </c>
      <c r="K580" s="3" t="str">
        <f>PROPER(TRIM(Table1[[#This Row],[Performance_Score]]))</f>
        <v>Poor</v>
      </c>
      <c r="L580" s="3" t="b">
        <f>Table1[[#This Row],[Remote_Work]]</f>
        <v>1</v>
      </c>
      <c r="M580" s="3" t="str">
        <f>PROPER(CONCATENATE(Table13[[#This Row],[First_Name]], Table13[[#This Row],[Last_Name]]))</f>
        <v>Bobjohnson</v>
      </c>
      <c r="N580" s="3" t="str">
        <f t="shared" si="9"/>
        <v>Jun</v>
      </c>
      <c r="O580" s="3" t="str">
        <f>TEXT(Table13[[#This Row],[Join_Date]],"yyyy")</f>
        <v>2024</v>
      </c>
      <c r="P580" s="3" t="str">
        <f>LEFT('Main Project Raw Data'!E580,FIND("-",'Main Project Raw Data'!E580)-1)</f>
        <v>DevOps</v>
      </c>
      <c r="Q580" s="3" t="str">
        <f>RIGHT('Main Project Raw Data'!E580,LEN('Main Project Raw Data'!E580)-FIND("-",'Main Project Raw Data'!E580))</f>
        <v>Nevada</v>
      </c>
    </row>
    <row r="581" spans="1:17" x14ac:dyDescent="0.3">
      <c r="A581" s="3" t="str">
        <f>TRIM(Table1[[#This Row],[Employee_ID]])</f>
        <v>EMP1579</v>
      </c>
      <c r="B581" s="3" t="str">
        <f>TRIM(Table1[[#This Row],[First_Name]])</f>
        <v>David</v>
      </c>
      <c r="C581" s="3" t="str">
        <f>TRIM(Table1[[#This Row],[Last_Name]])</f>
        <v>Johnson</v>
      </c>
      <c r="D581" s="3">
        <f>IF(Table1[[#This Row],[Age]]="",AVERAGE(Table1[Age]),Table1[[#This Row],[Age]])</f>
        <v>32.484548825710753</v>
      </c>
      <c r="E581" s="3" t="s">
        <v>328</v>
      </c>
      <c r="F581" s="3" t="s">
        <v>33</v>
      </c>
      <c r="G581" s="5">
        <f>IF(ISNUMBER('Main Project Raw Data'!G581),'Main Project Raw Data'!G581,IF(ISNUMBER(SEARCH("/",'Main Project Raw Data'!G581)),DATE(RIGHT('Main Project Raw Data'!G581,4),LEFT('Main Project Raw Data'!G581,FIND("/",'Main Project Raw Data'!G581)-1),MID('Main Project Raw Data'!G581,FIND("/",'Main Project Raw Data'!G581)+1,2)),DATE(RIGHT('Main Project Raw Data'!G581,4),MID('Main Project Raw Data'!G581,4,2),LEFT('Main Project Raw Data'!G581,2))))</f>
        <v>45155</v>
      </c>
      <c r="H581" s="3">
        <f>IF(Table1[[#This Row],[Salary]]="",AVERAGE(Table1[Salary]),Table1[[#This Row],[Salary]])</f>
        <v>107172.8</v>
      </c>
      <c r="I581" s="3" t="s">
        <v>217</v>
      </c>
      <c r="J581" s="3">
        <f>ABS(Table1[[#This Row],[Phone]])</f>
        <v>7303461561</v>
      </c>
      <c r="K581" s="3" t="str">
        <f>PROPER(TRIM(Table1[[#This Row],[Performance_Score]]))</f>
        <v>Excellent</v>
      </c>
      <c r="L581" s="3" t="b">
        <f>Table1[[#This Row],[Remote_Work]]</f>
        <v>1</v>
      </c>
      <c r="M581" s="3" t="str">
        <f>PROPER(CONCATENATE(Table13[[#This Row],[First_Name]], Table13[[#This Row],[Last_Name]]))</f>
        <v>Davidjohnson</v>
      </c>
      <c r="N581" s="3" t="str">
        <f t="shared" si="9"/>
        <v>Aug</v>
      </c>
      <c r="O581" s="3" t="str">
        <f>TEXT(Table13[[#This Row],[Join_Date]],"yyyy")</f>
        <v>2023</v>
      </c>
      <c r="P581" s="3" t="str">
        <f>LEFT('Main Project Raw Data'!E581,FIND("-",'Main Project Raw Data'!E581)-1)</f>
        <v>DevOps</v>
      </c>
      <c r="Q581" s="3" t="str">
        <f>RIGHT('Main Project Raw Data'!E581,LEN('Main Project Raw Data'!E581)-FIND("-",'Main Project Raw Data'!E581))</f>
        <v>Nevada</v>
      </c>
    </row>
    <row r="582" spans="1:17" x14ac:dyDescent="0.3">
      <c r="A582" s="3" t="str">
        <f>TRIM(Table1[[#This Row],[Employee_ID]])</f>
        <v>EMP1580</v>
      </c>
      <c r="B582" s="3" t="str">
        <f>TRIM(Table1[[#This Row],[First_Name]])</f>
        <v>Charlie</v>
      </c>
      <c r="C582" s="3" t="str">
        <f>TRIM(Table1[[#This Row],[Last_Name]])</f>
        <v>Miller</v>
      </c>
      <c r="D582" s="3">
        <f>IF(Table1[[#This Row],[Age]]="",AVERAGE(Table1[Age]),Table1[[#This Row],[Age]])</f>
        <v>25</v>
      </c>
      <c r="E582" s="3" t="s">
        <v>100</v>
      </c>
      <c r="F582" s="3" t="s">
        <v>33</v>
      </c>
      <c r="G582" s="5">
        <f>IF(ISNUMBER('Main Project Raw Data'!G582),'Main Project Raw Data'!G582,IF(ISNUMBER(SEARCH("/",'Main Project Raw Data'!G582)),DATE(RIGHT('Main Project Raw Data'!G582,4),LEFT('Main Project Raw Data'!G582,FIND("/",'Main Project Raw Data'!G582)-1),MID('Main Project Raw Data'!G582,FIND("/",'Main Project Raw Data'!G582)+1,2)),DATE(RIGHT('Main Project Raw Data'!G582,4),MID('Main Project Raw Data'!G582,4,2),LEFT('Main Project Raw Data'!G582,2))))</f>
        <v>43908</v>
      </c>
      <c r="H582" s="3">
        <f>IF(Table1[[#This Row],[Salary]]="",AVERAGE(Table1[Salary]),Table1[[#This Row],[Salary]])</f>
        <v>56126.46</v>
      </c>
      <c r="I582" s="3" t="s">
        <v>501</v>
      </c>
      <c r="J582" s="3">
        <f>ABS(Table1[[#This Row],[Phone]])</f>
        <v>6244670461</v>
      </c>
      <c r="K582" s="3" t="str">
        <f>PROPER(TRIM(Table1[[#This Row],[Performance_Score]]))</f>
        <v>Poor</v>
      </c>
      <c r="L582" s="3" t="b">
        <f>Table1[[#This Row],[Remote_Work]]</f>
        <v>1</v>
      </c>
      <c r="M582" s="3" t="str">
        <f>PROPER(CONCATENATE(Table13[[#This Row],[First_Name]], Table13[[#This Row],[Last_Name]]))</f>
        <v>Charliemiller</v>
      </c>
      <c r="N582" s="3" t="str">
        <f t="shared" si="9"/>
        <v>Mar</v>
      </c>
      <c r="O582" s="3" t="str">
        <f>TEXT(Table13[[#This Row],[Join_Date]],"yyyy")</f>
        <v>2020</v>
      </c>
      <c r="P582" s="3" t="str">
        <f>LEFT('Main Project Raw Data'!E582,FIND("-",'Main Project Raw Data'!E582)-1)</f>
        <v>Finance</v>
      </c>
      <c r="Q582" s="3" t="str">
        <f>RIGHT('Main Project Raw Data'!E582,LEN('Main Project Raw Data'!E582)-FIND("-",'Main Project Raw Data'!E582))</f>
        <v>Nevada</v>
      </c>
    </row>
    <row r="583" spans="1:17" x14ac:dyDescent="0.3">
      <c r="A583" s="3" t="str">
        <f>TRIM(Table1[[#This Row],[Employee_ID]])</f>
        <v>EMP1581</v>
      </c>
      <c r="B583" s="3" t="str">
        <f>TRIM(Table1[[#This Row],[First_Name]])</f>
        <v>Eva</v>
      </c>
      <c r="C583" s="3" t="str">
        <f>TRIM(Table1[[#This Row],[Last_Name]])</f>
        <v>Smith</v>
      </c>
      <c r="D583" s="3">
        <f>IF(Table1[[#This Row],[Age]]="",AVERAGE(Table1[Age]),Table1[[#This Row],[Age]])</f>
        <v>32.484548825710753</v>
      </c>
      <c r="E583" s="3" t="s">
        <v>95</v>
      </c>
      <c r="F583" s="3" t="s">
        <v>16</v>
      </c>
      <c r="G583" s="5">
        <f>IF(ISNUMBER('Main Project Raw Data'!G583),'Main Project Raw Data'!G583,IF(ISNUMBER(SEARCH("/",'Main Project Raw Data'!G583)),DATE(RIGHT('Main Project Raw Data'!G583,4),LEFT('Main Project Raw Data'!G583,FIND("/",'Main Project Raw Data'!G583)-1),MID('Main Project Raw Data'!G583,FIND("/",'Main Project Raw Data'!G583)+1,2)),DATE(RIGHT('Main Project Raw Data'!G583,4),MID('Main Project Raw Data'!G583,4,2),LEFT('Main Project Raw Data'!G583,2))))</f>
        <v>44360</v>
      </c>
      <c r="H583" s="3">
        <f>IF(Table1[[#This Row],[Salary]]="",AVERAGE(Table1[Salary]),Table1[[#This Row],[Salary]])</f>
        <v>78534.289999999994</v>
      </c>
      <c r="I583" s="3" t="s">
        <v>521</v>
      </c>
      <c r="J583" s="3">
        <f>ABS(Table1[[#This Row],[Phone]])</f>
        <v>2681715159</v>
      </c>
      <c r="K583" s="3" t="str">
        <f>PROPER(TRIM(Table1[[#This Row],[Performance_Score]]))</f>
        <v>Average</v>
      </c>
      <c r="L583" s="3" t="b">
        <f>Table1[[#This Row],[Remote_Work]]</f>
        <v>1</v>
      </c>
      <c r="M583" s="3" t="str">
        <f>PROPER(CONCATENATE(Table13[[#This Row],[First_Name]], Table13[[#This Row],[Last_Name]]))</f>
        <v>Evasmith</v>
      </c>
      <c r="N583" s="3" t="str">
        <f t="shared" si="9"/>
        <v>Jun</v>
      </c>
      <c r="O583" s="3" t="str">
        <f>TEXT(Table13[[#This Row],[Join_Date]],"yyyy")</f>
        <v>2021</v>
      </c>
      <c r="P583" s="3" t="str">
        <f>LEFT('Main Project Raw Data'!E583,FIND("-",'Main Project Raw Data'!E583)-1)</f>
        <v>Cloud Tech</v>
      </c>
      <c r="Q583" s="3" t="str">
        <f>RIGHT('Main Project Raw Data'!E583,LEN('Main Project Raw Data'!E583)-FIND("-",'Main Project Raw Data'!E583))</f>
        <v>Illinois</v>
      </c>
    </row>
    <row r="584" spans="1:17" x14ac:dyDescent="0.3">
      <c r="A584" s="3" t="str">
        <f>TRIM(Table1[[#This Row],[Employee_ID]])</f>
        <v>EMP1582</v>
      </c>
      <c r="B584" s="3" t="str">
        <f>TRIM(Table1[[#This Row],[First_Name]])</f>
        <v>Grace</v>
      </c>
      <c r="C584" s="3" t="str">
        <f>TRIM(Table1[[#This Row],[Last_Name]])</f>
        <v>Brown</v>
      </c>
      <c r="D584" s="3">
        <f>IF(Table1[[#This Row],[Age]]="",AVERAGE(Table1[Age]),Table1[[#This Row],[Age]])</f>
        <v>40</v>
      </c>
      <c r="E584" s="3" t="s">
        <v>139</v>
      </c>
      <c r="F584" s="3" t="s">
        <v>33</v>
      </c>
      <c r="G584" s="5">
        <f>IF(ISNUMBER('Main Project Raw Data'!G584),'Main Project Raw Data'!G584,IF(ISNUMBER(SEARCH("/",'Main Project Raw Data'!G584)),DATE(RIGHT('Main Project Raw Data'!G584,4),LEFT('Main Project Raw Data'!G584,FIND("/",'Main Project Raw Data'!G584)-1),MID('Main Project Raw Data'!G584,FIND("/",'Main Project Raw Data'!G584)+1,2)),DATE(RIGHT('Main Project Raw Data'!G584,4),MID('Main Project Raw Data'!G584,4,2),LEFT('Main Project Raw Data'!G584,2))))</f>
        <v>45209</v>
      </c>
      <c r="H584" s="3">
        <f>IF(Table1[[#This Row],[Salary]]="",AVERAGE(Table1[Salary]),Table1[[#This Row],[Salary]])</f>
        <v>85155.056395582287</v>
      </c>
      <c r="I584" s="3" t="s">
        <v>201</v>
      </c>
      <c r="J584" s="3">
        <f>ABS(Table1[[#This Row],[Phone]])</f>
        <v>2529867075</v>
      </c>
      <c r="K584" s="3" t="str">
        <f>PROPER(TRIM(Table1[[#This Row],[Performance_Score]]))</f>
        <v>Good</v>
      </c>
      <c r="L584" s="3" t="b">
        <f>Table1[[#This Row],[Remote_Work]]</f>
        <v>0</v>
      </c>
      <c r="M584" s="3" t="str">
        <f>PROPER(CONCATENATE(Table13[[#This Row],[First_Name]], Table13[[#This Row],[Last_Name]]))</f>
        <v>Gracebrown</v>
      </c>
      <c r="N584" s="3" t="str">
        <f t="shared" si="9"/>
        <v>Oct</v>
      </c>
      <c r="O584" s="3" t="str">
        <f>TEXT(Table13[[#This Row],[Join_Date]],"yyyy")</f>
        <v>2023</v>
      </c>
      <c r="P584" s="3" t="str">
        <f>LEFT('Main Project Raw Data'!E584,FIND("-",'Main Project Raw Data'!E584)-1)</f>
        <v>HR</v>
      </c>
      <c r="Q584" s="3" t="str">
        <f>RIGHT('Main Project Raw Data'!E584,LEN('Main Project Raw Data'!E584)-FIND("-",'Main Project Raw Data'!E584))</f>
        <v>Texas</v>
      </c>
    </row>
    <row r="585" spans="1:17" x14ac:dyDescent="0.3">
      <c r="A585" s="3" t="str">
        <f>TRIM(Table1[[#This Row],[Employee_ID]])</f>
        <v>EMP1583</v>
      </c>
      <c r="B585" s="3" t="str">
        <f>TRIM(Table1[[#This Row],[First_Name]])</f>
        <v>Bob</v>
      </c>
      <c r="C585" s="3" t="str">
        <f>TRIM(Table1[[#This Row],[Last_Name]])</f>
        <v>Johnson</v>
      </c>
      <c r="D585" s="3">
        <f>IF(Table1[[#This Row],[Age]]="",AVERAGE(Table1[Age]),Table1[[#This Row],[Age]])</f>
        <v>32.484548825710753</v>
      </c>
      <c r="E585" s="3" t="s">
        <v>85</v>
      </c>
      <c r="F585" s="3" t="s">
        <v>16</v>
      </c>
      <c r="G585" s="5">
        <f>IF(ISNUMBER('Main Project Raw Data'!G585),'Main Project Raw Data'!G585,IF(ISNUMBER(SEARCH("/",'Main Project Raw Data'!G585)),DATE(RIGHT('Main Project Raw Data'!G585,4),LEFT('Main Project Raw Data'!G585,FIND("/",'Main Project Raw Data'!G585)-1),MID('Main Project Raw Data'!G585,FIND("/",'Main Project Raw Data'!G585)+1,2)),DATE(RIGHT('Main Project Raw Data'!G585,4),MID('Main Project Raw Data'!G585,4,2),LEFT('Main Project Raw Data'!G585,2))))</f>
        <v>44593</v>
      </c>
      <c r="H585" s="3">
        <f>IF(Table1[[#This Row],[Salary]]="",AVERAGE(Table1[Salary]),Table1[[#This Row],[Salary]])</f>
        <v>114963.34</v>
      </c>
      <c r="I585" s="3" t="s">
        <v>199</v>
      </c>
      <c r="J585" s="3">
        <f>ABS(Table1[[#This Row],[Phone]])</f>
        <v>6046419784</v>
      </c>
      <c r="K585" s="3" t="str">
        <f>PROPER(TRIM(Table1[[#This Row],[Performance_Score]]))</f>
        <v>Excellent</v>
      </c>
      <c r="L585" s="3" t="b">
        <f>Table1[[#This Row],[Remote_Work]]</f>
        <v>0</v>
      </c>
      <c r="M585" s="3" t="str">
        <f>PROPER(CONCATENATE(Table13[[#This Row],[First_Name]], Table13[[#This Row],[Last_Name]]))</f>
        <v>Bobjohnson</v>
      </c>
      <c r="N585" s="3" t="str">
        <f t="shared" si="9"/>
        <v>Feb</v>
      </c>
      <c r="O585" s="3" t="str">
        <f>TEXT(Table13[[#This Row],[Join_Date]],"yyyy")</f>
        <v>2022</v>
      </c>
      <c r="P585" s="3" t="str">
        <f>LEFT('Main Project Raw Data'!E585,FIND("-",'Main Project Raw Data'!E585)-1)</f>
        <v>Cloud Tech</v>
      </c>
      <c r="Q585" s="3" t="str">
        <f>RIGHT('Main Project Raw Data'!E585,LEN('Main Project Raw Data'!E585)-FIND("-",'Main Project Raw Data'!E585))</f>
        <v>Nevada</v>
      </c>
    </row>
    <row r="586" spans="1:17" x14ac:dyDescent="0.3">
      <c r="A586" s="3" t="str">
        <f>TRIM(Table1[[#This Row],[Employee_ID]])</f>
        <v>EMP1584</v>
      </c>
      <c r="B586" s="3" t="str">
        <f>TRIM(Table1[[#This Row],[First_Name]])</f>
        <v>Eva</v>
      </c>
      <c r="C586" s="3" t="str">
        <f>TRIM(Table1[[#This Row],[Last_Name]])</f>
        <v>Miller</v>
      </c>
      <c r="D586" s="3">
        <f>IF(Table1[[#This Row],[Age]]="",AVERAGE(Table1[Age]),Table1[[#This Row],[Age]])</f>
        <v>32.484548825710753</v>
      </c>
      <c r="E586" s="3" t="s">
        <v>268</v>
      </c>
      <c r="F586" s="3" t="s">
        <v>33</v>
      </c>
      <c r="G586" s="5">
        <f>IF(ISNUMBER('Main Project Raw Data'!G586),'Main Project Raw Data'!G586,IF(ISNUMBER(SEARCH("/",'Main Project Raw Data'!G586)),DATE(RIGHT('Main Project Raw Data'!G586,4),LEFT('Main Project Raw Data'!G586,FIND("/",'Main Project Raw Data'!G586)-1),MID('Main Project Raw Data'!G586,FIND("/",'Main Project Raw Data'!G586)+1,2)),DATE(RIGHT('Main Project Raw Data'!G586,4),MID('Main Project Raw Data'!G586,4,2),LEFT('Main Project Raw Data'!G586,2))))</f>
        <v>44612</v>
      </c>
      <c r="H586" s="3">
        <f>IF(Table1[[#This Row],[Salary]]="",AVERAGE(Table1[Salary]),Table1[[#This Row],[Salary]])</f>
        <v>77657.929999999993</v>
      </c>
      <c r="I586" s="3" t="s">
        <v>263</v>
      </c>
      <c r="J586" s="3">
        <f>ABS(Table1[[#This Row],[Phone]])</f>
        <v>7585126860</v>
      </c>
      <c r="K586" s="3" t="str">
        <f>PROPER(TRIM(Table1[[#This Row],[Performance_Score]]))</f>
        <v>Poor</v>
      </c>
      <c r="L586" s="3" t="b">
        <f>Table1[[#This Row],[Remote_Work]]</f>
        <v>0</v>
      </c>
      <c r="M586" s="3" t="str">
        <f>PROPER(CONCATENATE(Table13[[#This Row],[First_Name]], Table13[[#This Row],[Last_Name]]))</f>
        <v>Evamiller</v>
      </c>
      <c r="N586" s="3" t="str">
        <f t="shared" si="9"/>
        <v>Feb</v>
      </c>
      <c r="O586" s="3" t="str">
        <f>TEXT(Table13[[#This Row],[Join_Date]],"yyyy")</f>
        <v>2022</v>
      </c>
      <c r="P586" s="3" t="str">
        <f>LEFT('Main Project Raw Data'!E586,FIND("-",'Main Project Raw Data'!E586)-1)</f>
        <v>Cloud Tech</v>
      </c>
      <c r="Q586" s="3" t="str">
        <f>RIGHT('Main Project Raw Data'!E586,LEN('Main Project Raw Data'!E586)-FIND("-",'Main Project Raw Data'!E586))</f>
        <v>California</v>
      </c>
    </row>
    <row r="587" spans="1:17" x14ac:dyDescent="0.3">
      <c r="A587" s="3" t="str">
        <f>TRIM(Table1[[#This Row],[Employee_ID]])</f>
        <v>EMP1585</v>
      </c>
      <c r="B587" s="3" t="str">
        <f>TRIM(Table1[[#This Row],[First_Name]])</f>
        <v>Heidi</v>
      </c>
      <c r="C587" s="3" t="str">
        <f>TRIM(Table1[[#This Row],[Last_Name]])</f>
        <v>Davis</v>
      </c>
      <c r="D587" s="3">
        <f>IF(Table1[[#This Row],[Age]]="",AVERAGE(Table1[Age]),Table1[[#This Row],[Age]])</f>
        <v>30</v>
      </c>
      <c r="E587" s="3" t="s">
        <v>109</v>
      </c>
      <c r="F587" s="3" t="s">
        <v>16</v>
      </c>
      <c r="G587" s="5">
        <f>IF(ISNUMBER('Main Project Raw Data'!G587),'Main Project Raw Data'!G587,IF(ISNUMBER(SEARCH("/",'Main Project Raw Data'!G587)),DATE(RIGHT('Main Project Raw Data'!G587,4),LEFT('Main Project Raw Data'!G587,FIND("/",'Main Project Raw Data'!G587)-1),MID('Main Project Raw Data'!G587,FIND("/",'Main Project Raw Data'!G587)+1,2)),DATE(RIGHT('Main Project Raw Data'!G587,4),MID('Main Project Raw Data'!G587,4,2),LEFT('Main Project Raw Data'!G587,2))))</f>
        <v>45538</v>
      </c>
      <c r="H587" s="3">
        <f>IF(Table1[[#This Row],[Salary]]="",AVERAGE(Table1[Salary]),Table1[[#This Row],[Salary]])</f>
        <v>77369.48</v>
      </c>
      <c r="I587" s="3" t="s">
        <v>394</v>
      </c>
      <c r="J587" s="3">
        <f>ABS(Table1[[#This Row],[Phone]])</f>
        <v>2059438975</v>
      </c>
      <c r="K587" s="3" t="str">
        <f>PROPER(TRIM(Table1[[#This Row],[Performance_Score]]))</f>
        <v>Average</v>
      </c>
      <c r="L587" s="3" t="b">
        <f>Table1[[#This Row],[Remote_Work]]</f>
        <v>0</v>
      </c>
      <c r="M587" s="3" t="str">
        <f>PROPER(CONCATENATE(Table13[[#This Row],[First_Name]], Table13[[#This Row],[Last_Name]]))</f>
        <v>Heididavis</v>
      </c>
      <c r="N587" s="3" t="str">
        <f t="shared" si="9"/>
        <v>Sep</v>
      </c>
      <c r="O587" s="3" t="str">
        <f>TEXT(Table13[[#This Row],[Join_Date]],"yyyy")</f>
        <v>2024</v>
      </c>
      <c r="P587" s="3" t="str">
        <f>LEFT('Main Project Raw Data'!E587,FIND("-",'Main Project Raw Data'!E587)-1)</f>
        <v>Sales</v>
      </c>
      <c r="Q587" s="3" t="str">
        <f>RIGHT('Main Project Raw Data'!E587,LEN('Main Project Raw Data'!E587)-FIND("-",'Main Project Raw Data'!E587))</f>
        <v>New York</v>
      </c>
    </row>
    <row r="588" spans="1:17" x14ac:dyDescent="0.3">
      <c r="A588" s="3" t="str">
        <f>TRIM(Table1[[#This Row],[Employee_ID]])</f>
        <v>EMP1586</v>
      </c>
      <c r="B588" s="3" t="str">
        <f>TRIM(Table1[[#This Row],[First_Name]])</f>
        <v>Eva</v>
      </c>
      <c r="C588" s="3" t="str">
        <f>TRIM(Table1[[#This Row],[Last_Name]])</f>
        <v>Miller</v>
      </c>
      <c r="D588" s="3">
        <f>IF(Table1[[#This Row],[Age]]="",AVERAGE(Table1[Age]),Table1[[#This Row],[Age]])</f>
        <v>30</v>
      </c>
      <c r="E588" s="3" t="s">
        <v>149</v>
      </c>
      <c r="F588" s="3" t="s">
        <v>28</v>
      </c>
      <c r="G588" s="5">
        <f>IF(ISNUMBER('Main Project Raw Data'!G588),'Main Project Raw Data'!G588,IF(ISNUMBER(SEARCH("/",'Main Project Raw Data'!G588)),DATE(RIGHT('Main Project Raw Data'!G588,4),LEFT('Main Project Raw Data'!G588,FIND("/",'Main Project Raw Data'!G588)-1),MID('Main Project Raw Data'!G588,FIND("/",'Main Project Raw Data'!G588)+1,2)),DATE(RIGHT('Main Project Raw Data'!G588,4),MID('Main Project Raw Data'!G588,4,2),LEFT('Main Project Raw Data'!G588,2))))</f>
        <v>45157</v>
      </c>
      <c r="H588" s="3">
        <f>IF(Table1[[#This Row],[Salary]]="",AVERAGE(Table1[Salary]),Table1[[#This Row],[Salary]])</f>
        <v>76119.14</v>
      </c>
      <c r="I588" s="3" t="s">
        <v>263</v>
      </c>
      <c r="J588" s="3">
        <f>ABS(Table1[[#This Row],[Phone]])</f>
        <v>740177508</v>
      </c>
      <c r="K588" s="3" t="str">
        <f>PROPER(TRIM(Table1[[#This Row],[Performance_Score]]))</f>
        <v>Good</v>
      </c>
      <c r="L588" s="3" t="b">
        <f>Table1[[#This Row],[Remote_Work]]</f>
        <v>0</v>
      </c>
      <c r="M588" s="3" t="str">
        <f>PROPER(CONCATENATE(Table13[[#This Row],[First_Name]], Table13[[#This Row],[Last_Name]]))</f>
        <v>Evamiller</v>
      </c>
      <c r="N588" s="3" t="str">
        <f t="shared" si="9"/>
        <v>Aug</v>
      </c>
      <c r="O588" s="3" t="str">
        <f>TEXT(Table13[[#This Row],[Join_Date]],"yyyy")</f>
        <v>2023</v>
      </c>
      <c r="P588" s="3" t="str">
        <f>LEFT('Main Project Raw Data'!E588,FIND("-",'Main Project Raw Data'!E588)-1)</f>
        <v>HR</v>
      </c>
      <c r="Q588" s="3" t="str">
        <f>RIGHT('Main Project Raw Data'!E588,LEN('Main Project Raw Data'!E588)-FIND("-",'Main Project Raw Data'!E588))</f>
        <v>Nevada</v>
      </c>
    </row>
    <row r="589" spans="1:17" x14ac:dyDescent="0.3">
      <c r="A589" s="3" t="str">
        <f>TRIM(Table1[[#This Row],[Employee_ID]])</f>
        <v>EMP1587</v>
      </c>
      <c r="B589" s="3" t="str">
        <f>TRIM(Table1[[#This Row],[First_Name]])</f>
        <v>Charlie</v>
      </c>
      <c r="C589" s="3" t="str">
        <f>TRIM(Table1[[#This Row],[Last_Name]])</f>
        <v>Williams</v>
      </c>
      <c r="D589" s="3">
        <f>IF(Table1[[#This Row],[Age]]="",AVERAGE(Table1[Age]),Table1[[#This Row],[Age]])</f>
        <v>25</v>
      </c>
      <c r="E589" s="3" t="s">
        <v>159</v>
      </c>
      <c r="F589" s="3" t="s">
        <v>28</v>
      </c>
      <c r="G589" s="5">
        <f>IF(ISNUMBER('Main Project Raw Data'!G589),'Main Project Raw Data'!G589,IF(ISNUMBER(SEARCH("/",'Main Project Raw Data'!G589)),DATE(RIGHT('Main Project Raw Data'!G589,4),LEFT('Main Project Raw Data'!G589,FIND("/",'Main Project Raw Data'!G589)-1),MID('Main Project Raw Data'!G589,FIND("/",'Main Project Raw Data'!G589)+1,2)),DATE(RIGHT('Main Project Raw Data'!G589,4),MID('Main Project Raw Data'!G589,4,2),LEFT('Main Project Raw Data'!G589,2))))</f>
        <v>45082</v>
      </c>
      <c r="H589" s="3">
        <f>IF(Table1[[#This Row],[Salary]]="",AVERAGE(Table1[Salary]),Table1[[#This Row],[Salary]])</f>
        <v>77585.72</v>
      </c>
      <c r="I589" s="3" t="s">
        <v>90</v>
      </c>
      <c r="J589" s="3">
        <f>ABS(Table1[[#This Row],[Phone]])</f>
        <v>5465408423</v>
      </c>
      <c r="K589" s="3" t="str">
        <f>PROPER(TRIM(Table1[[#This Row],[Performance_Score]]))</f>
        <v>Excellent</v>
      </c>
      <c r="L589" s="3" t="b">
        <f>Table1[[#This Row],[Remote_Work]]</f>
        <v>0</v>
      </c>
      <c r="M589" s="3" t="str">
        <f>PROPER(CONCATENATE(Table13[[#This Row],[First_Name]], Table13[[#This Row],[Last_Name]]))</f>
        <v>Charliewilliams</v>
      </c>
      <c r="N589" s="3" t="str">
        <f t="shared" si="9"/>
        <v>Jun</v>
      </c>
      <c r="O589" s="3" t="str">
        <f>TEXT(Table13[[#This Row],[Join_Date]],"yyyy")</f>
        <v>2023</v>
      </c>
      <c r="P589" s="3" t="str">
        <f>LEFT('Main Project Raw Data'!E589,FIND("-",'Main Project Raw Data'!E589)-1)</f>
        <v>Cloud Tech</v>
      </c>
      <c r="Q589" s="3" t="str">
        <f>RIGHT('Main Project Raw Data'!E589,LEN('Main Project Raw Data'!E589)-FIND("-",'Main Project Raw Data'!E589))</f>
        <v>Texas</v>
      </c>
    </row>
    <row r="590" spans="1:17" x14ac:dyDescent="0.3">
      <c r="A590" s="3" t="str">
        <f>TRIM(Table1[[#This Row],[Employee_ID]])</f>
        <v>EMP1588</v>
      </c>
      <c r="B590" s="3" t="str">
        <f>TRIM(Table1[[#This Row],[First_Name]])</f>
        <v>Bob</v>
      </c>
      <c r="C590" s="3" t="str">
        <f>TRIM(Table1[[#This Row],[Last_Name]])</f>
        <v>Brown</v>
      </c>
      <c r="D590" s="3">
        <f>IF(Table1[[#This Row],[Age]]="",AVERAGE(Table1[Age]),Table1[[#This Row],[Age]])</f>
        <v>35</v>
      </c>
      <c r="E590" s="3" t="s">
        <v>27</v>
      </c>
      <c r="F590" s="3" t="s">
        <v>28</v>
      </c>
      <c r="G590" s="5">
        <f>IF(ISNUMBER('Main Project Raw Data'!G590),'Main Project Raw Data'!G590,IF(ISNUMBER(SEARCH("/",'Main Project Raw Data'!G590)),DATE(RIGHT('Main Project Raw Data'!G590,4),LEFT('Main Project Raw Data'!G590,FIND("/",'Main Project Raw Data'!G590)-1),MID('Main Project Raw Data'!G590,FIND("/",'Main Project Raw Data'!G590)+1,2)),DATE(RIGHT('Main Project Raw Data'!G590,4),MID('Main Project Raw Data'!G590,4,2),LEFT('Main Project Raw Data'!G590,2))))</f>
        <v>45317</v>
      </c>
      <c r="H590" s="3">
        <f>IF(Table1[[#This Row],[Salary]]="",AVERAGE(Table1[Salary]),Table1[[#This Row],[Salary]])</f>
        <v>74069.62</v>
      </c>
      <c r="I590" s="3" t="s">
        <v>22</v>
      </c>
      <c r="J590" s="3">
        <f>ABS(Table1[[#This Row],[Phone]])</f>
        <v>5607540914</v>
      </c>
      <c r="K590" s="3" t="str">
        <f>PROPER(TRIM(Table1[[#This Row],[Performance_Score]]))</f>
        <v>Good</v>
      </c>
      <c r="L590" s="3" t="b">
        <f>Table1[[#This Row],[Remote_Work]]</f>
        <v>0</v>
      </c>
      <c r="M590" s="3" t="str">
        <f>PROPER(CONCATENATE(Table13[[#This Row],[First_Name]], Table13[[#This Row],[Last_Name]]))</f>
        <v>Bobbrown</v>
      </c>
      <c r="N590" s="3" t="str">
        <f t="shared" si="9"/>
        <v>Jan</v>
      </c>
      <c r="O590" s="3" t="str">
        <f>TEXT(Table13[[#This Row],[Join_Date]],"yyyy")</f>
        <v>2024</v>
      </c>
      <c r="P590" s="3" t="str">
        <f>LEFT('Main Project Raw Data'!E590,FIND("-",'Main Project Raw Data'!E590)-1)</f>
        <v>Admin</v>
      </c>
      <c r="Q590" s="3" t="str">
        <f>RIGHT('Main Project Raw Data'!E590,LEN('Main Project Raw Data'!E590)-FIND("-",'Main Project Raw Data'!E590))</f>
        <v>Nevada</v>
      </c>
    </row>
    <row r="591" spans="1:17" x14ac:dyDescent="0.3">
      <c r="A591" s="3" t="str">
        <f>TRIM(Table1[[#This Row],[Employee_ID]])</f>
        <v>EMP1589</v>
      </c>
      <c r="B591" s="3" t="str">
        <f>TRIM(Table1[[#This Row],[First_Name]])</f>
        <v>Charlie</v>
      </c>
      <c r="C591" s="3" t="str">
        <f>TRIM(Table1[[#This Row],[Last_Name]])</f>
        <v>Jones</v>
      </c>
      <c r="D591" s="3">
        <f>IF(Table1[[#This Row],[Age]]="",AVERAGE(Table1[Age]),Table1[[#This Row],[Age]])</f>
        <v>30</v>
      </c>
      <c r="E591" s="3" t="s">
        <v>196</v>
      </c>
      <c r="F591" s="3" t="s">
        <v>28</v>
      </c>
      <c r="G591" s="5">
        <f>IF(ISNUMBER('Main Project Raw Data'!G591),'Main Project Raw Data'!G591,IF(ISNUMBER(SEARCH("/",'Main Project Raw Data'!G591)),DATE(RIGHT('Main Project Raw Data'!G591,4),LEFT('Main Project Raw Data'!G591,FIND("/",'Main Project Raw Data'!G591)-1),MID('Main Project Raw Data'!G591,FIND("/",'Main Project Raw Data'!G591)+1,2)),DATE(RIGHT('Main Project Raw Data'!G591,4),MID('Main Project Raw Data'!G591,4,2),LEFT('Main Project Raw Data'!G591,2))))</f>
        <v>45421</v>
      </c>
      <c r="H591" s="3">
        <f>IF(Table1[[#This Row],[Salary]]="",AVERAGE(Table1[Salary]),Table1[[#This Row],[Salary]])</f>
        <v>67691.92</v>
      </c>
      <c r="I591" s="3" t="s">
        <v>120</v>
      </c>
      <c r="J591" s="3">
        <f>ABS(Table1[[#This Row],[Phone]])</f>
        <v>863218121</v>
      </c>
      <c r="K591" s="3" t="str">
        <f>PROPER(TRIM(Table1[[#This Row],[Performance_Score]]))</f>
        <v>Average</v>
      </c>
      <c r="L591" s="3" t="b">
        <f>Table1[[#This Row],[Remote_Work]]</f>
        <v>1</v>
      </c>
      <c r="M591" s="3" t="str">
        <f>PROPER(CONCATENATE(Table13[[#This Row],[First_Name]], Table13[[#This Row],[Last_Name]]))</f>
        <v>Charliejones</v>
      </c>
      <c r="N591" s="3" t="str">
        <f t="shared" si="9"/>
        <v>May</v>
      </c>
      <c r="O591" s="3" t="str">
        <f>TEXT(Table13[[#This Row],[Join_Date]],"yyyy")</f>
        <v>2024</v>
      </c>
      <c r="P591" s="3" t="str">
        <f>LEFT('Main Project Raw Data'!E591,FIND("-",'Main Project Raw Data'!E591)-1)</f>
        <v>Admin</v>
      </c>
      <c r="Q591" s="3" t="str">
        <f>RIGHT('Main Project Raw Data'!E591,LEN('Main Project Raw Data'!E591)-FIND("-",'Main Project Raw Data'!E591))</f>
        <v>New York</v>
      </c>
    </row>
    <row r="592" spans="1:17" x14ac:dyDescent="0.3">
      <c r="A592" s="3" t="str">
        <f>TRIM(Table1[[#This Row],[Employee_ID]])</f>
        <v>EMP1590</v>
      </c>
      <c r="B592" s="3" t="str">
        <f>TRIM(Table1[[#This Row],[First_Name]])</f>
        <v>Alice</v>
      </c>
      <c r="C592" s="3" t="str">
        <f>TRIM(Table1[[#This Row],[Last_Name]])</f>
        <v>Smith</v>
      </c>
      <c r="D592" s="3">
        <f>IF(Table1[[#This Row],[Age]]="",AVERAGE(Table1[Age]),Table1[[#This Row],[Age]])</f>
        <v>32.484548825710753</v>
      </c>
      <c r="E592" s="3" t="s">
        <v>100</v>
      </c>
      <c r="F592" s="3" t="s">
        <v>28</v>
      </c>
      <c r="G592" s="5">
        <f>IF(ISNUMBER('Main Project Raw Data'!G592),'Main Project Raw Data'!G592,IF(ISNUMBER(SEARCH("/",'Main Project Raw Data'!G592)),DATE(RIGHT('Main Project Raw Data'!G592,4),LEFT('Main Project Raw Data'!G592,FIND("/",'Main Project Raw Data'!G592)-1),MID('Main Project Raw Data'!G592,FIND("/",'Main Project Raw Data'!G592)+1,2)),DATE(RIGHT('Main Project Raw Data'!G592,4),MID('Main Project Raw Data'!G592,4,2),LEFT('Main Project Raw Data'!G592,2))))</f>
        <v>43980</v>
      </c>
      <c r="H592" s="3">
        <f>IF(Table1[[#This Row],[Salary]]="",AVERAGE(Table1[Salary]),Table1[[#This Row],[Salary]])</f>
        <v>70345.69</v>
      </c>
      <c r="I592" s="3" t="s">
        <v>182</v>
      </c>
      <c r="J592" s="3">
        <f>ABS(Table1[[#This Row],[Phone]])</f>
        <v>7645793896</v>
      </c>
      <c r="K592" s="3" t="str">
        <f>PROPER(TRIM(Table1[[#This Row],[Performance_Score]]))</f>
        <v>Excellent</v>
      </c>
      <c r="L592" s="3" t="b">
        <f>Table1[[#This Row],[Remote_Work]]</f>
        <v>1</v>
      </c>
      <c r="M592" s="3" t="str">
        <f>PROPER(CONCATENATE(Table13[[#This Row],[First_Name]], Table13[[#This Row],[Last_Name]]))</f>
        <v>Alicesmith</v>
      </c>
      <c r="N592" s="3" t="str">
        <f t="shared" si="9"/>
        <v>May</v>
      </c>
      <c r="O592" s="3" t="str">
        <f>TEXT(Table13[[#This Row],[Join_Date]],"yyyy")</f>
        <v>2020</v>
      </c>
      <c r="P592" s="3" t="str">
        <f>LEFT('Main Project Raw Data'!E592,FIND("-",'Main Project Raw Data'!E592)-1)</f>
        <v>Finance</v>
      </c>
      <c r="Q592" s="3" t="str">
        <f>RIGHT('Main Project Raw Data'!E592,LEN('Main Project Raw Data'!E592)-FIND("-",'Main Project Raw Data'!E592))</f>
        <v>Nevada</v>
      </c>
    </row>
    <row r="593" spans="1:17" x14ac:dyDescent="0.3">
      <c r="A593" s="3" t="str">
        <f>TRIM(Table1[[#This Row],[Employee_ID]])</f>
        <v>EMP1591</v>
      </c>
      <c r="B593" s="3" t="str">
        <f>TRIM(Table1[[#This Row],[First_Name]])</f>
        <v>Bob</v>
      </c>
      <c r="C593" s="3" t="str">
        <f>TRIM(Table1[[#This Row],[Last_Name]])</f>
        <v>Garcia</v>
      </c>
      <c r="D593" s="3">
        <f>IF(Table1[[#This Row],[Age]]="",AVERAGE(Table1[Age]),Table1[[#This Row],[Age]])</f>
        <v>30</v>
      </c>
      <c r="E593" s="3" t="s">
        <v>78</v>
      </c>
      <c r="F593" s="3" t="s">
        <v>33</v>
      </c>
      <c r="G593" s="5">
        <f>IF(ISNUMBER('Main Project Raw Data'!G593),'Main Project Raw Data'!G593,IF(ISNUMBER(SEARCH("/",'Main Project Raw Data'!G593)),DATE(RIGHT('Main Project Raw Data'!G593,4),LEFT('Main Project Raw Data'!G593,FIND("/",'Main Project Raw Data'!G593)-1),MID('Main Project Raw Data'!G593,FIND("/",'Main Project Raw Data'!G593)+1,2)),DATE(RIGHT('Main Project Raw Data'!G593,4),MID('Main Project Raw Data'!G593,4,2),LEFT('Main Project Raw Data'!G593,2))))</f>
        <v>44419</v>
      </c>
      <c r="H593" s="3">
        <f>IF(Table1[[#This Row],[Salary]]="",AVERAGE(Table1[Salary]),Table1[[#This Row],[Salary]])</f>
        <v>74999.69</v>
      </c>
      <c r="I593" s="3" t="s">
        <v>153</v>
      </c>
      <c r="J593" s="3">
        <f>ABS(Table1[[#This Row],[Phone]])</f>
        <v>155029167</v>
      </c>
      <c r="K593" s="3" t="str">
        <f>PROPER(TRIM(Table1[[#This Row],[Performance_Score]]))</f>
        <v>Good</v>
      </c>
      <c r="L593" s="3" t="b">
        <f>Table1[[#This Row],[Remote_Work]]</f>
        <v>1</v>
      </c>
      <c r="M593" s="3" t="str">
        <f>PROPER(CONCATENATE(Table13[[#This Row],[First_Name]], Table13[[#This Row],[Last_Name]]))</f>
        <v>Bobgarcia</v>
      </c>
      <c r="N593" s="3" t="str">
        <f t="shared" si="9"/>
        <v>Aug</v>
      </c>
      <c r="O593" s="3" t="str">
        <f>TEXT(Table13[[#This Row],[Join_Date]],"yyyy")</f>
        <v>2021</v>
      </c>
      <c r="P593" s="3" t="str">
        <f>LEFT('Main Project Raw Data'!E593,FIND("-",'Main Project Raw Data'!E593)-1)</f>
        <v>DevOps</v>
      </c>
      <c r="Q593" s="3" t="str">
        <f>RIGHT('Main Project Raw Data'!E593,LEN('Main Project Raw Data'!E593)-FIND("-",'Main Project Raw Data'!E593))</f>
        <v>Illinois</v>
      </c>
    </row>
    <row r="594" spans="1:17" x14ac:dyDescent="0.3">
      <c r="A594" s="3" t="str">
        <f>TRIM(Table1[[#This Row],[Employee_ID]])</f>
        <v>EMP1592</v>
      </c>
      <c r="B594" s="3" t="str">
        <f>TRIM(Table1[[#This Row],[First_Name]])</f>
        <v>David</v>
      </c>
      <c r="C594" s="3" t="str">
        <f>TRIM(Table1[[#This Row],[Last_Name]])</f>
        <v>Jones</v>
      </c>
      <c r="D594" s="3">
        <f>IF(Table1[[#This Row],[Age]]="",AVERAGE(Table1[Age]),Table1[[#This Row],[Age]])</f>
        <v>25</v>
      </c>
      <c r="E594" s="3" t="s">
        <v>192</v>
      </c>
      <c r="F594" s="3" t="s">
        <v>16</v>
      </c>
      <c r="G594" s="5">
        <f>IF(ISNUMBER('Main Project Raw Data'!G594),'Main Project Raw Data'!G594,IF(ISNUMBER(SEARCH("/",'Main Project Raw Data'!G594)),DATE(RIGHT('Main Project Raw Data'!G594,4),LEFT('Main Project Raw Data'!G594,FIND("/",'Main Project Raw Data'!G594)-1),MID('Main Project Raw Data'!G594,FIND("/",'Main Project Raw Data'!G594)+1,2)),DATE(RIGHT('Main Project Raw Data'!G594,4),MID('Main Project Raw Data'!G594,4,2),LEFT('Main Project Raw Data'!G594,2))))</f>
        <v>44227</v>
      </c>
      <c r="H594" s="3">
        <f>IF(Table1[[#This Row],[Salary]]="",AVERAGE(Table1[Salary]),Table1[[#This Row],[Salary]])</f>
        <v>72245.02</v>
      </c>
      <c r="I594" s="3" t="s">
        <v>242</v>
      </c>
      <c r="J594" s="3">
        <f>ABS(Table1[[#This Row],[Phone]])</f>
        <v>1546602415</v>
      </c>
      <c r="K594" s="3" t="str">
        <f>PROPER(TRIM(Table1[[#This Row],[Performance_Score]]))</f>
        <v>Poor</v>
      </c>
      <c r="L594" s="3" t="b">
        <f>Table1[[#This Row],[Remote_Work]]</f>
        <v>1</v>
      </c>
      <c r="M594" s="3" t="str">
        <f>PROPER(CONCATENATE(Table13[[#This Row],[First_Name]], Table13[[#This Row],[Last_Name]]))</f>
        <v>Davidjones</v>
      </c>
      <c r="N594" s="3" t="str">
        <f t="shared" si="9"/>
        <v>Jan</v>
      </c>
      <c r="O594" s="3" t="str">
        <f>TEXT(Table13[[#This Row],[Join_Date]],"yyyy")</f>
        <v>2021</v>
      </c>
      <c r="P594" s="3" t="str">
        <f>LEFT('Main Project Raw Data'!E594,FIND("-",'Main Project Raw Data'!E594)-1)</f>
        <v>HR</v>
      </c>
      <c r="Q594" s="3" t="str">
        <f>RIGHT('Main Project Raw Data'!E594,LEN('Main Project Raw Data'!E594)-FIND("-",'Main Project Raw Data'!E594))</f>
        <v>Illinois</v>
      </c>
    </row>
    <row r="595" spans="1:17" x14ac:dyDescent="0.3">
      <c r="A595" s="3" t="str">
        <f>TRIM(Table1[[#This Row],[Employee_ID]])</f>
        <v>EMP1593</v>
      </c>
      <c r="B595" s="3" t="str">
        <f>TRIM(Table1[[#This Row],[First_Name]])</f>
        <v>Eva</v>
      </c>
      <c r="C595" s="3" t="str">
        <f>TRIM(Table1[[#This Row],[Last_Name]])</f>
        <v>Brown</v>
      </c>
      <c r="D595" s="3">
        <f>IF(Table1[[#This Row],[Age]]="",AVERAGE(Table1[Age]),Table1[[#This Row],[Age]])</f>
        <v>32.484548825710753</v>
      </c>
      <c r="E595" s="3" t="s">
        <v>89</v>
      </c>
      <c r="F595" s="3" t="s">
        <v>28</v>
      </c>
      <c r="G595" s="5">
        <f>IF(ISNUMBER('Main Project Raw Data'!G595),'Main Project Raw Data'!G595,IF(ISNUMBER(SEARCH("/",'Main Project Raw Data'!G595)),DATE(RIGHT('Main Project Raw Data'!G595,4),LEFT('Main Project Raw Data'!G595,FIND("/",'Main Project Raw Data'!G595)-1),MID('Main Project Raw Data'!G595,FIND("/",'Main Project Raw Data'!G595)+1,2)),DATE(RIGHT('Main Project Raw Data'!G595,4),MID('Main Project Raw Data'!G595,4,2),LEFT('Main Project Raw Data'!G595,2))))</f>
        <v>44577</v>
      </c>
      <c r="H595" s="3">
        <f>IF(Table1[[#This Row],[Salary]]="",AVERAGE(Table1[Salary]),Table1[[#This Row],[Salary]])</f>
        <v>106538.98</v>
      </c>
      <c r="I595" s="3" t="s">
        <v>155</v>
      </c>
      <c r="J595" s="3">
        <f>ABS(Table1[[#This Row],[Phone]])</f>
        <v>1394498829</v>
      </c>
      <c r="K595" s="3" t="str">
        <f>PROPER(TRIM(Table1[[#This Row],[Performance_Score]]))</f>
        <v>Excellent</v>
      </c>
      <c r="L595" s="3" t="b">
        <f>Table1[[#This Row],[Remote_Work]]</f>
        <v>0</v>
      </c>
      <c r="M595" s="3" t="str">
        <f>PROPER(CONCATENATE(Table13[[#This Row],[First_Name]], Table13[[#This Row],[Last_Name]]))</f>
        <v>Evabrown</v>
      </c>
      <c r="N595" s="3" t="str">
        <f t="shared" si="9"/>
        <v>Jan</v>
      </c>
      <c r="O595" s="3" t="str">
        <f>TEXT(Table13[[#This Row],[Join_Date]],"yyyy")</f>
        <v>2022</v>
      </c>
      <c r="P595" s="3" t="str">
        <f>LEFT('Main Project Raw Data'!E595,FIND("-",'Main Project Raw Data'!E595)-1)</f>
        <v>Admin</v>
      </c>
      <c r="Q595" s="3" t="str">
        <f>RIGHT('Main Project Raw Data'!E595,LEN('Main Project Raw Data'!E595)-FIND("-",'Main Project Raw Data'!E595))</f>
        <v>Illinois</v>
      </c>
    </row>
    <row r="596" spans="1:17" x14ac:dyDescent="0.3">
      <c r="A596" s="3" t="str">
        <f>TRIM(Table1[[#This Row],[Employee_ID]])</f>
        <v>EMP1594</v>
      </c>
      <c r="B596" s="3" t="str">
        <f>TRIM(Table1[[#This Row],[First_Name]])</f>
        <v>Charlie</v>
      </c>
      <c r="C596" s="3" t="str">
        <f>TRIM(Table1[[#This Row],[Last_Name]])</f>
        <v>Brown</v>
      </c>
      <c r="D596" s="3">
        <f>IF(Table1[[#This Row],[Age]]="",AVERAGE(Table1[Age]),Table1[[#This Row],[Age]])</f>
        <v>25</v>
      </c>
      <c r="E596" s="3" t="s">
        <v>66</v>
      </c>
      <c r="F596" s="3" t="s">
        <v>16</v>
      </c>
      <c r="G596" s="5">
        <f>IF(ISNUMBER('Main Project Raw Data'!G596),'Main Project Raw Data'!G596,IF(ISNUMBER(SEARCH("/",'Main Project Raw Data'!G596)),DATE(RIGHT('Main Project Raw Data'!G596,4),LEFT('Main Project Raw Data'!G596,FIND("/",'Main Project Raw Data'!G596)-1),MID('Main Project Raw Data'!G596,FIND("/",'Main Project Raw Data'!G596)+1,2)),DATE(RIGHT('Main Project Raw Data'!G596,4),MID('Main Project Raw Data'!G596,4,2),LEFT('Main Project Raw Data'!G596,2))))</f>
        <v>45289</v>
      </c>
      <c r="H596" s="3">
        <f>IF(Table1[[#This Row],[Salary]]="",AVERAGE(Table1[Salary]),Table1[[#This Row],[Salary]])</f>
        <v>101787.14</v>
      </c>
      <c r="I596" s="3" t="s">
        <v>125</v>
      </c>
      <c r="J596" s="3">
        <f>ABS(Table1[[#This Row],[Phone]])</f>
        <v>5973642479</v>
      </c>
      <c r="K596" s="3" t="str">
        <f>PROPER(TRIM(Table1[[#This Row],[Performance_Score]]))</f>
        <v>Good</v>
      </c>
      <c r="L596" s="3" t="b">
        <f>Table1[[#This Row],[Remote_Work]]</f>
        <v>0</v>
      </c>
      <c r="M596" s="3" t="str">
        <f>PROPER(CONCATENATE(Table13[[#This Row],[First_Name]], Table13[[#This Row],[Last_Name]]))</f>
        <v>Charliebrown</v>
      </c>
      <c r="N596" s="3" t="str">
        <f t="shared" si="9"/>
        <v>Dec</v>
      </c>
      <c r="O596" s="3" t="str">
        <f>TEXT(Table13[[#This Row],[Join_Date]],"yyyy")</f>
        <v>2023</v>
      </c>
      <c r="P596" s="3" t="str">
        <f>LEFT('Main Project Raw Data'!E596,FIND("-",'Main Project Raw Data'!E596)-1)</f>
        <v>HR</v>
      </c>
      <c r="Q596" s="3" t="str">
        <f>RIGHT('Main Project Raw Data'!E596,LEN('Main Project Raw Data'!E596)-FIND("-",'Main Project Raw Data'!E596))</f>
        <v>New York</v>
      </c>
    </row>
    <row r="597" spans="1:17" x14ac:dyDescent="0.3">
      <c r="A597" s="3" t="str">
        <f>TRIM(Table1[[#This Row],[Employee_ID]])</f>
        <v>EMP1595</v>
      </c>
      <c r="B597" s="3" t="str">
        <f>TRIM(Table1[[#This Row],[First_Name]])</f>
        <v>Frank</v>
      </c>
      <c r="C597" s="3" t="str">
        <f>TRIM(Table1[[#This Row],[Last_Name]])</f>
        <v>Brown</v>
      </c>
      <c r="D597" s="3">
        <f>IF(Table1[[#This Row],[Age]]="",AVERAGE(Table1[Age]),Table1[[#This Row],[Age]])</f>
        <v>30</v>
      </c>
      <c r="E597" s="3" t="s">
        <v>328</v>
      </c>
      <c r="F597" s="3" t="s">
        <v>33</v>
      </c>
      <c r="G597" s="5">
        <f>IF(ISNUMBER('Main Project Raw Data'!G597),'Main Project Raw Data'!G597,IF(ISNUMBER(SEARCH("/",'Main Project Raw Data'!G597)),DATE(RIGHT('Main Project Raw Data'!G597,4),LEFT('Main Project Raw Data'!G597,FIND("/",'Main Project Raw Data'!G597)-1),MID('Main Project Raw Data'!G597,FIND("/",'Main Project Raw Data'!G597)+1,2)),DATE(RIGHT('Main Project Raw Data'!G597,4),MID('Main Project Raw Data'!G597,4,2),LEFT('Main Project Raw Data'!G597,2))))</f>
        <v>45334</v>
      </c>
      <c r="H597" s="3">
        <f>IF(Table1[[#This Row],[Salary]]="",AVERAGE(Table1[Salary]),Table1[[#This Row],[Salary]])</f>
        <v>83596.78</v>
      </c>
      <c r="I597" s="3" t="s">
        <v>239</v>
      </c>
      <c r="J597" s="3">
        <f>ABS(Table1[[#This Row],[Phone]])</f>
        <v>9624406305</v>
      </c>
      <c r="K597" s="3" t="str">
        <f>PROPER(TRIM(Table1[[#This Row],[Performance_Score]]))</f>
        <v>Average</v>
      </c>
      <c r="L597" s="3" t="b">
        <f>Table1[[#This Row],[Remote_Work]]</f>
        <v>0</v>
      </c>
      <c r="M597" s="3" t="str">
        <f>PROPER(CONCATENATE(Table13[[#This Row],[First_Name]], Table13[[#This Row],[Last_Name]]))</f>
        <v>Frankbrown</v>
      </c>
      <c r="N597" s="3" t="str">
        <f t="shared" si="9"/>
        <v>Feb</v>
      </c>
      <c r="O597" s="3" t="str">
        <f>TEXT(Table13[[#This Row],[Join_Date]],"yyyy")</f>
        <v>2024</v>
      </c>
      <c r="P597" s="3" t="str">
        <f>LEFT('Main Project Raw Data'!E597,FIND("-",'Main Project Raw Data'!E597)-1)</f>
        <v>DevOps</v>
      </c>
      <c r="Q597" s="3" t="str">
        <f>RIGHT('Main Project Raw Data'!E597,LEN('Main Project Raw Data'!E597)-FIND("-",'Main Project Raw Data'!E597))</f>
        <v>Nevada</v>
      </c>
    </row>
    <row r="598" spans="1:17" x14ac:dyDescent="0.3">
      <c r="A598" s="3" t="str">
        <f>TRIM(Table1[[#This Row],[Employee_ID]])</f>
        <v>EMP1596</v>
      </c>
      <c r="B598" s="3" t="str">
        <f>TRIM(Table1[[#This Row],[First_Name]])</f>
        <v>Eva</v>
      </c>
      <c r="C598" s="3" t="str">
        <f>TRIM(Table1[[#This Row],[Last_Name]])</f>
        <v>Jones</v>
      </c>
      <c r="D598" s="3">
        <f>IF(Table1[[#This Row],[Age]]="",AVERAGE(Table1[Age]),Table1[[#This Row],[Age]])</f>
        <v>40</v>
      </c>
      <c r="E598" s="3" t="s">
        <v>44</v>
      </c>
      <c r="F598" s="3" t="s">
        <v>16</v>
      </c>
      <c r="G598" s="5">
        <f>IF(ISNUMBER('Main Project Raw Data'!G598),'Main Project Raw Data'!G598,IF(ISNUMBER(SEARCH("/",'Main Project Raw Data'!G598)),DATE(RIGHT('Main Project Raw Data'!G598,4),LEFT('Main Project Raw Data'!G598,FIND("/",'Main Project Raw Data'!G598)-1),MID('Main Project Raw Data'!G598,FIND("/",'Main Project Raw Data'!G598)+1,2)),DATE(RIGHT('Main Project Raw Data'!G598,4),MID('Main Project Raw Data'!G598,4,2),LEFT('Main Project Raw Data'!G598,2))))</f>
        <v>45153</v>
      </c>
      <c r="H598" s="3">
        <f>IF(Table1[[#This Row],[Salary]]="",AVERAGE(Table1[Salary]),Table1[[#This Row],[Salary]])</f>
        <v>92463.94</v>
      </c>
      <c r="I598" s="3" t="s">
        <v>277</v>
      </c>
      <c r="J598" s="3">
        <f>ABS(Table1[[#This Row],[Phone]])</f>
        <v>2447951329</v>
      </c>
      <c r="K598" s="3" t="str">
        <f>PROPER(TRIM(Table1[[#This Row],[Performance_Score]]))</f>
        <v>Average</v>
      </c>
      <c r="L598" s="3" t="b">
        <f>Table1[[#This Row],[Remote_Work]]</f>
        <v>1</v>
      </c>
      <c r="M598" s="3" t="str">
        <f>PROPER(CONCATENATE(Table13[[#This Row],[First_Name]], Table13[[#This Row],[Last_Name]]))</f>
        <v>Evajones</v>
      </c>
      <c r="N598" s="3" t="str">
        <f t="shared" si="9"/>
        <v>Aug</v>
      </c>
      <c r="O598" s="3" t="str">
        <f>TEXT(Table13[[#This Row],[Join_Date]],"yyyy")</f>
        <v>2023</v>
      </c>
      <c r="P598" s="3" t="str">
        <f>LEFT('Main Project Raw Data'!E598,FIND("-",'Main Project Raw Data'!E598)-1)</f>
        <v>Sales</v>
      </c>
      <c r="Q598" s="3" t="str">
        <f>RIGHT('Main Project Raw Data'!E598,LEN('Main Project Raw Data'!E598)-FIND("-",'Main Project Raw Data'!E598))</f>
        <v>Texas</v>
      </c>
    </row>
    <row r="599" spans="1:17" x14ac:dyDescent="0.3">
      <c r="A599" s="3" t="str">
        <f>TRIM(Table1[[#This Row],[Employee_ID]])</f>
        <v>EMP1597</v>
      </c>
      <c r="B599" s="3" t="str">
        <f>TRIM(Table1[[#This Row],[First_Name]])</f>
        <v>Charlie</v>
      </c>
      <c r="C599" s="3" t="str">
        <f>TRIM(Table1[[#This Row],[Last_Name]])</f>
        <v>Davis</v>
      </c>
      <c r="D599" s="3">
        <f>IF(Table1[[#This Row],[Age]]="",AVERAGE(Table1[Age]),Table1[[#This Row],[Age]])</f>
        <v>32.484548825710753</v>
      </c>
      <c r="E599" s="3" t="s">
        <v>118</v>
      </c>
      <c r="F599" s="3" t="s">
        <v>28</v>
      </c>
      <c r="G599" s="5">
        <f>IF(ISNUMBER('Main Project Raw Data'!G599),'Main Project Raw Data'!G599,IF(ISNUMBER(SEARCH("/",'Main Project Raw Data'!G599)),DATE(RIGHT('Main Project Raw Data'!G599,4),LEFT('Main Project Raw Data'!G599,FIND("/",'Main Project Raw Data'!G599)-1),MID('Main Project Raw Data'!G599,FIND("/",'Main Project Raw Data'!G599)+1,2)),DATE(RIGHT('Main Project Raw Data'!G599,4),MID('Main Project Raw Data'!G599,4,2),LEFT('Main Project Raw Data'!G599,2))))</f>
        <v>45646</v>
      </c>
      <c r="H599" s="3">
        <f>IF(Table1[[#This Row],[Salary]]="",AVERAGE(Table1[Salary]),Table1[[#This Row],[Salary]])</f>
        <v>93863.32</v>
      </c>
      <c r="I599" s="3" t="s">
        <v>170</v>
      </c>
      <c r="J599" s="3">
        <f>ABS(Table1[[#This Row],[Phone]])</f>
        <v>5319497968</v>
      </c>
      <c r="K599" s="3" t="str">
        <f>PROPER(TRIM(Table1[[#This Row],[Performance_Score]]))</f>
        <v>Excellent</v>
      </c>
      <c r="L599" s="3" t="b">
        <f>Table1[[#This Row],[Remote_Work]]</f>
        <v>0</v>
      </c>
      <c r="M599" s="3" t="str">
        <f>PROPER(CONCATENATE(Table13[[#This Row],[First_Name]], Table13[[#This Row],[Last_Name]]))</f>
        <v>Charliedavis</v>
      </c>
      <c r="N599" s="3" t="str">
        <f t="shared" si="9"/>
        <v>Dec</v>
      </c>
      <c r="O599" s="3" t="str">
        <f>TEXT(Table13[[#This Row],[Join_Date]],"yyyy")</f>
        <v>2024</v>
      </c>
      <c r="P599" s="3" t="str">
        <f>LEFT('Main Project Raw Data'!E599,FIND("-",'Main Project Raw Data'!E599)-1)</f>
        <v>Admin</v>
      </c>
      <c r="Q599" s="3" t="str">
        <f>RIGHT('Main Project Raw Data'!E599,LEN('Main Project Raw Data'!E599)-FIND("-",'Main Project Raw Data'!E599))</f>
        <v>California</v>
      </c>
    </row>
    <row r="600" spans="1:17" x14ac:dyDescent="0.3">
      <c r="A600" s="3" t="str">
        <f>TRIM(Table1[[#This Row],[Employee_ID]])</f>
        <v>EMP1598</v>
      </c>
      <c r="B600" s="3" t="str">
        <f>TRIM(Table1[[#This Row],[First_Name]])</f>
        <v>Alice</v>
      </c>
      <c r="C600" s="3" t="str">
        <f>TRIM(Table1[[#This Row],[Last_Name]])</f>
        <v>Brown</v>
      </c>
      <c r="D600" s="3">
        <f>IF(Table1[[#This Row],[Age]]="",AVERAGE(Table1[Age]),Table1[[#This Row],[Age]])</f>
        <v>32.484548825710753</v>
      </c>
      <c r="E600" s="3" t="s">
        <v>237</v>
      </c>
      <c r="F600" s="3" t="s">
        <v>28</v>
      </c>
      <c r="G600" s="5">
        <f>IF(ISNUMBER('Main Project Raw Data'!G600),'Main Project Raw Data'!G600,IF(ISNUMBER(SEARCH("/",'Main Project Raw Data'!G600)),DATE(RIGHT('Main Project Raw Data'!G600,4),LEFT('Main Project Raw Data'!G600,FIND("/",'Main Project Raw Data'!G600)-1),MID('Main Project Raw Data'!G600,FIND("/",'Main Project Raw Data'!G600)+1,2)),DATE(RIGHT('Main Project Raw Data'!G600,4),MID('Main Project Raw Data'!G600,4,2),LEFT('Main Project Raw Data'!G600,2))))</f>
        <v>45016</v>
      </c>
      <c r="H600" s="3">
        <f>IF(Table1[[#This Row],[Salary]]="",AVERAGE(Table1[Salary]),Table1[[#This Row],[Salary]])</f>
        <v>78359.41</v>
      </c>
      <c r="I600" s="3" t="s">
        <v>80</v>
      </c>
      <c r="J600" s="3">
        <f>ABS(Table1[[#This Row],[Phone]])</f>
        <v>5867805554</v>
      </c>
      <c r="K600" s="3" t="str">
        <f>PROPER(TRIM(Table1[[#This Row],[Performance_Score]]))</f>
        <v>Good</v>
      </c>
      <c r="L600" s="3" t="b">
        <f>Table1[[#This Row],[Remote_Work]]</f>
        <v>0</v>
      </c>
      <c r="M600" s="3" t="str">
        <f>PROPER(CONCATENATE(Table13[[#This Row],[First_Name]], Table13[[#This Row],[Last_Name]]))</f>
        <v>Alicebrown</v>
      </c>
      <c r="N600" s="3" t="str">
        <f t="shared" si="9"/>
        <v>Mar</v>
      </c>
      <c r="O600" s="3" t="str">
        <f>TEXT(Table13[[#This Row],[Join_Date]],"yyyy")</f>
        <v>2023</v>
      </c>
      <c r="P600" s="3" t="str">
        <f>LEFT('Main Project Raw Data'!E600,FIND("-",'Main Project Raw Data'!E600)-1)</f>
        <v>DevOps</v>
      </c>
      <c r="Q600" s="3" t="str">
        <f>RIGHT('Main Project Raw Data'!E600,LEN('Main Project Raw Data'!E600)-FIND("-",'Main Project Raw Data'!E600))</f>
        <v>Texas</v>
      </c>
    </row>
    <row r="601" spans="1:17" x14ac:dyDescent="0.3">
      <c r="A601" s="3" t="str">
        <f>TRIM(Table1[[#This Row],[Employee_ID]])</f>
        <v>EMP1599</v>
      </c>
      <c r="B601" s="3" t="str">
        <f>TRIM(Table1[[#This Row],[First_Name]])</f>
        <v>Alice</v>
      </c>
      <c r="C601" s="3" t="str">
        <f>TRIM(Table1[[#This Row],[Last_Name]])</f>
        <v>Miller</v>
      </c>
      <c r="D601" s="3">
        <f>IF(Table1[[#This Row],[Age]]="",AVERAGE(Table1[Age]),Table1[[#This Row],[Age]])</f>
        <v>32.484548825710753</v>
      </c>
      <c r="E601" s="3" t="s">
        <v>192</v>
      </c>
      <c r="F601" s="3" t="s">
        <v>28</v>
      </c>
      <c r="G601" s="5">
        <f>IF(ISNUMBER('Main Project Raw Data'!G601),'Main Project Raw Data'!G601,IF(ISNUMBER(SEARCH("/",'Main Project Raw Data'!G601)),DATE(RIGHT('Main Project Raw Data'!G601,4),LEFT('Main Project Raw Data'!G601,FIND("/",'Main Project Raw Data'!G601)-1),MID('Main Project Raw Data'!G601,FIND("/",'Main Project Raw Data'!G601)+1,2)),DATE(RIGHT('Main Project Raw Data'!G601,4),MID('Main Project Raw Data'!G601,4,2),LEFT('Main Project Raw Data'!G601,2))))</f>
        <v>44797</v>
      </c>
      <c r="H601" s="3">
        <f>IF(Table1[[#This Row],[Salary]]="",AVERAGE(Table1[Salary]),Table1[[#This Row],[Salary]])</f>
        <v>95773.57</v>
      </c>
      <c r="I601" s="3" t="s">
        <v>166</v>
      </c>
      <c r="J601" s="3">
        <f>ABS(Table1[[#This Row],[Phone]])</f>
        <v>7277382645</v>
      </c>
      <c r="K601" s="3" t="str">
        <f>PROPER(TRIM(Table1[[#This Row],[Performance_Score]]))</f>
        <v>Excellent</v>
      </c>
      <c r="L601" s="3" t="b">
        <f>Table1[[#This Row],[Remote_Work]]</f>
        <v>0</v>
      </c>
      <c r="M601" s="3" t="str">
        <f>PROPER(CONCATENATE(Table13[[#This Row],[First_Name]], Table13[[#This Row],[Last_Name]]))</f>
        <v>Alicemiller</v>
      </c>
      <c r="N601" s="3" t="str">
        <f t="shared" si="9"/>
        <v>Aug</v>
      </c>
      <c r="O601" s="3" t="str">
        <f>TEXT(Table13[[#This Row],[Join_Date]],"yyyy")</f>
        <v>2022</v>
      </c>
      <c r="P601" s="3" t="str">
        <f>LEFT('Main Project Raw Data'!E601,FIND("-",'Main Project Raw Data'!E601)-1)</f>
        <v>HR</v>
      </c>
      <c r="Q601" s="3" t="str">
        <f>RIGHT('Main Project Raw Data'!E601,LEN('Main Project Raw Data'!E601)-FIND("-",'Main Project Raw Data'!E601))</f>
        <v>Illinois</v>
      </c>
    </row>
    <row r="602" spans="1:17" x14ac:dyDescent="0.3">
      <c r="A602" s="3" t="str">
        <f>TRIM(Table1[[#This Row],[Employee_ID]])</f>
        <v>EMP1600</v>
      </c>
      <c r="B602" s="3" t="str">
        <f>TRIM(Table1[[#This Row],[First_Name]])</f>
        <v>Grace</v>
      </c>
      <c r="C602" s="3" t="str">
        <f>TRIM(Table1[[#This Row],[Last_Name]])</f>
        <v>Jones</v>
      </c>
      <c r="D602" s="3">
        <f>IF(Table1[[#This Row],[Age]]="",AVERAGE(Table1[Age]),Table1[[#This Row],[Age]])</f>
        <v>30</v>
      </c>
      <c r="E602" s="3" t="s">
        <v>219</v>
      </c>
      <c r="F602" s="3" t="s">
        <v>33</v>
      </c>
      <c r="G602" s="5">
        <f>IF(ISNUMBER('Main Project Raw Data'!G602),'Main Project Raw Data'!G602,IF(ISNUMBER(SEARCH("/",'Main Project Raw Data'!G602)),DATE(RIGHT('Main Project Raw Data'!G602,4),LEFT('Main Project Raw Data'!G602,FIND("/",'Main Project Raw Data'!G602)-1),MID('Main Project Raw Data'!G602,FIND("/",'Main Project Raw Data'!G602)+1,2)),DATE(RIGHT('Main Project Raw Data'!G602,4),MID('Main Project Raw Data'!G602,4,2),LEFT('Main Project Raw Data'!G602,2))))</f>
        <v>43840</v>
      </c>
      <c r="H602" s="3">
        <f>IF(Table1[[#This Row],[Salary]]="",AVERAGE(Table1[Salary]),Table1[[#This Row],[Salary]])</f>
        <v>82529.08</v>
      </c>
      <c r="I602" s="3" t="s">
        <v>76</v>
      </c>
      <c r="J602" s="3">
        <f>ABS(Table1[[#This Row],[Phone]])</f>
        <v>917851384</v>
      </c>
      <c r="K602" s="3" t="str">
        <f>PROPER(TRIM(Table1[[#This Row],[Performance_Score]]))</f>
        <v>Excellent</v>
      </c>
      <c r="L602" s="3" t="b">
        <f>Table1[[#This Row],[Remote_Work]]</f>
        <v>1</v>
      </c>
      <c r="M602" s="3" t="str">
        <f>PROPER(CONCATENATE(Table13[[#This Row],[First_Name]], Table13[[#This Row],[Last_Name]]))</f>
        <v>Gracejones</v>
      </c>
      <c r="N602" s="3" t="str">
        <f t="shared" si="9"/>
        <v>Jan</v>
      </c>
      <c r="O602" s="3" t="str">
        <f>TEXT(Table13[[#This Row],[Join_Date]],"yyyy")</f>
        <v>2020</v>
      </c>
      <c r="P602" s="3" t="str">
        <f>LEFT('Main Project Raw Data'!E602,FIND("-",'Main Project Raw Data'!E602)-1)</f>
        <v>Sales</v>
      </c>
      <c r="Q602" s="3" t="str">
        <f>RIGHT('Main Project Raw Data'!E602,LEN('Main Project Raw Data'!E602)-FIND("-",'Main Project Raw Data'!E602))</f>
        <v>Nevada</v>
      </c>
    </row>
    <row r="603" spans="1:17" x14ac:dyDescent="0.3">
      <c r="A603" s="3" t="str">
        <f>TRIM(Table1[[#This Row],[Employee_ID]])</f>
        <v>EMP1601</v>
      </c>
      <c r="B603" s="3" t="str">
        <f>TRIM(Table1[[#This Row],[First_Name]])</f>
        <v>Grace</v>
      </c>
      <c r="C603" s="3" t="str">
        <f>TRIM(Table1[[#This Row],[Last_Name]])</f>
        <v>Garcia</v>
      </c>
      <c r="D603" s="3">
        <f>IF(Table1[[#This Row],[Age]]="",AVERAGE(Table1[Age]),Table1[[#This Row],[Age]])</f>
        <v>35</v>
      </c>
      <c r="E603" s="3" t="s">
        <v>44</v>
      </c>
      <c r="F603" s="3" t="s">
        <v>28</v>
      </c>
      <c r="G603" s="5">
        <f>IF(ISNUMBER('Main Project Raw Data'!G603),'Main Project Raw Data'!G603,IF(ISNUMBER(SEARCH("/",'Main Project Raw Data'!G603)),DATE(RIGHT('Main Project Raw Data'!G603,4),LEFT('Main Project Raw Data'!G603,FIND("/",'Main Project Raw Data'!G603)-1),MID('Main Project Raw Data'!G603,FIND("/",'Main Project Raw Data'!G603)+1,2)),DATE(RIGHT('Main Project Raw Data'!G603,4),MID('Main Project Raw Data'!G603,4,2),LEFT('Main Project Raw Data'!G603,2))))</f>
        <v>44291</v>
      </c>
      <c r="H603" s="3">
        <f>IF(Table1[[#This Row],[Salary]]="",AVERAGE(Table1[Salary]),Table1[[#This Row],[Salary]])</f>
        <v>109358.73</v>
      </c>
      <c r="I603" s="3" t="s">
        <v>83</v>
      </c>
      <c r="J603" s="3">
        <f>ABS(Table1[[#This Row],[Phone]])</f>
        <v>4457702991</v>
      </c>
      <c r="K603" s="3" t="str">
        <f>PROPER(TRIM(Table1[[#This Row],[Performance_Score]]))</f>
        <v>Good</v>
      </c>
      <c r="L603" s="3" t="b">
        <f>Table1[[#This Row],[Remote_Work]]</f>
        <v>0</v>
      </c>
      <c r="M603" s="3" t="str">
        <f>PROPER(CONCATENATE(Table13[[#This Row],[First_Name]], Table13[[#This Row],[Last_Name]]))</f>
        <v>Gracegarcia</v>
      </c>
      <c r="N603" s="3" t="str">
        <f t="shared" si="9"/>
        <v>Apr</v>
      </c>
      <c r="O603" s="3" t="str">
        <f>TEXT(Table13[[#This Row],[Join_Date]],"yyyy")</f>
        <v>2021</v>
      </c>
      <c r="P603" s="3" t="str">
        <f>LEFT('Main Project Raw Data'!E603,FIND("-",'Main Project Raw Data'!E603)-1)</f>
        <v>Sales</v>
      </c>
      <c r="Q603" s="3" t="str">
        <f>RIGHT('Main Project Raw Data'!E603,LEN('Main Project Raw Data'!E603)-FIND("-",'Main Project Raw Data'!E603))</f>
        <v>Texas</v>
      </c>
    </row>
    <row r="604" spans="1:17" x14ac:dyDescent="0.3">
      <c r="A604" s="3" t="str">
        <f>TRIM(Table1[[#This Row],[Employee_ID]])</f>
        <v>EMP1602</v>
      </c>
      <c r="B604" s="3" t="str">
        <f>TRIM(Table1[[#This Row],[First_Name]])</f>
        <v>Charlie</v>
      </c>
      <c r="C604" s="3" t="str">
        <f>TRIM(Table1[[#This Row],[Last_Name]])</f>
        <v>Brown</v>
      </c>
      <c r="D604" s="3">
        <f>IF(Table1[[#This Row],[Age]]="",AVERAGE(Table1[Age]),Table1[[#This Row],[Age]])</f>
        <v>32.484548825710753</v>
      </c>
      <c r="E604" s="3" t="s">
        <v>205</v>
      </c>
      <c r="F604" s="3" t="s">
        <v>16</v>
      </c>
      <c r="G604" s="5">
        <f>IF(ISNUMBER('Main Project Raw Data'!G604),'Main Project Raw Data'!G604,IF(ISNUMBER(SEARCH("/",'Main Project Raw Data'!G604)),DATE(RIGHT('Main Project Raw Data'!G604,4),LEFT('Main Project Raw Data'!G604,FIND("/",'Main Project Raw Data'!G604)-1),MID('Main Project Raw Data'!G604,FIND("/",'Main Project Raw Data'!G604)+1,2)),DATE(RIGHT('Main Project Raw Data'!G604,4),MID('Main Project Raw Data'!G604,4,2),LEFT('Main Project Raw Data'!G604,2))))</f>
        <v>44197</v>
      </c>
      <c r="H604" s="3">
        <f>IF(Table1[[#This Row],[Salary]]="",AVERAGE(Table1[Salary]),Table1[[#This Row],[Salary]])</f>
        <v>89645.01</v>
      </c>
      <c r="I604" s="3" t="s">
        <v>125</v>
      </c>
      <c r="J604" s="3">
        <f>ABS(Table1[[#This Row],[Phone]])</f>
        <v>9596604872</v>
      </c>
      <c r="K604" s="3" t="str">
        <f>PROPER(TRIM(Table1[[#This Row],[Performance_Score]]))</f>
        <v>Good</v>
      </c>
      <c r="L604" s="3" t="b">
        <f>Table1[[#This Row],[Remote_Work]]</f>
        <v>1</v>
      </c>
      <c r="M604" s="3" t="str">
        <f>PROPER(CONCATENATE(Table13[[#This Row],[First_Name]], Table13[[#This Row],[Last_Name]]))</f>
        <v>Charliebrown</v>
      </c>
      <c r="N604" s="3" t="str">
        <f t="shared" si="9"/>
        <v>Jan</v>
      </c>
      <c r="O604" s="3" t="str">
        <f>TEXT(Table13[[#This Row],[Join_Date]],"yyyy")</f>
        <v>2021</v>
      </c>
      <c r="P604" s="3" t="str">
        <f>LEFT('Main Project Raw Data'!E604,FIND("-",'Main Project Raw Data'!E604)-1)</f>
        <v>Admin</v>
      </c>
      <c r="Q604" s="3" t="str">
        <f>RIGHT('Main Project Raw Data'!E604,LEN('Main Project Raw Data'!E604)-FIND("-",'Main Project Raw Data'!E604))</f>
        <v>Florida</v>
      </c>
    </row>
    <row r="605" spans="1:17" x14ac:dyDescent="0.3">
      <c r="A605" s="3" t="str">
        <f>TRIM(Table1[[#This Row],[Employee_ID]])</f>
        <v>EMP1603</v>
      </c>
      <c r="B605" s="3" t="str">
        <f>TRIM(Table1[[#This Row],[First_Name]])</f>
        <v>Charlie</v>
      </c>
      <c r="C605" s="3" t="str">
        <f>TRIM(Table1[[#This Row],[Last_Name]])</f>
        <v>Miller</v>
      </c>
      <c r="D605" s="3">
        <f>IF(Table1[[#This Row],[Age]]="",AVERAGE(Table1[Age]),Table1[[#This Row],[Age]])</f>
        <v>40</v>
      </c>
      <c r="E605" s="3" t="s">
        <v>139</v>
      </c>
      <c r="F605" s="3" t="s">
        <v>16</v>
      </c>
      <c r="G605" s="5">
        <f>IF(ISNUMBER('Main Project Raw Data'!G605),'Main Project Raw Data'!G605,IF(ISNUMBER(SEARCH("/",'Main Project Raw Data'!G605)),DATE(RIGHT('Main Project Raw Data'!G605,4),LEFT('Main Project Raw Data'!G605,FIND("/",'Main Project Raw Data'!G605)-1),MID('Main Project Raw Data'!G605,FIND("/",'Main Project Raw Data'!G605)+1,2)),DATE(RIGHT('Main Project Raw Data'!G605,4),MID('Main Project Raw Data'!G605,4,2),LEFT('Main Project Raw Data'!G605,2))))</f>
        <v>45508</v>
      </c>
      <c r="H605" s="3">
        <f>IF(Table1[[#This Row],[Salary]]="",AVERAGE(Table1[Salary]),Table1[[#This Row],[Salary]])</f>
        <v>84134.95</v>
      </c>
      <c r="I605" s="3" t="s">
        <v>501</v>
      </c>
      <c r="J605" s="3">
        <f>ABS(Table1[[#This Row],[Phone]])</f>
        <v>6826911632</v>
      </c>
      <c r="K605" s="3" t="str">
        <f>PROPER(TRIM(Table1[[#This Row],[Performance_Score]]))</f>
        <v>Poor</v>
      </c>
      <c r="L605" s="3" t="b">
        <f>Table1[[#This Row],[Remote_Work]]</f>
        <v>1</v>
      </c>
      <c r="M605" s="3" t="str">
        <f>PROPER(CONCATENATE(Table13[[#This Row],[First_Name]], Table13[[#This Row],[Last_Name]]))</f>
        <v>Charliemiller</v>
      </c>
      <c r="N605" s="3" t="str">
        <f t="shared" si="9"/>
        <v>Aug</v>
      </c>
      <c r="O605" s="3" t="str">
        <f>TEXT(Table13[[#This Row],[Join_Date]],"yyyy")</f>
        <v>2024</v>
      </c>
      <c r="P605" s="3" t="str">
        <f>LEFT('Main Project Raw Data'!E605,FIND("-",'Main Project Raw Data'!E605)-1)</f>
        <v>HR</v>
      </c>
      <c r="Q605" s="3" t="str">
        <f>RIGHT('Main Project Raw Data'!E605,LEN('Main Project Raw Data'!E605)-FIND("-",'Main Project Raw Data'!E605))</f>
        <v>Texas</v>
      </c>
    </row>
    <row r="606" spans="1:17" x14ac:dyDescent="0.3">
      <c r="A606" s="3" t="str">
        <f>TRIM(Table1[[#This Row],[Employee_ID]])</f>
        <v>EMP1604</v>
      </c>
      <c r="B606" s="3" t="str">
        <f>TRIM(Table1[[#This Row],[First_Name]])</f>
        <v>Frank</v>
      </c>
      <c r="C606" s="3" t="str">
        <f>TRIM(Table1[[#This Row],[Last_Name]])</f>
        <v>Davis</v>
      </c>
      <c r="D606" s="3">
        <f>IF(Table1[[#This Row],[Age]]="",AVERAGE(Table1[Age]),Table1[[#This Row],[Age]])</f>
        <v>30</v>
      </c>
      <c r="E606" s="3" t="s">
        <v>85</v>
      </c>
      <c r="F606" s="3" t="s">
        <v>16</v>
      </c>
      <c r="G606" s="5">
        <f>IF(ISNUMBER('Main Project Raw Data'!G606),'Main Project Raw Data'!G606,IF(ISNUMBER(SEARCH("/",'Main Project Raw Data'!G606)),DATE(RIGHT('Main Project Raw Data'!G606,4),LEFT('Main Project Raw Data'!G606,FIND("/",'Main Project Raw Data'!G606)-1),MID('Main Project Raw Data'!G606,FIND("/",'Main Project Raw Data'!G606)+1,2)),DATE(RIGHT('Main Project Raw Data'!G606,4),MID('Main Project Raw Data'!G606,4,2),LEFT('Main Project Raw Data'!G606,2))))</f>
        <v>44891</v>
      </c>
      <c r="H606" s="3">
        <f>IF(Table1[[#This Row],[Salary]]="",AVERAGE(Table1[Salary]),Table1[[#This Row],[Salary]])</f>
        <v>113540.83</v>
      </c>
      <c r="I606" s="3" t="s">
        <v>52</v>
      </c>
      <c r="J606" s="3">
        <f>ABS(Table1[[#This Row],[Phone]])</f>
        <v>1942268652</v>
      </c>
      <c r="K606" s="3" t="str">
        <f>PROPER(TRIM(Table1[[#This Row],[Performance_Score]]))</f>
        <v>Good</v>
      </c>
      <c r="L606" s="3" t="b">
        <f>Table1[[#This Row],[Remote_Work]]</f>
        <v>1</v>
      </c>
      <c r="M606" s="3" t="str">
        <f>PROPER(CONCATENATE(Table13[[#This Row],[First_Name]], Table13[[#This Row],[Last_Name]]))</f>
        <v>Frankdavis</v>
      </c>
      <c r="N606" s="3" t="str">
        <f t="shared" si="9"/>
        <v>Nov</v>
      </c>
      <c r="O606" s="3" t="str">
        <f>TEXT(Table13[[#This Row],[Join_Date]],"yyyy")</f>
        <v>2022</v>
      </c>
      <c r="P606" s="3" t="str">
        <f>LEFT('Main Project Raw Data'!E606,FIND("-",'Main Project Raw Data'!E606)-1)</f>
        <v>Cloud Tech</v>
      </c>
      <c r="Q606" s="3" t="str">
        <f>RIGHT('Main Project Raw Data'!E606,LEN('Main Project Raw Data'!E606)-FIND("-",'Main Project Raw Data'!E606))</f>
        <v>Nevada</v>
      </c>
    </row>
    <row r="607" spans="1:17" x14ac:dyDescent="0.3">
      <c r="A607" s="3" t="str">
        <f>TRIM(Table1[[#This Row],[Employee_ID]])</f>
        <v>EMP1605</v>
      </c>
      <c r="B607" s="3" t="str">
        <f>TRIM(Table1[[#This Row],[First_Name]])</f>
        <v>Heidi</v>
      </c>
      <c r="C607" s="3" t="str">
        <f>TRIM(Table1[[#This Row],[Last_Name]])</f>
        <v>Williams</v>
      </c>
      <c r="D607" s="3">
        <f>IF(Table1[[#This Row],[Age]]="",AVERAGE(Table1[Age]),Table1[[#This Row],[Age]])</f>
        <v>40</v>
      </c>
      <c r="E607" s="3" t="s">
        <v>159</v>
      </c>
      <c r="F607" s="3" t="s">
        <v>28</v>
      </c>
      <c r="G607" s="5">
        <f>IF(ISNUMBER('Main Project Raw Data'!G607),'Main Project Raw Data'!G607,IF(ISNUMBER(SEARCH("/",'Main Project Raw Data'!G607)),DATE(RIGHT('Main Project Raw Data'!G607,4),LEFT('Main Project Raw Data'!G607,FIND("/",'Main Project Raw Data'!G607)-1),MID('Main Project Raw Data'!G607,FIND("/",'Main Project Raw Data'!G607)+1,2)),DATE(RIGHT('Main Project Raw Data'!G607,4),MID('Main Project Raw Data'!G607,4,2),LEFT('Main Project Raw Data'!G607,2))))</f>
        <v>44494</v>
      </c>
      <c r="H607" s="3">
        <f>IF(Table1[[#This Row],[Salary]]="",AVERAGE(Table1[Salary]),Table1[[#This Row],[Salary]])</f>
        <v>57225.75</v>
      </c>
      <c r="I607" s="3" t="s">
        <v>67</v>
      </c>
      <c r="J607" s="3">
        <f>ABS(Table1[[#This Row],[Phone]])</f>
        <v>6945515887</v>
      </c>
      <c r="K607" s="3" t="str">
        <f>PROPER(TRIM(Table1[[#This Row],[Performance_Score]]))</f>
        <v>Average</v>
      </c>
      <c r="L607" s="3" t="b">
        <f>Table1[[#This Row],[Remote_Work]]</f>
        <v>1</v>
      </c>
      <c r="M607" s="3" t="str">
        <f>PROPER(CONCATENATE(Table13[[#This Row],[First_Name]], Table13[[#This Row],[Last_Name]]))</f>
        <v>Heidiwilliams</v>
      </c>
      <c r="N607" s="3" t="str">
        <f t="shared" si="9"/>
        <v>Oct</v>
      </c>
      <c r="O607" s="3" t="str">
        <f>TEXT(Table13[[#This Row],[Join_Date]],"yyyy")</f>
        <v>2021</v>
      </c>
      <c r="P607" s="3" t="str">
        <f>LEFT('Main Project Raw Data'!E607,FIND("-",'Main Project Raw Data'!E607)-1)</f>
        <v>Cloud Tech</v>
      </c>
      <c r="Q607" s="3" t="str">
        <f>RIGHT('Main Project Raw Data'!E607,LEN('Main Project Raw Data'!E607)-FIND("-",'Main Project Raw Data'!E607))</f>
        <v>Texas</v>
      </c>
    </row>
    <row r="608" spans="1:17" x14ac:dyDescent="0.3">
      <c r="A608" s="3" t="str">
        <f>TRIM(Table1[[#This Row],[Employee_ID]])</f>
        <v>EMP1606</v>
      </c>
      <c r="B608" s="3" t="str">
        <f>TRIM(Table1[[#This Row],[First_Name]])</f>
        <v>Eva</v>
      </c>
      <c r="C608" s="3" t="str">
        <f>TRIM(Table1[[#This Row],[Last_Name]])</f>
        <v>Davis</v>
      </c>
      <c r="D608" s="3">
        <f>IF(Table1[[#This Row],[Age]]="",AVERAGE(Table1[Age]),Table1[[#This Row],[Age]])</f>
        <v>35</v>
      </c>
      <c r="E608" s="3" t="s">
        <v>98</v>
      </c>
      <c r="F608" s="3" t="s">
        <v>28</v>
      </c>
      <c r="G608" s="5">
        <f>IF(ISNUMBER('Main Project Raw Data'!G608),'Main Project Raw Data'!G608,IF(ISNUMBER(SEARCH("/",'Main Project Raw Data'!G608)),DATE(RIGHT('Main Project Raw Data'!G608,4),LEFT('Main Project Raw Data'!G608,FIND("/",'Main Project Raw Data'!G608)-1),MID('Main Project Raw Data'!G608,FIND("/",'Main Project Raw Data'!G608)+1,2)),DATE(RIGHT('Main Project Raw Data'!G608,4),MID('Main Project Raw Data'!G608,4,2),LEFT('Main Project Raw Data'!G608,2))))</f>
        <v>44187</v>
      </c>
      <c r="H608" s="3">
        <f>IF(Table1[[#This Row],[Salary]]="",AVERAGE(Table1[Salary]),Table1[[#This Row],[Salary]])</f>
        <v>76366.17</v>
      </c>
      <c r="I608" s="3" t="s">
        <v>35</v>
      </c>
      <c r="J608" s="3">
        <f>ABS(Table1[[#This Row],[Phone]])</f>
        <v>6367747225</v>
      </c>
      <c r="K608" s="3" t="str">
        <f>PROPER(TRIM(Table1[[#This Row],[Performance_Score]]))</f>
        <v>Excellent</v>
      </c>
      <c r="L608" s="3" t="b">
        <f>Table1[[#This Row],[Remote_Work]]</f>
        <v>0</v>
      </c>
      <c r="M608" s="3" t="str">
        <f>PROPER(CONCATENATE(Table13[[#This Row],[First_Name]], Table13[[#This Row],[Last_Name]]))</f>
        <v>Evadavis</v>
      </c>
      <c r="N608" s="3" t="str">
        <f t="shared" si="9"/>
        <v>Dec</v>
      </c>
      <c r="O608" s="3" t="str">
        <f>TEXT(Table13[[#This Row],[Join_Date]],"yyyy")</f>
        <v>2020</v>
      </c>
      <c r="P608" s="3" t="str">
        <f>LEFT('Main Project Raw Data'!E608,FIND("-",'Main Project Raw Data'!E608)-1)</f>
        <v>Sales</v>
      </c>
      <c r="Q608" s="3" t="str">
        <f>RIGHT('Main Project Raw Data'!E608,LEN('Main Project Raw Data'!E608)-FIND("-",'Main Project Raw Data'!E608))</f>
        <v>Illinois</v>
      </c>
    </row>
    <row r="609" spans="1:17" x14ac:dyDescent="0.3">
      <c r="A609" s="3" t="str">
        <f>TRIM(Table1[[#This Row],[Employee_ID]])</f>
        <v>EMP1607</v>
      </c>
      <c r="B609" s="3" t="str">
        <f>TRIM(Table1[[#This Row],[First_Name]])</f>
        <v>Bob</v>
      </c>
      <c r="C609" s="3" t="str">
        <f>TRIM(Table1[[#This Row],[Last_Name]])</f>
        <v>Garcia</v>
      </c>
      <c r="D609" s="3">
        <f>IF(Table1[[#This Row],[Age]]="",AVERAGE(Table1[Age]),Table1[[#This Row],[Age]])</f>
        <v>32.484548825710753</v>
      </c>
      <c r="E609" s="3" t="s">
        <v>212</v>
      </c>
      <c r="F609" s="3" t="s">
        <v>16</v>
      </c>
      <c r="G609" s="5">
        <f>IF(ISNUMBER('Main Project Raw Data'!G609),'Main Project Raw Data'!G609,IF(ISNUMBER(SEARCH("/",'Main Project Raw Data'!G609)),DATE(RIGHT('Main Project Raw Data'!G609,4),LEFT('Main Project Raw Data'!G609,FIND("/",'Main Project Raw Data'!G609)-1),MID('Main Project Raw Data'!G609,FIND("/",'Main Project Raw Data'!G609)+1,2)),DATE(RIGHT('Main Project Raw Data'!G609,4),MID('Main Project Raw Data'!G609,4,2),LEFT('Main Project Raw Data'!G609,2))))</f>
        <v>44888</v>
      </c>
      <c r="H609" s="3">
        <f>IF(Table1[[#This Row],[Salary]]="",AVERAGE(Table1[Salary]),Table1[[#This Row],[Salary]])</f>
        <v>78408.95</v>
      </c>
      <c r="I609" s="3" t="s">
        <v>153</v>
      </c>
      <c r="J609" s="3">
        <f>ABS(Table1[[#This Row],[Phone]])</f>
        <v>4085721695</v>
      </c>
      <c r="K609" s="3" t="str">
        <f>PROPER(TRIM(Table1[[#This Row],[Performance_Score]]))</f>
        <v>Excellent</v>
      </c>
      <c r="L609" s="3" t="b">
        <f>Table1[[#This Row],[Remote_Work]]</f>
        <v>1</v>
      </c>
      <c r="M609" s="3" t="str">
        <f>PROPER(CONCATENATE(Table13[[#This Row],[First_Name]], Table13[[#This Row],[Last_Name]]))</f>
        <v>Bobgarcia</v>
      </c>
      <c r="N609" s="3" t="str">
        <f t="shared" si="9"/>
        <v>Nov</v>
      </c>
      <c r="O609" s="3" t="str">
        <f>TEXT(Table13[[#This Row],[Join_Date]],"yyyy")</f>
        <v>2022</v>
      </c>
      <c r="P609" s="3" t="str">
        <f>LEFT('Main Project Raw Data'!E609,FIND("-",'Main Project Raw Data'!E609)-1)</f>
        <v>HR</v>
      </c>
      <c r="Q609" s="3" t="str">
        <f>RIGHT('Main Project Raw Data'!E609,LEN('Main Project Raw Data'!E609)-FIND("-",'Main Project Raw Data'!E609))</f>
        <v>Florida</v>
      </c>
    </row>
    <row r="610" spans="1:17" x14ac:dyDescent="0.3">
      <c r="A610" s="3" t="str">
        <f>TRIM(Table1[[#This Row],[Employee_ID]])</f>
        <v>EMP1608</v>
      </c>
      <c r="B610" s="3" t="str">
        <f>TRIM(Table1[[#This Row],[First_Name]])</f>
        <v>Frank</v>
      </c>
      <c r="C610" s="3" t="str">
        <f>TRIM(Table1[[#This Row],[Last_Name]])</f>
        <v>Brown</v>
      </c>
      <c r="D610" s="3">
        <f>IF(Table1[[#This Row],[Age]]="",AVERAGE(Table1[Age]),Table1[[#This Row],[Age]])</f>
        <v>40</v>
      </c>
      <c r="E610" s="3" t="s">
        <v>265</v>
      </c>
      <c r="F610" s="3" t="s">
        <v>16</v>
      </c>
      <c r="G610" s="5">
        <f>IF(ISNUMBER('Main Project Raw Data'!G610),'Main Project Raw Data'!G610,IF(ISNUMBER(SEARCH("/",'Main Project Raw Data'!G610)),DATE(RIGHT('Main Project Raw Data'!G610,4),LEFT('Main Project Raw Data'!G610,FIND("/",'Main Project Raw Data'!G610)-1),MID('Main Project Raw Data'!G610,FIND("/",'Main Project Raw Data'!G610)+1,2)),DATE(RIGHT('Main Project Raw Data'!G610,4),MID('Main Project Raw Data'!G610,4,2),LEFT('Main Project Raw Data'!G610,2))))</f>
        <v>44858</v>
      </c>
      <c r="H610" s="3">
        <f>IF(Table1[[#This Row],[Salary]]="",AVERAGE(Table1[Salary]),Table1[[#This Row],[Salary]])</f>
        <v>111742.39999999999</v>
      </c>
      <c r="I610" s="3" t="s">
        <v>239</v>
      </c>
      <c r="J610" s="3">
        <f>ABS(Table1[[#This Row],[Phone]])</f>
        <v>6630932997</v>
      </c>
      <c r="K610" s="3" t="str">
        <f>PROPER(TRIM(Table1[[#This Row],[Performance_Score]]))</f>
        <v>Average</v>
      </c>
      <c r="L610" s="3" t="b">
        <f>Table1[[#This Row],[Remote_Work]]</f>
        <v>1</v>
      </c>
      <c r="M610" s="3" t="str">
        <f>PROPER(CONCATENATE(Table13[[#This Row],[First_Name]], Table13[[#This Row],[Last_Name]]))</f>
        <v>Frankbrown</v>
      </c>
      <c r="N610" s="3" t="str">
        <f t="shared" si="9"/>
        <v>Oct</v>
      </c>
      <c r="O610" s="3" t="str">
        <f>TEXT(Table13[[#This Row],[Join_Date]],"yyyy")</f>
        <v>2022</v>
      </c>
      <c r="P610" s="3" t="str">
        <f>LEFT('Main Project Raw Data'!E610,FIND("-",'Main Project Raw Data'!E610)-1)</f>
        <v>Finance</v>
      </c>
      <c r="Q610" s="3" t="str">
        <f>RIGHT('Main Project Raw Data'!E610,LEN('Main Project Raw Data'!E610)-FIND("-",'Main Project Raw Data'!E610))</f>
        <v>Illinois</v>
      </c>
    </row>
    <row r="611" spans="1:17" x14ac:dyDescent="0.3">
      <c r="A611" s="3" t="str">
        <f>TRIM(Table1[[#This Row],[Employee_ID]])</f>
        <v>EMP1609</v>
      </c>
      <c r="B611" s="3" t="str">
        <f>TRIM(Table1[[#This Row],[First_Name]])</f>
        <v>David</v>
      </c>
      <c r="C611" s="3" t="str">
        <f>TRIM(Table1[[#This Row],[Last_Name]])</f>
        <v>Garcia</v>
      </c>
      <c r="D611" s="3">
        <f>IF(Table1[[#This Row],[Age]]="",AVERAGE(Table1[Age]),Table1[[#This Row],[Age]])</f>
        <v>25</v>
      </c>
      <c r="E611" s="3" t="s">
        <v>219</v>
      </c>
      <c r="F611" s="3" t="s">
        <v>33</v>
      </c>
      <c r="G611" s="5">
        <f>IF(ISNUMBER('Main Project Raw Data'!G611),'Main Project Raw Data'!G611,IF(ISNUMBER(SEARCH("/",'Main Project Raw Data'!G611)),DATE(RIGHT('Main Project Raw Data'!G611,4),LEFT('Main Project Raw Data'!G611,FIND("/",'Main Project Raw Data'!G611)-1),MID('Main Project Raw Data'!G611,FIND("/",'Main Project Raw Data'!G611)+1,2)),DATE(RIGHT('Main Project Raw Data'!G611,4),MID('Main Project Raw Data'!G611,4,2),LEFT('Main Project Raw Data'!G611,2))))</f>
        <v>44442</v>
      </c>
      <c r="H611" s="3">
        <f>IF(Table1[[#This Row],[Salary]]="",AVERAGE(Table1[Salary]),Table1[[#This Row],[Salary]])</f>
        <v>60516.83</v>
      </c>
      <c r="I611" s="3" t="s">
        <v>101</v>
      </c>
      <c r="J611" s="3">
        <f>ABS(Table1[[#This Row],[Phone]])</f>
        <v>1996059328</v>
      </c>
      <c r="K611" s="3" t="str">
        <f>PROPER(TRIM(Table1[[#This Row],[Performance_Score]]))</f>
        <v>Good</v>
      </c>
      <c r="L611" s="3" t="b">
        <f>Table1[[#This Row],[Remote_Work]]</f>
        <v>0</v>
      </c>
      <c r="M611" s="3" t="str">
        <f>PROPER(CONCATENATE(Table13[[#This Row],[First_Name]], Table13[[#This Row],[Last_Name]]))</f>
        <v>Davidgarcia</v>
      </c>
      <c r="N611" s="3" t="str">
        <f t="shared" si="9"/>
        <v>Sep</v>
      </c>
      <c r="O611" s="3" t="str">
        <f>TEXT(Table13[[#This Row],[Join_Date]],"yyyy")</f>
        <v>2021</v>
      </c>
      <c r="P611" s="3" t="str">
        <f>LEFT('Main Project Raw Data'!E611,FIND("-",'Main Project Raw Data'!E611)-1)</f>
        <v>Sales</v>
      </c>
      <c r="Q611" s="3" t="str">
        <f>RIGHT('Main Project Raw Data'!E611,LEN('Main Project Raw Data'!E611)-FIND("-",'Main Project Raw Data'!E611))</f>
        <v>Nevada</v>
      </c>
    </row>
    <row r="612" spans="1:17" x14ac:dyDescent="0.3">
      <c r="A612" s="3" t="str">
        <f>TRIM(Table1[[#This Row],[Employee_ID]])</f>
        <v>EMP1610</v>
      </c>
      <c r="B612" s="3" t="str">
        <f>TRIM(Table1[[#This Row],[First_Name]])</f>
        <v>Bob</v>
      </c>
      <c r="C612" s="3" t="str">
        <f>TRIM(Table1[[#This Row],[Last_Name]])</f>
        <v>Jones</v>
      </c>
      <c r="D612" s="3">
        <f>IF(Table1[[#This Row],[Age]]="",AVERAGE(Table1[Age]),Table1[[#This Row],[Age]])</f>
        <v>30</v>
      </c>
      <c r="E612" s="3" t="s">
        <v>70</v>
      </c>
      <c r="F612" s="3" t="s">
        <v>28</v>
      </c>
      <c r="G612" s="5">
        <f>IF(ISNUMBER('Main Project Raw Data'!G612),'Main Project Raw Data'!G612,IF(ISNUMBER(SEARCH("/",'Main Project Raw Data'!G612)),DATE(RIGHT('Main Project Raw Data'!G612,4),LEFT('Main Project Raw Data'!G612,FIND("/",'Main Project Raw Data'!G612)-1),MID('Main Project Raw Data'!G612,FIND("/",'Main Project Raw Data'!G612)+1,2)),DATE(RIGHT('Main Project Raw Data'!G612,4),MID('Main Project Raw Data'!G612,4,2),LEFT('Main Project Raw Data'!G612,2))))</f>
        <v>44063</v>
      </c>
      <c r="H612" s="3">
        <f>IF(Table1[[#This Row],[Salary]]="",AVERAGE(Table1[Salary]),Table1[[#This Row],[Salary]])</f>
        <v>83706.17</v>
      </c>
      <c r="I612" s="3" t="s">
        <v>50</v>
      </c>
      <c r="J612" s="3">
        <f>ABS(Table1[[#This Row],[Phone]])</f>
        <v>7150968831</v>
      </c>
      <c r="K612" s="3" t="str">
        <f>PROPER(TRIM(Table1[[#This Row],[Performance_Score]]))</f>
        <v>Average</v>
      </c>
      <c r="L612" s="3" t="b">
        <f>Table1[[#This Row],[Remote_Work]]</f>
        <v>0</v>
      </c>
      <c r="M612" s="3" t="str">
        <f>PROPER(CONCATENATE(Table13[[#This Row],[First_Name]], Table13[[#This Row],[Last_Name]]))</f>
        <v>Bobjones</v>
      </c>
      <c r="N612" s="3" t="str">
        <f t="shared" si="9"/>
        <v>Aug</v>
      </c>
      <c r="O612" s="3" t="str">
        <f>TEXT(Table13[[#This Row],[Join_Date]],"yyyy")</f>
        <v>2020</v>
      </c>
      <c r="P612" s="3" t="str">
        <f>LEFT('Main Project Raw Data'!E612,FIND("-",'Main Project Raw Data'!E612)-1)</f>
        <v>Finance</v>
      </c>
      <c r="Q612" s="3" t="str">
        <f>RIGHT('Main Project Raw Data'!E612,LEN('Main Project Raw Data'!E612)-FIND("-",'Main Project Raw Data'!E612))</f>
        <v>California</v>
      </c>
    </row>
    <row r="613" spans="1:17" x14ac:dyDescent="0.3">
      <c r="A613" s="3" t="str">
        <f>TRIM(Table1[[#This Row],[Employee_ID]])</f>
        <v>EMP1611</v>
      </c>
      <c r="B613" s="3" t="str">
        <f>TRIM(Table1[[#This Row],[First_Name]])</f>
        <v>David</v>
      </c>
      <c r="C613" s="3" t="str">
        <f>TRIM(Table1[[#This Row],[Last_Name]])</f>
        <v>Johnson</v>
      </c>
      <c r="D613" s="3">
        <f>IF(Table1[[#This Row],[Age]]="",AVERAGE(Table1[Age]),Table1[[#This Row],[Age]])</f>
        <v>32.484548825710753</v>
      </c>
      <c r="E613" s="3" t="s">
        <v>27</v>
      </c>
      <c r="F613" s="3" t="s">
        <v>33</v>
      </c>
      <c r="G613" s="5">
        <f>IF(ISNUMBER('Main Project Raw Data'!G613),'Main Project Raw Data'!G613,IF(ISNUMBER(SEARCH("/",'Main Project Raw Data'!G613)),DATE(RIGHT('Main Project Raw Data'!G613,4),LEFT('Main Project Raw Data'!G613,FIND("/",'Main Project Raw Data'!G613)-1),MID('Main Project Raw Data'!G613,FIND("/",'Main Project Raw Data'!G613)+1,2)),DATE(RIGHT('Main Project Raw Data'!G613,4),MID('Main Project Raw Data'!G613,4,2),LEFT('Main Project Raw Data'!G613,2))))</f>
        <v>43876</v>
      </c>
      <c r="H613" s="3">
        <f>IF(Table1[[#This Row],[Salary]]="",AVERAGE(Table1[Salary]),Table1[[#This Row],[Salary]])</f>
        <v>67056.92</v>
      </c>
      <c r="I613" s="3" t="s">
        <v>217</v>
      </c>
      <c r="J613" s="3">
        <f>ABS(Table1[[#This Row],[Phone]])</f>
        <v>7532735240</v>
      </c>
      <c r="K613" s="3" t="str">
        <f>PROPER(TRIM(Table1[[#This Row],[Performance_Score]]))</f>
        <v>Average</v>
      </c>
      <c r="L613" s="3" t="b">
        <f>Table1[[#This Row],[Remote_Work]]</f>
        <v>1</v>
      </c>
      <c r="M613" s="3" t="str">
        <f>PROPER(CONCATENATE(Table13[[#This Row],[First_Name]], Table13[[#This Row],[Last_Name]]))</f>
        <v>Davidjohnson</v>
      </c>
      <c r="N613" s="3" t="str">
        <f t="shared" si="9"/>
        <v>Feb</v>
      </c>
      <c r="O613" s="3" t="str">
        <f>TEXT(Table13[[#This Row],[Join_Date]],"yyyy")</f>
        <v>2020</v>
      </c>
      <c r="P613" s="3" t="str">
        <f>LEFT('Main Project Raw Data'!E613,FIND("-",'Main Project Raw Data'!E613)-1)</f>
        <v>Admin</v>
      </c>
      <c r="Q613" s="3" t="str">
        <f>RIGHT('Main Project Raw Data'!E613,LEN('Main Project Raw Data'!E613)-FIND("-",'Main Project Raw Data'!E613))</f>
        <v>Nevada</v>
      </c>
    </row>
    <row r="614" spans="1:17" x14ac:dyDescent="0.3">
      <c r="A614" s="3" t="str">
        <f>TRIM(Table1[[#This Row],[Employee_ID]])</f>
        <v>EMP1612</v>
      </c>
      <c r="B614" s="3" t="str">
        <f>TRIM(Table1[[#This Row],[First_Name]])</f>
        <v>Charlie</v>
      </c>
      <c r="C614" s="3" t="str">
        <f>TRIM(Table1[[#This Row],[Last_Name]])</f>
        <v>Brown</v>
      </c>
      <c r="D614" s="3">
        <f>IF(Table1[[#This Row],[Age]]="",AVERAGE(Table1[Age]),Table1[[#This Row],[Age]])</f>
        <v>30</v>
      </c>
      <c r="E614" s="3" t="s">
        <v>78</v>
      </c>
      <c r="F614" s="3" t="s">
        <v>16</v>
      </c>
      <c r="G614" s="5">
        <f>IF(ISNUMBER('Main Project Raw Data'!G614),'Main Project Raw Data'!G614,IF(ISNUMBER(SEARCH("/",'Main Project Raw Data'!G614)),DATE(RIGHT('Main Project Raw Data'!G614,4),LEFT('Main Project Raw Data'!G614,FIND("/",'Main Project Raw Data'!G614)-1),MID('Main Project Raw Data'!G614,FIND("/",'Main Project Raw Data'!G614)+1,2)),DATE(RIGHT('Main Project Raw Data'!G614,4),MID('Main Project Raw Data'!G614,4,2),LEFT('Main Project Raw Data'!G614,2))))</f>
        <v>45655</v>
      </c>
      <c r="H614" s="3">
        <f>IF(Table1[[#This Row],[Salary]]="",AVERAGE(Table1[Salary]),Table1[[#This Row],[Salary]])</f>
        <v>90058.85</v>
      </c>
      <c r="I614" s="3" t="s">
        <v>125</v>
      </c>
      <c r="J614" s="3">
        <f>ABS(Table1[[#This Row],[Phone]])</f>
        <v>397739731</v>
      </c>
      <c r="K614" s="3" t="str">
        <f>PROPER(TRIM(Table1[[#This Row],[Performance_Score]]))</f>
        <v>Poor</v>
      </c>
      <c r="L614" s="3" t="b">
        <f>Table1[[#This Row],[Remote_Work]]</f>
        <v>0</v>
      </c>
      <c r="M614" s="3" t="str">
        <f>PROPER(CONCATENATE(Table13[[#This Row],[First_Name]], Table13[[#This Row],[Last_Name]]))</f>
        <v>Charliebrown</v>
      </c>
      <c r="N614" s="3" t="str">
        <f t="shared" si="9"/>
        <v>Dec</v>
      </c>
      <c r="O614" s="3" t="str">
        <f>TEXT(Table13[[#This Row],[Join_Date]],"yyyy")</f>
        <v>2024</v>
      </c>
      <c r="P614" s="3" t="str">
        <f>LEFT('Main Project Raw Data'!E614,FIND("-",'Main Project Raw Data'!E614)-1)</f>
        <v>DevOps</v>
      </c>
      <c r="Q614" s="3" t="str">
        <f>RIGHT('Main Project Raw Data'!E614,LEN('Main Project Raw Data'!E614)-FIND("-",'Main Project Raw Data'!E614))</f>
        <v>Illinois</v>
      </c>
    </row>
    <row r="615" spans="1:17" x14ac:dyDescent="0.3">
      <c r="A615" s="3" t="str">
        <f>TRIM(Table1[[#This Row],[Employee_ID]])</f>
        <v>EMP1613</v>
      </c>
      <c r="B615" s="3" t="str">
        <f>TRIM(Table1[[#This Row],[First_Name]])</f>
        <v>Eva</v>
      </c>
      <c r="C615" s="3" t="str">
        <f>TRIM(Table1[[#This Row],[Last_Name]])</f>
        <v>Johnson</v>
      </c>
      <c r="D615" s="3">
        <f>IF(Table1[[#This Row],[Age]]="",AVERAGE(Table1[Age]),Table1[[#This Row],[Age]])</f>
        <v>30</v>
      </c>
      <c r="E615" s="3" t="s">
        <v>74</v>
      </c>
      <c r="F615" s="3" t="s">
        <v>28</v>
      </c>
      <c r="G615" s="5">
        <f>IF(ISNUMBER('Main Project Raw Data'!G615),'Main Project Raw Data'!G615,IF(ISNUMBER(SEARCH("/",'Main Project Raw Data'!G615)),DATE(RIGHT('Main Project Raw Data'!G615,4),LEFT('Main Project Raw Data'!G615,FIND("/",'Main Project Raw Data'!G615)-1),MID('Main Project Raw Data'!G615,FIND("/",'Main Project Raw Data'!G615)+1,2)),DATE(RIGHT('Main Project Raw Data'!G615,4),MID('Main Project Raw Data'!G615,4,2),LEFT('Main Project Raw Data'!G615,2))))</f>
        <v>44985</v>
      </c>
      <c r="H615" s="3">
        <f>IF(Table1[[#This Row],[Salary]]="",AVERAGE(Table1[Salary]),Table1[[#This Row],[Salary]])</f>
        <v>94633.59</v>
      </c>
      <c r="I615" s="3" t="s">
        <v>322</v>
      </c>
      <c r="J615" s="3">
        <f>ABS(Table1[[#This Row],[Phone]])</f>
        <v>7819523709</v>
      </c>
      <c r="K615" s="3" t="str">
        <f>PROPER(TRIM(Table1[[#This Row],[Performance_Score]]))</f>
        <v>Average</v>
      </c>
      <c r="L615" s="3" t="b">
        <f>Table1[[#This Row],[Remote_Work]]</f>
        <v>1</v>
      </c>
      <c r="M615" s="3" t="str">
        <f>PROPER(CONCATENATE(Table13[[#This Row],[First_Name]], Table13[[#This Row],[Last_Name]]))</f>
        <v>Evajohnson</v>
      </c>
      <c r="N615" s="3" t="str">
        <f t="shared" si="9"/>
        <v>Feb</v>
      </c>
      <c r="O615" s="3" t="str">
        <f>TEXT(Table13[[#This Row],[Join_Date]],"yyyy")</f>
        <v>2023</v>
      </c>
      <c r="P615" s="3" t="str">
        <f>LEFT('Main Project Raw Data'!E615,FIND("-",'Main Project Raw Data'!E615)-1)</f>
        <v>Sales</v>
      </c>
      <c r="Q615" s="3" t="str">
        <f>RIGHT('Main Project Raw Data'!E615,LEN('Main Project Raw Data'!E615)-FIND("-",'Main Project Raw Data'!E615))</f>
        <v>Florida</v>
      </c>
    </row>
    <row r="616" spans="1:17" x14ac:dyDescent="0.3">
      <c r="A616" s="3" t="str">
        <f>TRIM(Table1[[#This Row],[Employee_ID]])</f>
        <v>EMP1614</v>
      </c>
      <c r="B616" s="3" t="str">
        <f>TRIM(Table1[[#This Row],[First_Name]])</f>
        <v>Eva</v>
      </c>
      <c r="C616" s="3" t="str">
        <f>TRIM(Table1[[#This Row],[Last_Name]])</f>
        <v>Miller</v>
      </c>
      <c r="D616" s="3">
        <f>IF(Table1[[#This Row],[Age]]="",AVERAGE(Table1[Age]),Table1[[#This Row],[Age]])</f>
        <v>25</v>
      </c>
      <c r="E616" s="3" t="s">
        <v>205</v>
      </c>
      <c r="F616" s="3" t="s">
        <v>28</v>
      </c>
      <c r="G616" s="5">
        <f>IF(ISNUMBER('Main Project Raw Data'!G616),'Main Project Raw Data'!G616,IF(ISNUMBER(SEARCH("/",'Main Project Raw Data'!G616)),DATE(RIGHT('Main Project Raw Data'!G616,4),LEFT('Main Project Raw Data'!G616,FIND("/",'Main Project Raw Data'!G616)-1),MID('Main Project Raw Data'!G616,FIND("/",'Main Project Raw Data'!G616)+1,2)),DATE(RIGHT('Main Project Raw Data'!G616,4),MID('Main Project Raw Data'!G616,4,2),LEFT('Main Project Raw Data'!G616,2))))</f>
        <v>44796</v>
      </c>
      <c r="H616" s="3">
        <f>IF(Table1[[#This Row],[Salary]]="",AVERAGE(Table1[Salary]),Table1[[#This Row],[Salary]])</f>
        <v>110711.17</v>
      </c>
      <c r="I616" s="3" t="s">
        <v>263</v>
      </c>
      <c r="J616" s="3">
        <f>ABS(Table1[[#This Row],[Phone]])</f>
        <v>687616480</v>
      </c>
      <c r="K616" s="3" t="str">
        <f>PROPER(TRIM(Table1[[#This Row],[Performance_Score]]))</f>
        <v>Excellent</v>
      </c>
      <c r="L616" s="3" t="b">
        <f>Table1[[#This Row],[Remote_Work]]</f>
        <v>1</v>
      </c>
      <c r="M616" s="3" t="str">
        <f>PROPER(CONCATENATE(Table13[[#This Row],[First_Name]], Table13[[#This Row],[Last_Name]]))</f>
        <v>Evamiller</v>
      </c>
      <c r="N616" s="3" t="str">
        <f t="shared" si="9"/>
        <v>Aug</v>
      </c>
      <c r="O616" s="3" t="str">
        <f>TEXT(Table13[[#This Row],[Join_Date]],"yyyy")</f>
        <v>2022</v>
      </c>
      <c r="P616" s="3" t="str">
        <f>LEFT('Main Project Raw Data'!E616,FIND("-",'Main Project Raw Data'!E616)-1)</f>
        <v>Admin</v>
      </c>
      <c r="Q616" s="3" t="str">
        <f>RIGHT('Main Project Raw Data'!E616,LEN('Main Project Raw Data'!E616)-FIND("-",'Main Project Raw Data'!E616))</f>
        <v>Florida</v>
      </c>
    </row>
    <row r="617" spans="1:17" x14ac:dyDescent="0.3">
      <c r="A617" s="3" t="str">
        <f>TRIM(Table1[[#This Row],[Employee_ID]])</f>
        <v>EMP1615</v>
      </c>
      <c r="B617" s="3" t="str">
        <f>TRIM(Table1[[#This Row],[First_Name]])</f>
        <v>Grace</v>
      </c>
      <c r="C617" s="3" t="str">
        <f>TRIM(Table1[[#This Row],[Last_Name]])</f>
        <v>Williams</v>
      </c>
      <c r="D617" s="3">
        <f>IF(Table1[[#This Row],[Age]]="",AVERAGE(Table1[Age]),Table1[[#This Row],[Age]])</f>
        <v>32.484548825710753</v>
      </c>
      <c r="E617" s="3" t="s">
        <v>89</v>
      </c>
      <c r="F617" s="3" t="s">
        <v>16</v>
      </c>
      <c r="G617" s="5">
        <f>IF(ISNUMBER('Main Project Raw Data'!G617),'Main Project Raw Data'!G617,IF(ISNUMBER(SEARCH("/",'Main Project Raw Data'!G617)),DATE(RIGHT('Main Project Raw Data'!G617,4),LEFT('Main Project Raw Data'!G617,FIND("/",'Main Project Raw Data'!G617)-1),MID('Main Project Raw Data'!G617,FIND("/",'Main Project Raw Data'!G617)+1,2)),DATE(RIGHT('Main Project Raw Data'!G617,4),MID('Main Project Raw Data'!G617,4,2),LEFT('Main Project Raw Data'!G617,2))))</f>
        <v>45107</v>
      </c>
      <c r="H617" s="3">
        <f>IF(Table1[[#This Row],[Salary]]="",AVERAGE(Table1[Salary]),Table1[[#This Row],[Salary]])</f>
        <v>96175.41</v>
      </c>
      <c r="I617" s="3" t="s">
        <v>71</v>
      </c>
      <c r="J617" s="3">
        <f>ABS(Table1[[#This Row],[Phone]])</f>
        <v>9807704604</v>
      </c>
      <c r="K617" s="3" t="str">
        <f>PROPER(TRIM(Table1[[#This Row],[Performance_Score]]))</f>
        <v>Average</v>
      </c>
      <c r="L617" s="3" t="b">
        <f>Table1[[#This Row],[Remote_Work]]</f>
        <v>1</v>
      </c>
      <c r="M617" s="3" t="str">
        <f>PROPER(CONCATENATE(Table13[[#This Row],[First_Name]], Table13[[#This Row],[Last_Name]]))</f>
        <v>Gracewilliams</v>
      </c>
      <c r="N617" s="3" t="str">
        <f t="shared" si="9"/>
        <v>Jun</v>
      </c>
      <c r="O617" s="3" t="str">
        <f>TEXT(Table13[[#This Row],[Join_Date]],"yyyy")</f>
        <v>2023</v>
      </c>
      <c r="P617" s="3" t="str">
        <f>LEFT('Main Project Raw Data'!E617,FIND("-",'Main Project Raw Data'!E617)-1)</f>
        <v>Admin</v>
      </c>
      <c r="Q617" s="3" t="str">
        <f>RIGHT('Main Project Raw Data'!E617,LEN('Main Project Raw Data'!E617)-FIND("-",'Main Project Raw Data'!E617))</f>
        <v>Illinois</v>
      </c>
    </row>
    <row r="618" spans="1:17" x14ac:dyDescent="0.3">
      <c r="A618" s="3" t="str">
        <f>TRIM(Table1[[#This Row],[Employee_ID]])</f>
        <v>EMP1616</v>
      </c>
      <c r="B618" s="3" t="str">
        <f>TRIM(Table1[[#This Row],[First_Name]])</f>
        <v>Frank</v>
      </c>
      <c r="C618" s="3" t="str">
        <f>TRIM(Table1[[#This Row],[Last_Name]])</f>
        <v>Smith</v>
      </c>
      <c r="D618" s="3">
        <f>IF(Table1[[#This Row],[Age]]="",AVERAGE(Table1[Age]),Table1[[#This Row],[Age]])</f>
        <v>40</v>
      </c>
      <c r="E618" s="3" t="s">
        <v>98</v>
      </c>
      <c r="F618" s="3" t="s">
        <v>16</v>
      </c>
      <c r="G618" s="5">
        <f>IF(ISNUMBER('Main Project Raw Data'!G618),'Main Project Raw Data'!G618,IF(ISNUMBER(SEARCH("/",'Main Project Raw Data'!G618)),DATE(RIGHT('Main Project Raw Data'!G618,4),LEFT('Main Project Raw Data'!G618,FIND("/",'Main Project Raw Data'!G618)-1),MID('Main Project Raw Data'!G618,FIND("/",'Main Project Raw Data'!G618)+1,2)),DATE(RIGHT('Main Project Raw Data'!G618,4),MID('Main Project Raw Data'!G618,4,2),LEFT('Main Project Raw Data'!G618,2))))</f>
        <v>44301</v>
      </c>
      <c r="H618" s="3">
        <f>IF(Table1[[#This Row],[Salary]]="",AVERAGE(Table1[Salary]),Table1[[#This Row],[Salary]])</f>
        <v>76474.789999999994</v>
      </c>
      <c r="I618" s="3" t="s">
        <v>137</v>
      </c>
      <c r="J618" s="3">
        <f>ABS(Table1[[#This Row],[Phone]])</f>
        <v>6876112490</v>
      </c>
      <c r="K618" s="3" t="str">
        <f>PROPER(TRIM(Table1[[#This Row],[Performance_Score]]))</f>
        <v>Excellent</v>
      </c>
      <c r="L618" s="3" t="b">
        <f>Table1[[#This Row],[Remote_Work]]</f>
        <v>1</v>
      </c>
      <c r="M618" s="3" t="str">
        <f>PROPER(CONCATENATE(Table13[[#This Row],[First_Name]], Table13[[#This Row],[Last_Name]]))</f>
        <v>Franksmith</v>
      </c>
      <c r="N618" s="3" t="str">
        <f t="shared" si="9"/>
        <v>Apr</v>
      </c>
      <c r="O618" s="3" t="str">
        <f>TEXT(Table13[[#This Row],[Join_Date]],"yyyy")</f>
        <v>2021</v>
      </c>
      <c r="P618" s="3" t="str">
        <f>LEFT('Main Project Raw Data'!E618,FIND("-",'Main Project Raw Data'!E618)-1)</f>
        <v>Sales</v>
      </c>
      <c r="Q618" s="3" t="str">
        <f>RIGHT('Main Project Raw Data'!E618,LEN('Main Project Raw Data'!E618)-FIND("-",'Main Project Raw Data'!E618))</f>
        <v>Illinois</v>
      </c>
    </row>
    <row r="619" spans="1:17" x14ac:dyDescent="0.3">
      <c r="A619" s="3" t="str">
        <f>TRIM(Table1[[#This Row],[Employee_ID]])</f>
        <v>EMP1617</v>
      </c>
      <c r="B619" s="3" t="str">
        <f>TRIM(Table1[[#This Row],[First_Name]])</f>
        <v>Alice</v>
      </c>
      <c r="C619" s="3" t="str">
        <f>TRIM(Table1[[#This Row],[Last_Name]])</f>
        <v>Garcia</v>
      </c>
      <c r="D619" s="3">
        <f>IF(Table1[[#This Row],[Age]]="",AVERAGE(Table1[Age]),Table1[[#This Row],[Age]])</f>
        <v>30</v>
      </c>
      <c r="E619" s="3" t="s">
        <v>98</v>
      </c>
      <c r="F619" s="3" t="s">
        <v>28</v>
      </c>
      <c r="G619" s="5">
        <f>IF(ISNUMBER('Main Project Raw Data'!G619),'Main Project Raw Data'!G619,IF(ISNUMBER(SEARCH("/",'Main Project Raw Data'!G619)),DATE(RIGHT('Main Project Raw Data'!G619,4),LEFT('Main Project Raw Data'!G619,FIND("/",'Main Project Raw Data'!G619)-1),MID('Main Project Raw Data'!G619,FIND("/",'Main Project Raw Data'!G619)+1,2)),DATE(RIGHT('Main Project Raw Data'!G619,4),MID('Main Project Raw Data'!G619,4,2),LEFT('Main Project Raw Data'!G619,2))))</f>
        <v>44809</v>
      </c>
      <c r="H619" s="3">
        <f>IF(Table1[[#This Row],[Salary]]="",AVERAGE(Table1[Salary]),Table1[[#This Row],[Salary]])</f>
        <v>107855.99</v>
      </c>
      <c r="I619" s="3" t="s">
        <v>45</v>
      </c>
      <c r="J619" s="3">
        <f>ABS(Table1[[#This Row],[Phone]])</f>
        <v>2565237340</v>
      </c>
      <c r="K619" s="3" t="str">
        <f>PROPER(TRIM(Table1[[#This Row],[Performance_Score]]))</f>
        <v>Excellent</v>
      </c>
      <c r="L619" s="3" t="b">
        <f>Table1[[#This Row],[Remote_Work]]</f>
        <v>0</v>
      </c>
      <c r="M619" s="3" t="str">
        <f>PROPER(CONCATENATE(Table13[[#This Row],[First_Name]], Table13[[#This Row],[Last_Name]]))</f>
        <v>Alicegarcia</v>
      </c>
      <c r="N619" s="3" t="str">
        <f t="shared" si="9"/>
        <v>Sep</v>
      </c>
      <c r="O619" s="3" t="str">
        <f>TEXT(Table13[[#This Row],[Join_Date]],"yyyy")</f>
        <v>2022</v>
      </c>
      <c r="P619" s="3" t="str">
        <f>LEFT('Main Project Raw Data'!E619,FIND("-",'Main Project Raw Data'!E619)-1)</f>
        <v>Sales</v>
      </c>
      <c r="Q619" s="3" t="str">
        <f>RIGHT('Main Project Raw Data'!E619,LEN('Main Project Raw Data'!E619)-FIND("-",'Main Project Raw Data'!E619))</f>
        <v>Illinois</v>
      </c>
    </row>
    <row r="620" spans="1:17" x14ac:dyDescent="0.3">
      <c r="A620" s="3" t="str">
        <f>TRIM(Table1[[#This Row],[Employee_ID]])</f>
        <v>EMP1618</v>
      </c>
      <c r="B620" s="3" t="str">
        <f>TRIM(Table1[[#This Row],[First_Name]])</f>
        <v>Charlie</v>
      </c>
      <c r="C620" s="3" t="str">
        <f>TRIM(Table1[[#This Row],[Last_Name]])</f>
        <v>Davis</v>
      </c>
      <c r="D620" s="3">
        <f>IF(Table1[[#This Row],[Age]]="",AVERAGE(Table1[Age]),Table1[[#This Row],[Age]])</f>
        <v>40</v>
      </c>
      <c r="E620" s="3" t="s">
        <v>98</v>
      </c>
      <c r="F620" s="3" t="s">
        <v>16</v>
      </c>
      <c r="G620" s="5">
        <f>IF(ISNUMBER('Main Project Raw Data'!G620),'Main Project Raw Data'!G620,IF(ISNUMBER(SEARCH("/",'Main Project Raw Data'!G620)),DATE(RIGHT('Main Project Raw Data'!G620,4),LEFT('Main Project Raw Data'!G620,FIND("/",'Main Project Raw Data'!G620)-1),MID('Main Project Raw Data'!G620,FIND("/",'Main Project Raw Data'!G620)+1,2)),DATE(RIGHT('Main Project Raw Data'!G620,4),MID('Main Project Raw Data'!G620,4,2),LEFT('Main Project Raw Data'!G620,2))))</f>
        <v>45334</v>
      </c>
      <c r="H620" s="3">
        <f>IF(Table1[[#This Row],[Salary]]="",AVERAGE(Table1[Salary]),Table1[[#This Row],[Salary]])</f>
        <v>104870.78</v>
      </c>
      <c r="I620" s="3" t="s">
        <v>170</v>
      </c>
      <c r="J620" s="3">
        <f>ABS(Table1[[#This Row],[Phone]])</f>
        <v>5177345474</v>
      </c>
      <c r="K620" s="3" t="str">
        <f>PROPER(TRIM(Table1[[#This Row],[Performance_Score]]))</f>
        <v>Excellent</v>
      </c>
      <c r="L620" s="3" t="b">
        <f>Table1[[#This Row],[Remote_Work]]</f>
        <v>1</v>
      </c>
      <c r="M620" s="3" t="str">
        <f>PROPER(CONCATENATE(Table13[[#This Row],[First_Name]], Table13[[#This Row],[Last_Name]]))</f>
        <v>Charliedavis</v>
      </c>
      <c r="N620" s="3" t="str">
        <f t="shared" si="9"/>
        <v>Feb</v>
      </c>
      <c r="O620" s="3" t="str">
        <f>TEXT(Table13[[#This Row],[Join_Date]],"yyyy")</f>
        <v>2024</v>
      </c>
      <c r="P620" s="3" t="str">
        <f>LEFT('Main Project Raw Data'!E620,FIND("-",'Main Project Raw Data'!E620)-1)</f>
        <v>Sales</v>
      </c>
      <c r="Q620" s="3" t="str">
        <f>RIGHT('Main Project Raw Data'!E620,LEN('Main Project Raw Data'!E620)-FIND("-",'Main Project Raw Data'!E620))</f>
        <v>Illinois</v>
      </c>
    </row>
    <row r="621" spans="1:17" x14ac:dyDescent="0.3">
      <c r="A621" s="3" t="str">
        <f>TRIM(Table1[[#This Row],[Employee_ID]])</f>
        <v>EMP1619</v>
      </c>
      <c r="B621" s="3" t="str">
        <f>TRIM(Table1[[#This Row],[First_Name]])</f>
        <v>Bob</v>
      </c>
      <c r="C621" s="3" t="str">
        <f>TRIM(Table1[[#This Row],[Last_Name]])</f>
        <v>Williams</v>
      </c>
      <c r="D621" s="3">
        <f>IF(Table1[[#This Row],[Age]]="",AVERAGE(Table1[Age]),Table1[[#This Row],[Age]])</f>
        <v>25</v>
      </c>
      <c r="E621" s="3" t="s">
        <v>100</v>
      </c>
      <c r="F621" s="3" t="s">
        <v>16</v>
      </c>
      <c r="G621" s="5">
        <f>IF(ISNUMBER('Main Project Raw Data'!G621),'Main Project Raw Data'!G621,IF(ISNUMBER(SEARCH("/",'Main Project Raw Data'!G621)),DATE(RIGHT('Main Project Raw Data'!G621,4),LEFT('Main Project Raw Data'!G621,FIND("/",'Main Project Raw Data'!G621)-1),MID('Main Project Raw Data'!G621,FIND("/",'Main Project Raw Data'!G621)+1,2)),DATE(RIGHT('Main Project Raw Data'!G621,4),MID('Main Project Raw Data'!G621,4,2),LEFT('Main Project Raw Data'!G621,2))))</f>
        <v>45066</v>
      </c>
      <c r="H621" s="3">
        <f>IF(Table1[[#This Row],[Salary]]="",AVERAGE(Table1[Salary]),Table1[[#This Row],[Salary]])</f>
        <v>85155.056395582287</v>
      </c>
      <c r="I621" s="3" t="s">
        <v>144</v>
      </c>
      <c r="J621" s="3">
        <f>ABS(Table1[[#This Row],[Phone]])</f>
        <v>7494902283</v>
      </c>
      <c r="K621" s="3" t="str">
        <f>PROPER(TRIM(Table1[[#This Row],[Performance_Score]]))</f>
        <v>Good</v>
      </c>
      <c r="L621" s="3" t="b">
        <f>Table1[[#This Row],[Remote_Work]]</f>
        <v>0</v>
      </c>
      <c r="M621" s="3" t="str">
        <f>PROPER(CONCATENATE(Table13[[#This Row],[First_Name]], Table13[[#This Row],[Last_Name]]))</f>
        <v>Bobwilliams</v>
      </c>
      <c r="N621" s="3" t="str">
        <f t="shared" si="9"/>
        <v>May</v>
      </c>
      <c r="O621" s="3" t="str">
        <f>TEXT(Table13[[#This Row],[Join_Date]],"yyyy")</f>
        <v>2023</v>
      </c>
      <c r="P621" s="3" t="str">
        <f>LEFT('Main Project Raw Data'!E621,FIND("-",'Main Project Raw Data'!E621)-1)</f>
        <v>Finance</v>
      </c>
      <c r="Q621" s="3" t="str">
        <f>RIGHT('Main Project Raw Data'!E621,LEN('Main Project Raw Data'!E621)-FIND("-",'Main Project Raw Data'!E621))</f>
        <v>Nevada</v>
      </c>
    </row>
    <row r="622" spans="1:17" x14ac:dyDescent="0.3">
      <c r="A622" s="3" t="str">
        <f>TRIM(Table1[[#This Row],[Employee_ID]])</f>
        <v>EMP1620</v>
      </c>
      <c r="B622" s="3" t="str">
        <f>TRIM(Table1[[#This Row],[First_Name]])</f>
        <v>Grace</v>
      </c>
      <c r="C622" s="3" t="str">
        <f>TRIM(Table1[[#This Row],[Last_Name]])</f>
        <v>Brown</v>
      </c>
      <c r="D622" s="3">
        <f>IF(Table1[[#This Row],[Age]]="",AVERAGE(Table1[Age]),Table1[[#This Row],[Age]])</f>
        <v>32.484548825710753</v>
      </c>
      <c r="E622" s="3" t="s">
        <v>70</v>
      </c>
      <c r="F622" s="3" t="s">
        <v>16</v>
      </c>
      <c r="G622" s="5">
        <f>IF(ISNUMBER('Main Project Raw Data'!G622),'Main Project Raw Data'!G622,IF(ISNUMBER(SEARCH("/",'Main Project Raw Data'!G622)),DATE(RIGHT('Main Project Raw Data'!G622,4),LEFT('Main Project Raw Data'!G622,FIND("/",'Main Project Raw Data'!G622)-1),MID('Main Project Raw Data'!G622,FIND("/",'Main Project Raw Data'!G622)+1,2)),DATE(RIGHT('Main Project Raw Data'!G622,4),MID('Main Project Raw Data'!G622,4,2),LEFT('Main Project Raw Data'!G622,2))))</f>
        <v>45259</v>
      </c>
      <c r="H622" s="3">
        <f>IF(Table1[[#This Row],[Salary]]="",AVERAGE(Table1[Salary]),Table1[[#This Row],[Salary]])</f>
        <v>87087.16</v>
      </c>
      <c r="I622" s="3" t="s">
        <v>201</v>
      </c>
      <c r="J622" s="3">
        <f>ABS(Table1[[#This Row],[Phone]])</f>
        <v>359544293</v>
      </c>
      <c r="K622" s="3" t="str">
        <f>PROPER(TRIM(Table1[[#This Row],[Performance_Score]]))</f>
        <v>Poor</v>
      </c>
      <c r="L622" s="3" t="b">
        <f>Table1[[#This Row],[Remote_Work]]</f>
        <v>0</v>
      </c>
      <c r="M622" s="3" t="str">
        <f>PROPER(CONCATENATE(Table13[[#This Row],[First_Name]], Table13[[#This Row],[Last_Name]]))</f>
        <v>Gracebrown</v>
      </c>
      <c r="N622" s="3" t="str">
        <f t="shared" si="9"/>
        <v>Nov</v>
      </c>
      <c r="O622" s="3" t="str">
        <f>TEXT(Table13[[#This Row],[Join_Date]],"yyyy")</f>
        <v>2023</v>
      </c>
      <c r="P622" s="3" t="str">
        <f>LEFT('Main Project Raw Data'!E622,FIND("-",'Main Project Raw Data'!E622)-1)</f>
        <v>Finance</v>
      </c>
      <c r="Q622" s="3" t="str">
        <f>RIGHT('Main Project Raw Data'!E622,LEN('Main Project Raw Data'!E622)-FIND("-",'Main Project Raw Data'!E622))</f>
        <v>California</v>
      </c>
    </row>
    <row r="623" spans="1:17" x14ac:dyDescent="0.3">
      <c r="A623" s="3" t="str">
        <f>TRIM(Table1[[#This Row],[Employee_ID]])</f>
        <v>EMP1621</v>
      </c>
      <c r="B623" s="3" t="str">
        <f>TRIM(Table1[[#This Row],[First_Name]])</f>
        <v>Heidi</v>
      </c>
      <c r="C623" s="3" t="str">
        <f>TRIM(Table1[[#This Row],[Last_Name]])</f>
        <v>Johnson</v>
      </c>
      <c r="D623" s="3">
        <f>IF(Table1[[#This Row],[Age]]="",AVERAGE(Table1[Age]),Table1[[#This Row],[Age]])</f>
        <v>40</v>
      </c>
      <c r="E623" s="3" t="s">
        <v>192</v>
      </c>
      <c r="F623" s="3" t="s">
        <v>28</v>
      </c>
      <c r="G623" s="5">
        <f>IF(ISNUMBER('Main Project Raw Data'!G623),'Main Project Raw Data'!G623,IF(ISNUMBER(SEARCH("/",'Main Project Raw Data'!G623)),DATE(RIGHT('Main Project Raw Data'!G623,4),LEFT('Main Project Raw Data'!G623,FIND("/",'Main Project Raw Data'!G623)-1),MID('Main Project Raw Data'!G623,FIND("/",'Main Project Raw Data'!G623)+1,2)),DATE(RIGHT('Main Project Raw Data'!G623,4),MID('Main Project Raw Data'!G623,4,2),LEFT('Main Project Raw Data'!G623,2))))</f>
        <v>45508</v>
      </c>
      <c r="H623" s="3">
        <f>IF(Table1[[#This Row],[Salary]]="",AVERAGE(Table1[Salary]),Table1[[#This Row],[Salary]])</f>
        <v>108603.34</v>
      </c>
      <c r="I623" s="3" t="s">
        <v>113</v>
      </c>
      <c r="J623" s="3">
        <f>ABS(Table1[[#This Row],[Phone]])</f>
        <v>7742229463</v>
      </c>
      <c r="K623" s="3" t="str">
        <f>PROPER(TRIM(Table1[[#This Row],[Performance_Score]]))</f>
        <v>Excellent</v>
      </c>
      <c r="L623" s="3" t="b">
        <f>Table1[[#This Row],[Remote_Work]]</f>
        <v>0</v>
      </c>
      <c r="M623" s="3" t="str">
        <f>PROPER(CONCATENATE(Table13[[#This Row],[First_Name]], Table13[[#This Row],[Last_Name]]))</f>
        <v>Heidijohnson</v>
      </c>
      <c r="N623" s="3" t="str">
        <f t="shared" si="9"/>
        <v>Aug</v>
      </c>
      <c r="O623" s="3" t="str">
        <f>TEXT(Table13[[#This Row],[Join_Date]],"yyyy")</f>
        <v>2024</v>
      </c>
      <c r="P623" s="3" t="str">
        <f>LEFT('Main Project Raw Data'!E623,FIND("-",'Main Project Raw Data'!E623)-1)</f>
        <v>HR</v>
      </c>
      <c r="Q623" s="3" t="str">
        <f>RIGHT('Main Project Raw Data'!E623,LEN('Main Project Raw Data'!E623)-FIND("-",'Main Project Raw Data'!E623))</f>
        <v>Illinois</v>
      </c>
    </row>
    <row r="624" spans="1:17" x14ac:dyDescent="0.3">
      <c r="A624" s="3" t="str">
        <f>TRIM(Table1[[#This Row],[Employee_ID]])</f>
        <v>EMP1622</v>
      </c>
      <c r="B624" s="3" t="str">
        <f>TRIM(Table1[[#This Row],[First_Name]])</f>
        <v>Grace</v>
      </c>
      <c r="C624" s="3" t="str">
        <f>TRIM(Table1[[#This Row],[Last_Name]])</f>
        <v>Davis</v>
      </c>
      <c r="D624" s="3">
        <f>IF(Table1[[#This Row],[Age]]="",AVERAGE(Table1[Age]),Table1[[#This Row],[Age]])</f>
        <v>30</v>
      </c>
      <c r="E624" s="3" t="s">
        <v>212</v>
      </c>
      <c r="F624" s="3" t="s">
        <v>16</v>
      </c>
      <c r="G624" s="5">
        <f>IF(ISNUMBER('Main Project Raw Data'!G624),'Main Project Raw Data'!G624,IF(ISNUMBER(SEARCH("/",'Main Project Raw Data'!G624)),DATE(RIGHT('Main Project Raw Data'!G624,4),LEFT('Main Project Raw Data'!G624,FIND("/",'Main Project Raw Data'!G624)-1),MID('Main Project Raw Data'!G624,FIND("/",'Main Project Raw Data'!G624)+1,2)),DATE(RIGHT('Main Project Raw Data'!G624,4),MID('Main Project Raw Data'!G624,4,2),LEFT('Main Project Raw Data'!G624,2))))</f>
        <v>45590</v>
      </c>
      <c r="H624" s="3">
        <f>IF(Table1[[#This Row],[Salary]]="",AVERAGE(Table1[Salary]),Table1[[#This Row],[Salary]])</f>
        <v>55867.23</v>
      </c>
      <c r="I624" s="3" t="s">
        <v>235</v>
      </c>
      <c r="J624" s="3">
        <f>ABS(Table1[[#This Row],[Phone]])</f>
        <v>3039429044</v>
      </c>
      <c r="K624" s="3" t="str">
        <f>PROPER(TRIM(Table1[[#This Row],[Performance_Score]]))</f>
        <v>Excellent</v>
      </c>
      <c r="L624" s="3" t="b">
        <f>Table1[[#This Row],[Remote_Work]]</f>
        <v>0</v>
      </c>
      <c r="M624" s="3" t="str">
        <f>PROPER(CONCATENATE(Table13[[#This Row],[First_Name]], Table13[[#This Row],[Last_Name]]))</f>
        <v>Gracedavis</v>
      </c>
      <c r="N624" s="3" t="str">
        <f t="shared" si="9"/>
        <v>Oct</v>
      </c>
      <c r="O624" s="3" t="str">
        <f>TEXT(Table13[[#This Row],[Join_Date]],"yyyy")</f>
        <v>2024</v>
      </c>
      <c r="P624" s="3" t="str">
        <f>LEFT('Main Project Raw Data'!E624,FIND("-",'Main Project Raw Data'!E624)-1)</f>
        <v>HR</v>
      </c>
      <c r="Q624" s="3" t="str">
        <f>RIGHT('Main Project Raw Data'!E624,LEN('Main Project Raw Data'!E624)-FIND("-",'Main Project Raw Data'!E624))</f>
        <v>Florida</v>
      </c>
    </row>
    <row r="625" spans="1:17" x14ac:dyDescent="0.3">
      <c r="A625" s="3" t="str">
        <f>TRIM(Table1[[#This Row],[Employee_ID]])</f>
        <v>EMP1623</v>
      </c>
      <c r="B625" s="3" t="str">
        <f>TRIM(Table1[[#This Row],[First_Name]])</f>
        <v>Grace</v>
      </c>
      <c r="C625" s="3" t="str">
        <f>TRIM(Table1[[#This Row],[Last_Name]])</f>
        <v>Johnson</v>
      </c>
      <c r="D625" s="3">
        <f>IF(Table1[[#This Row],[Age]]="",AVERAGE(Table1[Age]),Table1[[#This Row],[Age]])</f>
        <v>35</v>
      </c>
      <c r="E625" s="3" t="s">
        <v>103</v>
      </c>
      <c r="F625" s="3" t="s">
        <v>28</v>
      </c>
      <c r="G625" s="5">
        <f>IF(ISNUMBER('Main Project Raw Data'!G625),'Main Project Raw Data'!G625,IF(ISNUMBER(SEARCH("/",'Main Project Raw Data'!G625)),DATE(RIGHT('Main Project Raw Data'!G625,4),LEFT('Main Project Raw Data'!G625,FIND("/",'Main Project Raw Data'!G625)-1),MID('Main Project Raw Data'!G625,FIND("/",'Main Project Raw Data'!G625)+1,2)),DATE(RIGHT('Main Project Raw Data'!G625,4),MID('Main Project Raw Data'!G625,4,2),LEFT('Main Project Raw Data'!G625,2))))</f>
        <v>45325</v>
      </c>
      <c r="H625" s="3">
        <f>IF(Table1[[#This Row],[Salary]]="",AVERAGE(Table1[Salary]),Table1[[#This Row],[Salary]])</f>
        <v>105259.57</v>
      </c>
      <c r="I625" s="3" t="s">
        <v>127</v>
      </c>
      <c r="J625" s="3">
        <f>ABS(Table1[[#This Row],[Phone]])</f>
        <v>8867925297</v>
      </c>
      <c r="K625" s="3" t="str">
        <f>PROPER(TRIM(Table1[[#This Row],[Performance_Score]]))</f>
        <v>Good</v>
      </c>
      <c r="L625" s="3" t="b">
        <f>Table1[[#This Row],[Remote_Work]]</f>
        <v>1</v>
      </c>
      <c r="M625" s="3" t="str">
        <f>PROPER(CONCATENATE(Table13[[#This Row],[First_Name]], Table13[[#This Row],[Last_Name]]))</f>
        <v>Gracejohnson</v>
      </c>
      <c r="N625" s="3" t="str">
        <f t="shared" si="9"/>
        <v>Feb</v>
      </c>
      <c r="O625" s="3" t="str">
        <f>TEXT(Table13[[#This Row],[Join_Date]],"yyyy")</f>
        <v>2024</v>
      </c>
      <c r="P625" s="3" t="str">
        <f>LEFT('Main Project Raw Data'!E625,FIND("-",'Main Project Raw Data'!E625)-1)</f>
        <v>Admin</v>
      </c>
      <c r="Q625" s="3" t="str">
        <f>RIGHT('Main Project Raw Data'!E625,LEN('Main Project Raw Data'!E625)-FIND("-",'Main Project Raw Data'!E625))</f>
        <v>Texas</v>
      </c>
    </row>
    <row r="626" spans="1:17" x14ac:dyDescent="0.3">
      <c r="A626" s="3" t="str">
        <f>TRIM(Table1[[#This Row],[Employee_ID]])</f>
        <v>EMP1624</v>
      </c>
      <c r="B626" s="3" t="str">
        <f>TRIM(Table1[[#This Row],[First_Name]])</f>
        <v>Bob</v>
      </c>
      <c r="C626" s="3" t="str">
        <f>TRIM(Table1[[#This Row],[Last_Name]])</f>
        <v>Jones</v>
      </c>
      <c r="D626" s="3">
        <f>IF(Table1[[#This Row],[Age]]="",AVERAGE(Table1[Age]),Table1[[#This Row],[Age]])</f>
        <v>32.484548825710753</v>
      </c>
      <c r="E626" s="3" t="s">
        <v>39</v>
      </c>
      <c r="F626" s="3" t="s">
        <v>28</v>
      </c>
      <c r="G626" s="5">
        <f>IF(ISNUMBER('Main Project Raw Data'!G626),'Main Project Raw Data'!G626,IF(ISNUMBER(SEARCH("/",'Main Project Raw Data'!G626)),DATE(RIGHT('Main Project Raw Data'!G626,4),LEFT('Main Project Raw Data'!G626,FIND("/",'Main Project Raw Data'!G626)-1),MID('Main Project Raw Data'!G626,FIND("/",'Main Project Raw Data'!G626)+1,2)),DATE(RIGHT('Main Project Raw Data'!G626,4),MID('Main Project Raw Data'!G626,4,2),LEFT('Main Project Raw Data'!G626,2))))</f>
        <v>44251</v>
      </c>
      <c r="H626" s="3">
        <f>IF(Table1[[#This Row],[Salary]]="",AVERAGE(Table1[Salary]),Table1[[#This Row],[Salary]])</f>
        <v>98143.67</v>
      </c>
      <c r="I626" s="3" t="s">
        <v>50</v>
      </c>
      <c r="J626" s="3">
        <f>ABS(Table1[[#This Row],[Phone]])</f>
        <v>5856728726</v>
      </c>
      <c r="K626" s="3" t="str">
        <f>PROPER(TRIM(Table1[[#This Row],[Performance_Score]]))</f>
        <v>Excellent</v>
      </c>
      <c r="L626" s="3" t="b">
        <f>Table1[[#This Row],[Remote_Work]]</f>
        <v>0</v>
      </c>
      <c r="M626" s="3" t="str">
        <f>PROPER(CONCATENATE(Table13[[#This Row],[First_Name]], Table13[[#This Row],[Last_Name]]))</f>
        <v>Bobjones</v>
      </c>
      <c r="N626" s="3" t="str">
        <f t="shared" si="9"/>
        <v>Feb</v>
      </c>
      <c r="O626" s="3" t="str">
        <f>TEXT(Table13[[#This Row],[Join_Date]],"yyyy")</f>
        <v>2021</v>
      </c>
      <c r="P626" s="3" t="str">
        <f>LEFT('Main Project Raw Data'!E626,FIND("-",'Main Project Raw Data'!E626)-1)</f>
        <v>Cloud Tech</v>
      </c>
      <c r="Q626" s="3" t="str">
        <f>RIGHT('Main Project Raw Data'!E626,LEN('Main Project Raw Data'!E626)-FIND("-",'Main Project Raw Data'!E626))</f>
        <v>Florida</v>
      </c>
    </row>
    <row r="627" spans="1:17" x14ac:dyDescent="0.3">
      <c r="A627" s="3" t="str">
        <f>TRIM(Table1[[#This Row],[Employee_ID]])</f>
        <v>EMP1625</v>
      </c>
      <c r="B627" s="3" t="str">
        <f>TRIM(Table1[[#This Row],[First_Name]])</f>
        <v>Frank</v>
      </c>
      <c r="C627" s="3" t="str">
        <f>TRIM(Table1[[#This Row],[Last_Name]])</f>
        <v>Johnson</v>
      </c>
      <c r="D627" s="3">
        <f>IF(Table1[[#This Row],[Age]]="",AVERAGE(Table1[Age]),Table1[[#This Row],[Age]])</f>
        <v>25</v>
      </c>
      <c r="E627" s="3" t="s">
        <v>205</v>
      </c>
      <c r="F627" s="3" t="s">
        <v>28</v>
      </c>
      <c r="G627" s="5">
        <f>IF(ISNUMBER('Main Project Raw Data'!G627),'Main Project Raw Data'!G627,IF(ISNUMBER(SEARCH("/",'Main Project Raw Data'!G627)),DATE(RIGHT('Main Project Raw Data'!G627,4),LEFT('Main Project Raw Data'!G627,FIND("/",'Main Project Raw Data'!G627)-1),MID('Main Project Raw Data'!G627,FIND("/",'Main Project Raw Data'!G627)+1,2)),DATE(RIGHT('Main Project Raw Data'!G627,4),MID('Main Project Raw Data'!G627,4,2),LEFT('Main Project Raw Data'!G627,2))))</f>
        <v>45029</v>
      </c>
      <c r="H627" s="3">
        <f>IF(Table1[[#This Row],[Salary]]="",AVERAGE(Table1[Salary]),Table1[[#This Row],[Salary]])</f>
        <v>67754.289999999994</v>
      </c>
      <c r="I627" s="3" t="s">
        <v>271</v>
      </c>
      <c r="J627" s="3">
        <f>ABS(Table1[[#This Row],[Phone]])</f>
        <v>6015343323</v>
      </c>
      <c r="K627" s="3" t="str">
        <f>PROPER(TRIM(Table1[[#This Row],[Performance_Score]]))</f>
        <v>Average</v>
      </c>
      <c r="L627" s="3" t="b">
        <f>Table1[[#This Row],[Remote_Work]]</f>
        <v>1</v>
      </c>
      <c r="M627" s="3" t="str">
        <f>PROPER(CONCATENATE(Table13[[#This Row],[First_Name]], Table13[[#This Row],[Last_Name]]))</f>
        <v>Frankjohnson</v>
      </c>
      <c r="N627" s="3" t="str">
        <f t="shared" si="9"/>
        <v>Apr</v>
      </c>
      <c r="O627" s="3" t="str">
        <f>TEXT(Table13[[#This Row],[Join_Date]],"yyyy")</f>
        <v>2023</v>
      </c>
      <c r="P627" s="3" t="str">
        <f>LEFT('Main Project Raw Data'!E627,FIND("-",'Main Project Raw Data'!E627)-1)</f>
        <v>Admin</v>
      </c>
      <c r="Q627" s="3" t="str">
        <f>RIGHT('Main Project Raw Data'!E627,LEN('Main Project Raw Data'!E627)-FIND("-",'Main Project Raw Data'!E627))</f>
        <v>Florida</v>
      </c>
    </row>
    <row r="628" spans="1:17" x14ac:dyDescent="0.3">
      <c r="A628" s="3" t="str">
        <f>TRIM(Table1[[#This Row],[Employee_ID]])</f>
        <v>EMP1626</v>
      </c>
      <c r="B628" s="3" t="str">
        <f>TRIM(Table1[[#This Row],[First_Name]])</f>
        <v>Grace</v>
      </c>
      <c r="C628" s="3" t="str">
        <f>TRIM(Table1[[#This Row],[Last_Name]])</f>
        <v>Jones</v>
      </c>
      <c r="D628" s="3">
        <f>IF(Table1[[#This Row],[Age]]="",AVERAGE(Table1[Age]),Table1[[#This Row],[Age]])</f>
        <v>32.484548825710753</v>
      </c>
      <c r="E628" s="3" t="s">
        <v>192</v>
      </c>
      <c r="F628" s="3" t="s">
        <v>33</v>
      </c>
      <c r="G628" s="5">
        <f>IF(ISNUMBER('Main Project Raw Data'!G628),'Main Project Raw Data'!G628,IF(ISNUMBER(SEARCH("/",'Main Project Raw Data'!G628)),DATE(RIGHT('Main Project Raw Data'!G628,4),LEFT('Main Project Raw Data'!G628,FIND("/",'Main Project Raw Data'!G628)-1),MID('Main Project Raw Data'!G628,FIND("/",'Main Project Raw Data'!G628)+1,2)),DATE(RIGHT('Main Project Raw Data'!G628,4),MID('Main Project Raw Data'!G628,4,2),LEFT('Main Project Raw Data'!G628,2))))</f>
        <v>45224</v>
      </c>
      <c r="H628" s="3">
        <f>IF(Table1[[#This Row],[Salary]]="",AVERAGE(Table1[Salary]),Table1[[#This Row],[Salary]])</f>
        <v>77821.789999999994</v>
      </c>
      <c r="I628" s="3" t="s">
        <v>76</v>
      </c>
      <c r="J628" s="3">
        <f>ABS(Table1[[#This Row],[Phone]])</f>
        <v>9135779082</v>
      </c>
      <c r="K628" s="3" t="str">
        <f>PROPER(TRIM(Table1[[#This Row],[Performance_Score]]))</f>
        <v>Average</v>
      </c>
      <c r="L628" s="3" t="b">
        <f>Table1[[#This Row],[Remote_Work]]</f>
        <v>0</v>
      </c>
      <c r="M628" s="3" t="str">
        <f>PROPER(CONCATENATE(Table13[[#This Row],[First_Name]], Table13[[#This Row],[Last_Name]]))</f>
        <v>Gracejones</v>
      </c>
      <c r="N628" s="3" t="str">
        <f t="shared" si="9"/>
        <v>Oct</v>
      </c>
      <c r="O628" s="3" t="str">
        <f>TEXT(Table13[[#This Row],[Join_Date]],"yyyy")</f>
        <v>2023</v>
      </c>
      <c r="P628" s="3" t="str">
        <f>LEFT('Main Project Raw Data'!E628,FIND("-",'Main Project Raw Data'!E628)-1)</f>
        <v>HR</v>
      </c>
      <c r="Q628" s="3" t="str">
        <f>RIGHT('Main Project Raw Data'!E628,LEN('Main Project Raw Data'!E628)-FIND("-",'Main Project Raw Data'!E628))</f>
        <v>Illinois</v>
      </c>
    </row>
    <row r="629" spans="1:17" x14ac:dyDescent="0.3">
      <c r="A629" s="3" t="str">
        <f>TRIM(Table1[[#This Row],[Employee_ID]])</f>
        <v>EMP1627</v>
      </c>
      <c r="B629" s="3" t="str">
        <f>TRIM(Table1[[#This Row],[First_Name]])</f>
        <v>Heidi</v>
      </c>
      <c r="C629" s="3" t="str">
        <f>TRIM(Table1[[#This Row],[Last_Name]])</f>
        <v>Miller</v>
      </c>
      <c r="D629" s="3">
        <f>IF(Table1[[#This Row],[Age]]="",AVERAGE(Table1[Age]),Table1[[#This Row],[Age]])</f>
        <v>30</v>
      </c>
      <c r="E629" s="3" t="s">
        <v>192</v>
      </c>
      <c r="F629" s="3" t="s">
        <v>28</v>
      </c>
      <c r="G629" s="5">
        <f>IF(ISNUMBER('Main Project Raw Data'!G629),'Main Project Raw Data'!G629,IF(ISNUMBER(SEARCH("/",'Main Project Raw Data'!G629)),DATE(RIGHT('Main Project Raw Data'!G629,4),LEFT('Main Project Raw Data'!G629,FIND("/",'Main Project Raw Data'!G629)-1),MID('Main Project Raw Data'!G629,FIND("/",'Main Project Raw Data'!G629)+1,2)),DATE(RIGHT('Main Project Raw Data'!G629,4),MID('Main Project Raw Data'!G629,4,2),LEFT('Main Project Raw Data'!G629,2))))</f>
        <v>44821</v>
      </c>
      <c r="H629" s="3">
        <f>IF(Table1[[#This Row],[Salary]]="",AVERAGE(Table1[Salary]),Table1[[#This Row],[Salary]])</f>
        <v>67764.44</v>
      </c>
      <c r="I629" s="3" t="s">
        <v>130</v>
      </c>
      <c r="J629" s="3">
        <f>ABS(Table1[[#This Row],[Phone]])</f>
        <v>3506158147</v>
      </c>
      <c r="K629" s="3" t="str">
        <f>PROPER(TRIM(Table1[[#This Row],[Performance_Score]]))</f>
        <v>Poor</v>
      </c>
      <c r="L629" s="3" t="b">
        <f>Table1[[#This Row],[Remote_Work]]</f>
        <v>0</v>
      </c>
      <c r="M629" s="3" t="str">
        <f>PROPER(CONCATENATE(Table13[[#This Row],[First_Name]], Table13[[#This Row],[Last_Name]]))</f>
        <v>Heidimiller</v>
      </c>
      <c r="N629" s="3" t="str">
        <f t="shared" si="9"/>
        <v>Sep</v>
      </c>
      <c r="O629" s="3" t="str">
        <f>TEXT(Table13[[#This Row],[Join_Date]],"yyyy")</f>
        <v>2022</v>
      </c>
      <c r="P629" s="3" t="str">
        <f>LEFT('Main Project Raw Data'!E629,FIND("-",'Main Project Raw Data'!E629)-1)</f>
        <v>HR</v>
      </c>
      <c r="Q629" s="3" t="str">
        <f>RIGHT('Main Project Raw Data'!E629,LEN('Main Project Raw Data'!E629)-FIND("-",'Main Project Raw Data'!E629))</f>
        <v>Illinois</v>
      </c>
    </row>
    <row r="630" spans="1:17" x14ac:dyDescent="0.3">
      <c r="A630" s="3" t="str">
        <f>TRIM(Table1[[#This Row],[Employee_ID]])</f>
        <v>EMP1628</v>
      </c>
      <c r="B630" s="3" t="str">
        <f>TRIM(Table1[[#This Row],[First_Name]])</f>
        <v>Frank</v>
      </c>
      <c r="C630" s="3" t="str">
        <f>TRIM(Table1[[#This Row],[Last_Name]])</f>
        <v>Davis</v>
      </c>
      <c r="D630" s="3">
        <f>IF(Table1[[#This Row],[Age]]="",AVERAGE(Table1[Age]),Table1[[#This Row],[Age]])</f>
        <v>40</v>
      </c>
      <c r="E630" s="3" t="s">
        <v>56</v>
      </c>
      <c r="F630" s="3" t="s">
        <v>28</v>
      </c>
      <c r="G630" s="5">
        <f>IF(ISNUMBER('Main Project Raw Data'!G630),'Main Project Raw Data'!G630,IF(ISNUMBER(SEARCH("/",'Main Project Raw Data'!G630)),DATE(RIGHT('Main Project Raw Data'!G630,4),LEFT('Main Project Raw Data'!G630,FIND("/",'Main Project Raw Data'!G630)-1),MID('Main Project Raw Data'!G630,FIND("/",'Main Project Raw Data'!G630)+1,2)),DATE(RIGHT('Main Project Raw Data'!G630,4),MID('Main Project Raw Data'!G630,4,2),LEFT('Main Project Raw Data'!G630,2))))</f>
        <v>44074</v>
      </c>
      <c r="H630" s="3">
        <f>IF(Table1[[#This Row],[Salary]]="",AVERAGE(Table1[Salary]),Table1[[#This Row],[Salary]])</f>
        <v>102346.99</v>
      </c>
      <c r="I630" s="3" t="s">
        <v>52</v>
      </c>
      <c r="J630" s="3">
        <f>ABS(Table1[[#This Row],[Phone]])</f>
        <v>8810798333</v>
      </c>
      <c r="K630" s="3" t="str">
        <f>PROPER(TRIM(Table1[[#This Row],[Performance_Score]]))</f>
        <v>Excellent</v>
      </c>
      <c r="L630" s="3" t="b">
        <f>Table1[[#This Row],[Remote_Work]]</f>
        <v>1</v>
      </c>
      <c r="M630" s="3" t="str">
        <f>PROPER(CONCATENATE(Table13[[#This Row],[First_Name]], Table13[[#This Row],[Last_Name]]))</f>
        <v>Frankdavis</v>
      </c>
      <c r="N630" s="3" t="str">
        <f t="shared" si="9"/>
        <v>Aug</v>
      </c>
      <c r="O630" s="3" t="str">
        <f>TEXT(Table13[[#This Row],[Join_Date]],"yyyy")</f>
        <v>2020</v>
      </c>
      <c r="P630" s="3" t="str">
        <f>LEFT('Main Project Raw Data'!E630,FIND("-",'Main Project Raw Data'!E630)-1)</f>
        <v>DevOps</v>
      </c>
      <c r="Q630" s="3" t="str">
        <f>RIGHT('Main Project Raw Data'!E630,LEN('Main Project Raw Data'!E630)-FIND("-",'Main Project Raw Data'!E630))</f>
        <v>New York</v>
      </c>
    </row>
    <row r="631" spans="1:17" x14ac:dyDescent="0.3">
      <c r="A631" s="3" t="str">
        <f>TRIM(Table1[[#This Row],[Employee_ID]])</f>
        <v>EMP1629</v>
      </c>
      <c r="B631" s="3" t="str">
        <f>TRIM(Table1[[#This Row],[First_Name]])</f>
        <v>Charlie</v>
      </c>
      <c r="C631" s="3" t="str">
        <f>TRIM(Table1[[#This Row],[Last_Name]])</f>
        <v>Davis</v>
      </c>
      <c r="D631" s="3">
        <f>IF(Table1[[#This Row],[Age]]="",AVERAGE(Table1[Age]),Table1[[#This Row],[Age]])</f>
        <v>25</v>
      </c>
      <c r="E631" s="3" t="s">
        <v>89</v>
      </c>
      <c r="F631" s="3" t="s">
        <v>33</v>
      </c>
      <c r="G631" s="5">
        <f>IF(ISNUMBER('Main Project Raw Data'!G631),'Main Project Raw Data'!G631,IF(ISNUMBER(SEARCH("/",'Main Project Raw Data'!G631)),DATE(RIGHT('Main Project Raw Data'!G631,4),LEFT('Main Project Raw Data'!G631,FIND("/",'Main Project Raw Data'!G631)-1),MID('Main Project Raw Data'!G631,FIND("/",'Main Project Raw Data'!G631)+1,2)),DATE(RIGHT('Main Project Raw Data'!G631,4),MID('Main Project Raw Data'!G631,4,2),LEFT('Main Project Raw Data'!G631,2))))</f>
        <v>45440</v>
      </c>
      <c r="H631" s="3">
        <f>IF(Table1[[#This Row],[Salary]]="",AVERAGE(Table1[Salary]),Table1[[#This Row],[Salary]])</f>
        <v>73690.649999999994</v>
      </c>
      <c r="I631" s="3" t="s">
        <v>170</v>
      </c>
      <c r="J631" s="3">
        <f>ABS(Table1[[#This Row],[Phone]])</f>
        <v>2337209483</v>
      </c>
      <c r="K631" s="3" t="str">
        <f>PROPER(TRIM(Table1[[#This Row],[Performance_Score]]))</f>
        <v>Good</v>
      </c>
      <c r="L631" s="3" t="b">
        <f>Table1[[#This Row],[Remote_Work]]</f>
        <v>1</v>
      </c>
      <c r="M631" s="3" t="str">
        <f>PROPER(CONCATENATE(Table13[[#This Row],[First_Name]], Table13[[#This Row],[Last_Name]]))</f>
        <v>Charliedavis</v>
      </c>
      <c r="N631" s="3" t="str">
        <f t="shared" si="9"/>
        <v>May</v>
      </c>
      <c r="O631" s="3" t="str">
        <f>TEXT(Table13[[#This Row],[Join_Date]],"yyyy")</f>
        <v>2024</v>
      </c>
      <c r="P631" s="3" t="str">
        <f>LEFT('Main Project Raw Data'!E631,FIND("-",'Main Project Raw Data'!E631)-1)</f>
        <v>Admin</v>
      </c>
      <c r="Q631" s="3" t="str">
        <f>RIGHT('Main Project Raw Data'!E631,LEN('Main Project Raw Data'!E631)-FIND("-",'Main Project Raw Data'!E631))</f>
        <v>Illinois</v>
      </c>
    </row>
    <row r="632" spans="1:17" x14ac:dyDescent="0.3">
      <c r="A632" s="3" t="str">
        <f>TRIM(Table1[[#This Row],[Employee_ID]])</f>
        <v>EMP1630</v>
      </c>
      <c r="B632" s="3" t="str">
        <f>TRIM(Table1[[#This Row],[First_Name]])</f>
        <v>Alice</v>
      </c>
      <c r="C632" s="3" t="str">
        <f>TRIM(Table1[[#This Row],[Last_Name]])</f>
        <v>Smith</v>
      </c>
      <c r="D632" s="3">
        <f>IF(Table1[[#This Row],[Age]]="",AVERAGE(Table1[Age]),Table1[[#This Row],[Age]])</f>
        <v>30</v>
      </c>
      <c r="E632" s="3" t="s">
        <v>100</v>
      </c>
      <c r="F632" s="3" t="s">
        <v>16</v>
      </c>
      <c r="G632" s="5">
        <f>IF(ISNUMBER('Main Project Raw Data'!G632),'Main Project Raw Data'!G632,IF(ISNUMBER(SEARCH("/",'Main Project Raw Data'!G632)),DATE(RIGHT('Main Project Raw Data'!G632,4),LEFT('Main Project Raw Data'!G632,FIND("/",'Main Project Raw Data'!G632)-1),MID('Main Project Raw Data'!G632,FIND("/",'Main Project Raw Data'!G632)+1,2)),DATE(RIGHT('Main Project Raw Data'!G632,4),MID('Main Project Raw Data'!G632,4,2),LEFT('Main Project Raw Data'!G632,2))))</f>
        <v>45419</v>
      </c>
      <c r="H632" s="3">
        <f>IF(Table1[[#This Row],[Salary]]="",AVERAGE(Table1[Salary]),Table1[[#This Row],[Salary]])</f>
        <v>56376.2</v>
      </c>
      <c r="I632" s="3" t="s">
        <v>182</v>
      </c>
      <c r="J632" s="3">
        <f>ABS(Table1[[#This Row],[Phone]])</f>
        <v>1312840332</v>
      </c>
      <c r="K632" s="3" t="str">
        <f>PROPER(TRIM(Table1[[#This Row],[Performance_Score]]))</f>
        <v>Average</v>
      </c>
      <c r="L632" s="3" t="b">
        <f>Table1[[#This Row],[Remote_Work]]</f>
        <v>1</v>
      </c>
      <c r="M632" s="3" t="str">
        <f>PROPER(CONCATENATE(Table13[[#This Row],[First_Name]], Table13[[#This Row],[Last_Name]]))</f>
        <v>Alicesmith</v>
      </c>
      <c r="N632" s="3" t="str">
        <f t="shared" si="9"/>
        <v>May</v>
      </c>
      <c r="O632" s="3" t="str">
        <f>TEXT(Table13[[#This Row],[Join_Date]],"yyyy")</f>
        <v>2024</v>
      </c>
      <c r="P632" s="3" t="str">
        <f>LEFT('Main Project Raw Data'!E632,FIND("-",'Main Project Raw Data'!E632)-1)</f>
        <v>Finance</v>
      </c>
      <c r="Q632" s="3" t="str">
        <f>RIGHT('Main Project Raw Data'!E632,LEN('Main Project Raw Data'!E632)-FIND("-",'Main Project Raw Data'!E632))</f>
        <v>Nevada</v>
      </c>
    </row>
    <row r="633" spans="1:17" x14ac:dyDescent="0.3">
      <c r="A633" s="3" t="str">
        <f>TRIM(Table1[[#This Row],[Employee_ID]])</f>
        <v>EMP1631</v>
      </c>
      <c r="B633" s="3" t="str">
        <f>TRIM(Table1[[#This Row],[First_Name]])</f>
        <v>Grace</v>
      </c>
      <c r="C633" s="3" t="str">
        <f>TRIM(Table1[[#This Row],[Last_Name]])</f>
        <v>Brown</v>
      </c>
      <c r="D633" s="3">
        <f>IF(Table1[[#This Row],[Age]]="",AVERAGE(Table1[Age]),Table1[[#This Row],[Age]])</f>
        <v>25</v>
      </c>
      <c r="E633" s="3" t="s">
        <v>268</v>
      </c>
      <c r="F633" s="3" t="s">
        <v>16</v>
      </c>
      <c r="G633" s="5">
        <f>IF(ISNUMBER('Main Project Raw Data'!G633),'Main Project Raw Data'!G633,IF(ISNUMBER(SEARCH("/",'Main Project Raw Data'!G633)),DATE(RIGHT('Main Project Raw Data'!G633,4),LEFT('Main Project Raw Data'!G633,FIND("/",'Main Project Raw Data'!G633)-1),MID('Main Project Raw Data'!G633,FIND("/",'Main Project Raw Data'!G633)+1,2)),DATE(RIGHT('Main Project Raw Data'!G633,4),MID('Main Project Raw Data'!G633,4,2),LEFT('Main Project Raw Data'!G633,2))))</f>
        <v>44590</v>
      </c>
      <c r="H633" s="3">
        <f>IF(Table1[[#This Row],[Salary]]="",AVERAGE(Table1[Salary]),Table1[[#This Row],[Salary]])</f>
        <v>55602.78</v>
      </c>
      <c r="I633" s="3" t="s">
        <v>201</v>
      </c>
      <c r="J633" s="3">
        <f>ABS(Table1[[#This Row],[Phone]])</f>
        <v>9977180512</v>
      </c>
      <c r="K633" s="3" t="str">
        <f>PROPER(TRIM(Table1[[#This Row],[Performance_Score]]))</f>
        <v>Good</v>
      </c>
      <c r="L633" s="3" t="b">
        <f>Table1[[#This Row],[Remote_Work]]</f>
        <v>0</v>
      </c>
      <c r="M633" s="3" t="str">
        <f>PROPER(CONCATENATE(Table13[[#This Row],[First_Name]], Table13[[#This Row],[Last_Name]]))</f>
        <v>Gracebrown</v>
      </c>
      <c r="N633" s="3" t="str">
        <f t="shared" si="9"/>
        <v>Jan</v>
      </c>
      <c r="O633" s="3" t="str">
        <f>TEXT(Table13[[#This Row],[Join_Date]],"yyyy")</f>
        <v>2022</v>
      </c>
      <c r="P633" s="3" t="str">
        <f>LEFT('Main Project Raw Data'!E633,FIND("-",'Main Project Raw Data'!E633)-1)</f>
        <v>Cloud Tech</v>
      </c>
      <c r="Q633" s="3" t="str">
        <f>RIGHT('Main Project Raw Data'!E633,LEN('Main Project Raw Data'!E633)-FIND("-",'Main Project Raw Data'!E633))</f>
        <v>California</v>
      </c>
    </row>
    <row r="634" spans="1:17" x14ac:dyDescent="0.3">
      <c r="A634" s="3" t="str">
        <f>TRIM(Table1[[#This Row],[Employee_ID]])</f>
        <v>EMP1632</v>
      </c>
      <c r="B634" s="3" t="str">
        <f>TRIM(Table1[[#This Row],[First_Name]])</f>
        <v>Grace</v>
      </c>
      <c r="C634" s="3" t="str">
        <f>TRIM(Table1[[#This Row],[Last_Name]])</f>
        <v>Jones</v>
      </c>
      <c r="D634" s="3">
        <f>IF(Table1[[#This Row],[Age]]="",AVERAGE(Table1[Age]),Table1[[#This Row],[Age]])</f>
        <v>40</v>
      </c>
      <c r="E634" s="3" t="s">
        <v>219</v>
      </c>
      <c r="F634" s="3" t="s">
        <v>28</v>
      </c>
      <c r="G634" s="5">
        <f>IF(ISNUMBER('Main Project Raw Data'!G634),'Main Project Raw Data'!G634,IF(ISNUMBER(SEARCH("/",'Main Project Raw Data'!G634)),DATE(RIGHT('Main Project Raw Data'!G634,4),LEFT('Main Project Raw Data'!G634,FIND("/",'Main Project Raw Data'!G634)-1),MID('Main Project Raw Data'!G634,FIND("/",'Main Project Raw Data'!G634)+1,2)),DATE(RIGHT('Main Project Raw Data'!G634,4),MID('Main Project Raw Data'!G634,4,2),LEFT('Main Project Raw Data'!G634,2))))</f>
        <v>44447</v>
      </c>
      <c r="H634" s="3">
        <f>IF(Table1[[#This Row],[Salary]]="",AVERAGE(Table1[Salary]),Table1[[#This Row],[Salary]])</f>
        <v>99812.41</v>
      </c>
      <c r="I634" s="3" t="s">
        <v>76</v>
      </c>
      <c r="J634" s="3">
        <f>ABS(Table1[[#This Row],[Phone]])</f>
        <v>7171731892</v>
      </c>
      <c r="K634" s="3" t="str">
        <f>PROPER(TRIM(Table1[[#This Row],[Performance_Score]]))</f>
        <v>Good</v>
      </c>
      <c r="L634" s="3" t="b">
        <f>Table1[[#This Row],[Remote_Work]]</f>
        <v>0</v>
      </c>
      <c r="M634" s="3" t="str">
        <f>PROPER(CONCATENATE(Table13[[#This Row],[First_Name]], Table13[[#This Row],[Last_Name]]))</f>
        <v>Gracejones</v>
      </c>
      <c r="N634" s="3" t="str">
        <f t="shared" si="9"/>
        <v>Sep</v>
      </c>
      <c r="O634" s="3" t="str">
        <f>TEXT(Table13[[#This Row],[Join_Date]],"yyyy")</f>
        <v>2021</v>
      </c>
      <c r="P634" s="3" t="str">
        <f>LEFT('Main Project Raw Data'!E634,FIND("-",'Main Project Raw Data'!E634)-1)</f>
        <v>Sales</v>
      </c>
      <c r="Q634" s="3" t="str">
        <f>RIGHT('Main Project Raw Data'!E634,LEN('Main Project Raw Data'!E634)-FIND("-",'Main Project Raw Data'!E634))</f>
        <v>Nevada</v>
      </c>
    </row>
    <row r="635" spans="1:17" x14ac:dyDescent="0.3">
      <c r="A635" s="3" t="str">
        <f>TRIM(Table1[[#This Row],[Employee_ID]])</f>
        <v>EMP1633</v>
      </c>
      <c r="B635" s="3" t="str">
        <f>TRIM(Table1[[#This Row],[First_Name]])</f>
        <v>Charlie</v>
      </c>
      <c r="C635" s="3" t="str">
        <f>TRIM(Table1[[#This Row],[Last_Name]])</f>
        <v>Smith</v>
      </c>
      <c r="D635" s="3">
        <f>IF(Table1[[#This Row],[Age]]="",AVERAGE(Table1[Age]),Table1[[#This Row],[Age]])</f>
        <v>40</v>
      </c>
      <c r="E635" s="3" t="s">
        <v>21</v>
      </c>
      <c r="F635" s="3" t="s">
        <v>16</v>
      </c>
      <c r="G635" s="5">
        <f>IF(ISNUMBER('Main Project Raw Data'!G635),'Main Project Raw Data'!G635,IF(ISNUMBER(SEARCH("/",'Main Project Raw Data'!G635)),DATE(RIGHT('Main Project Raw Data'!G635,4),LEFT('Main Project Raw Data'!G635,FIND("/",'Main Project Raw Data'!G635)-1),MID('Main Project Raw Data'!G635,FIND("/",'Main Project Raw Data'!G635)+1,2)),DATE(RIGHT('Main Project Raw Data'!G635,4),MID('Main Project Raw Data'!G635,4,2),LEFT('Main Project Raw Data'!G635,2))))</f>
        <v>45483</v>
      </c>
      <c r="H635" s="3">
        <f>IF(Table1[[#This Row],[Salary]]="",AVERAGE(Table1[Salary]),Table1[[#This Row],[Salary]])</f>
        <v>95981.9</v>
      </c>
      <c r="I635" s="3" t="s">
        <v>194</v>
      </c>
      <c r="J635" s="3">
        <f>ABS(Table1[[#This Row],[Phone]])</f>
        <v>9749096172</v>
      </c>
      <c r="K635" s="3" t="str">
        <f>PROPER(TRIM(Table1[[#This Row],[Performance_Score]]))</f>
        <v>Average</v>
      </c>
      <c r="L635" s="3" t="b">
        <f>Table1[[#This Row],[Remote_Work]]</f>
        <v>1</v>
      </c>
      <c r="M635" s="3" t="str">
        <f>PROPER(CONCATENATE(Table13[[#This Row],[First_Name]], Table13[[#This Row],[Last_Name]]))</f>
        <v>Charliesmith</v>
      </c>
      <c r="N635" s="3" t="str">
        <f t="shared" si="9"/>
        <v>Jul</v>
      </c>
      <c r="O635" s="3" t="str">
        <f>TEXT(Table13[[#This Row],[Join_Date]],"yyyy")</f>
        <v>2024</v>
      </c>
      <c r="P635" s="3" t="str">
        <f>LEFT('Main Project Raw Data'!E635,FIND("-",'Main Project Raw Data'!E635)-1)</f>
        <v>Finance</v>
      </c>
      <c r="Q635" s="3" t="str">
        <f>RIGHT('Main Project Raw Data'!E635,LEN('Main Project Raw Data'!E635)-FIND("-",'Main Project Raw Data'!E635))</f>
        <v>Texas</v>
      </c>
    </row>
    <row r="636" spans="1:17" x14ac:dyDescent="0.3">
      <c r="A636" s="3" t="str">
        <f>TRIM(Table1[[#This Row],[Employee_ID]])</f>
        <v>EMP1634</v>
      </c>
      <c r="B636" s="3" t="str">
        <f>TRIM(Table1[[#This Row],[First_Name]])</f>
        <v>Eva</v>
      </c>
      <c r="C636" s="3" t="str">
        <f>TRIM(Table1[[#This Row],[Last_Name]])</f>
        <v>Johnson</v>
      </c>
      <c r="D636" s="3">
        <f>IF(Table1[[#This Row],[Age]]="",AVERAGE(Table1[Age]),Table1[[#This Row],[Age]])</f>
        <v>30</v>
      </c>
      <c r="E636" s="3" t="s">
        <v>95</v>
      </c>
      <c r="F636" s="3" t="s">
        <v>28</v>
      </c>
      <c r="G636" s="5">
        <f>IF(ISNUMBER('Main Project Raw Data'!G636),'Main Project Raw Data'!G636,IF(ISNUMBER(SEARCH("/",'Main Project Raw Data'!G636)),DATE(RIGHT('Main Project Raw Data'!G636,4),LEFT('Main Project Raw Data'!G636,FIND("/",'Main Project Raw Data'!G636)-1),MID('Main Project Raw Data'!G636,FIND("/",'Main Project Raw Data'!G636)+1,2)),DATE(RIGHT('Main Project Raw Data'!G636,4),MID('Main Project Raw Data'!G636,4,2),LEFT('Main Project Raw Data'!G636,2))))</f>
        <v>44887</v>
      </c>
      <c r="H636" s="3">
        <f>IF(Table1[[#This Row],[Salary]]="",AVERAGE(Table1[Salary]),Table1[[#This Row],[Salary]])</f>
        <v>98891.48</v>
      </c>
      <c r="I636" s="3" t="s">
        <v>322</v>
      </c>
      <c r="J636" s="3">
        <f>ABS(Table1[[#This Row],[Phone]])</f>
        <v>9970469471</v>
      </c>
      <c r="K636" s="3" t="str">
        <f>PROPER(TRIM(Table1[[#This Row],[Performance_Score]]))</f>
        <v>Good</v>
      </c>
      <c r="L636" s="3" t="b">
        <f>Table1[[#This Row],[Remote_Work]]</f>
        <v>1</v>
      </c>
      <c r="M636" s="3" t="str">
        <f>PROPER(CONCATENATE(Table13[[#This Row],[First_Name]], Table13[[#This Row],[Last_Name]]))</f>
        <v>Evajohnson</v>
      </c>
      <c r="N636" s="3" t="str">
        <f t="shared" si="9"/>
        <v>Nov</v>
      </c>
      <c r="O636" s="3" t="str">
        <f>TEXT(Table13[[#This Row],[Join_Date]],"yyyy")</f>
        <v>2022</v>
      </c>
      <c r="P636" s="3" t="str">
        <f>LEFT('Main Project Raw Data'!E636,FIND("-",'Main Project Raw Data'!E636)-1)</f>
        <v>Cloud Tech</v>
      </c>
      <c r="Q636" s="3" t="str">
        <f>RIGHT('Main Project Raw Data'!E636,LEN('Main Project Raw Data'!E636)-FIND("-",'Main Project Raw Data'!E636))</f>
        <v>Illinois</v>
      </c>
    </row>
    <row r="637" spans="1:17" x14ac:dyDescent="0.3">
      <c r="A637" s="3" t="str">
        <f>TRIM(Table1[[#This Row],[Employee_ID]])</f>
        <v>EMP1635</v>
      </c>
      <c r="B637" s="3" t="str">
        <f>TRIM(Table1[[#This Row],[First_Name]])</f>
        <v>Alice</v>
      </c>
      <c r="C637" s="3" t="str">
        <f>TRIM(Table1[[#This Row],[Last_Name]])</f>
        <v>Johnson</v>
      </c>
      <c r="D637" s="3">
        <f>IF(Table1[[#This Row],[Age]]="",AVERAGE(Table1[Age]),Table1[[#This Row],[Age]])</f>
        <v>35</v>
      </c>
      <c r="E637" s="3" t="s">
        <v>27</v>
      </c>
      <c r="F637" s="3" t="s">
        <v>16</v>
      </c>
      <c r="G637" s="5">
        <f>IF(ISNUMBER('Main Project Raw Data'!G637),'Main Project Raw Data'!G637,IF(ISNUMBER(SEARCH("/",'Main Project Raw Data'!G637)),DATE(RIGHT('Main Project Raw Data'!G637,4),LEFT('Main Project Raw Data'!G637,FIND("/",'Main Project Raw Data'!G637)-1),MID('Main Project Raw Data'!G637,FIND("/",'Main Project Raw Data'!G637)+1,2)),DATE(RIGHT('Main Project Raw Data'!G637,4),MID('Main Project Raw Data'!G637,4,2),LEFT('Main Project Raw Data'!G637,2))))</f>
        <v>44153</v>
      </c>
      <c r="H637" s="3">
        <f>IF(Table1[[#This Row],[Salary]]="",AVERAGE(Table1[Salary]),Table1[[#This Row],[Salary]])</f>
        <v>56079</v>
      </c>
      <c r="I637" s="3" t="s">
        <v>150</v>
      </c>
      <c r="J637" s="3">
        <f>ABS(Table1[[#This Row],[Phone]])</f>
        <v>5878444834</v>
      </c>
      <c r="K637" s="3" t="str">
        <f>PROPER(TRIM(Table1[[#This Row],[Performance_Score]]))</f>
        <v>Average</v>
      </c>
      <c r="L637" s="3" t="b">
        <f>Table1[[#This Row],[Remote_Work]]</f>
        <v>1</v>
      </c>
      <c r="M637" s="3" t="str">
        <f>PROPER(CONCATENATE(Table13[[#This Row],[First_Name]], Table13[[#This Row],[Last_Name]]))</f>
        <v>Alicejohnson</v>
      </c>
      <c r="N637" s="3" t="str">
        <f t="shared" si="9"/>
        <v>Nov</v>
      </c>
      <c r="O637" s="3" t="str">
        <f>TEXT(Table13[[#This Row],[Join_Date]],"yyyy")</f>
        <v>2020</v>
      </c>
      <c r="P637" s="3" t="str">
        <f>LEFT('Main Project Raw Data'!E637,FIND("-",'Main Project Raw Data'!E637)-1)</f>
        <v>Admin</v>
      </c>
      <c r="Q637" s="3" t="str">
        <f>RIGHT('Main Project Raw Data'!E637,LEN('Main Project Raw Data'!E637)-FIND("-",'Main Project Raw Data'!E637))</f>
        <v>Nevada</v>
      </c>
    </row>
    <row r="638" spans="1:17" x14ac:dyDescent="0.3">
      <c r="A638" s="3" t="str">
        <f>TRIM(Table1[[#This Row],[Employee_ID]])</f>
        <v>EMP1636</v>
      </c>
      <c r="B638" s="3" t="str">
        <f>TRIM(Table1[[#This Row],[First_Name]])</f>
        <v>Grace</v>
      </c>
      <c r="C638" s="3" t="str">
        <f>TRIM(Table1[[#This Row],[Last_Name]])</f>
        <v>Smith</v>
      </c>
      <c r="D638" s="3">
        <f>IF(Table1[[#This Row],[Age]]="",AVERAGE(Table1[Age]),Table1[[#This Row],[Age]])</f>
        <v>35</v>
      </c>
      <c r="E638" s="3" t="s">
        <v>230</v>
      </c>
      <c r="F638" s="3" t="s">
        <v>33</v>
      </c>
      <c r="G638" s="5">
        <f>IF(ISNUMBER('Main Project Raw Data'!G638),'Main Project Raw Data'!G638,IF(ISNUMBER(SEARCH("/",'Main Project Raw Data'!G638)),DATE(RIGHT('Main Project Raw Data'!G638,4),LEFT('Main Project Raw Data'!G638,FIND("/",'Main Project Raw Data'!G638)-1),MID('Main Project Raw Data'!G638,FIND("/",'Main Project Raw Data'!G638)+1,2)),DATE(RIGHT('Main Project Raw Data'!G638,4),MID('Main Project Raw Data'!G638,4,2),LEFT('Main Project Raw Data'!G638,2))))</f>
        <v>45031</v>
      </c>
      <c r="H638" s="3">
        <f>IF(Table1[[#This Row],[Salary]]="",AVERAGE(Table1[Salary]),Table1[[#This Row],[Salary]])</f>
        <v>85155.056395582287</v>
      </c>
      <c r="I638" s="3" t="s">
        <v>135</v>
      </c>
      <c r="J638" s="3">
        <f>ABS(Table1[[#This Row],[Phone]])</f>
        <v>4884712704</v>
      </c>
      <c r="K638" s="3" t="str">
        <f>PROPER(TRIM(Table1[[#This Row],[Performance_Score]]))</f>
        <v>Good</v>
      </c>
      <c r="L638" s="3" t="b">
        <f>Table1[[#This Row],[Remote_Work]]</f>
        <v>1</v>
      </c>
      <c r="M638" s="3" t="str">
        <f>PROPER(CONCATENATE(Table13[[#This Row],[First_Name]], Table13[[#This Row],[Last_Name]]))</f>
        <v>Gracesmith</v>
      </c>
      <c r="N638" s="3" t="str">
        <f t="shared" si="9"/>
        <v>Apr</v>
      </c>
      <c r="O638" s="3" t="str">
        <f>TEXT(Table13[[#This Row],[Join_Date]],"yyyy")</f>
        <v>2023</v>
      </c>
      <c r="P638" s="3" t="str">
        <f>LEFT('Main Project Raw Data'!E638,FIND("-",'Main Project Raw Data'!E638)-1)</f>
        <v>DevOps</v>
      </c>
      <c r="Q638" s="3" t="str">
        <f>RIGHT('Main Project Raw Data'!E638,LEN('Main Project Raw Data'!E638)-FIND("-",'Main Project Raw Data'!E638))</f>
        <v>Florida</v>
      </c>
    </row>
    <row r="639" spans="1:17" x14ac:dyDescent="0.3">
      <c r="A639" s="3" t="str">
        <f>TRIM(Table1[[#This Row],[Employee_ID]])</f>
        <v>EMP1637</v>
      </c>
      <c r="B639" s="3" t="str">
        <f>TRIM(Table1[[#This Row],[First_Name]])</f>
        <v>Bob</v>
      </c>
      <c r="C639" s="3" t="str">
        <f>TRIM(Table1[[#This Row],[Last_Name]])</f>
        <v>Davis</v>
      </c>
      <c r="D639" s="3">
        <f>IF(Table1[[#This Row],[Age]]="",AVERAGE(Table1[Age]),Table1[[#This Row],[Age]])</f>
        <v>25</v>
      </c>
      <c r="E639" s="3" t="s">
        <v>177</v>
      </c>
      <c r="F639" s="3" t="s">
        <v>28</v>
      </c>
      <c r="G639" s="5">
        <f>IF(ISNUMBER('Main Project Raw Data'!G639),'Main Project Raw Data'!G639,IF(ISNUMBER(SEARCH("/",'Main Project Raw Data'!G639)),DATE(RIGHT('Main Project Raw Data'!G639,4),LEFT('Main Project Raw Data'!G639,FIND("/",'Main Project Raw Data'!G639)-1),MID('Main Project Raw Data'!G639,FIND("/",'Main Project Raw Data'!G639)+1,2)),DATE(RIGHT('Main Project Raw Data'!G639,4),MID('Main Project Raw Data'!G639,4,2),LEFT('Main Project Raw Data'!G639,2))))</f>
        <v>45530</v>
      </c>
      <c r="H639" s="3">
        <f>IF(Table1[[#This Row],[Salary]]="",AVERAGE(Table1[Salary]),Table1[[#This Row],[Salary]])</f>
        <v>89137.97</v>
      </c>
      <c r="I639" s="3" t="s">
        <v>17</v>
      </c>
      <c r="J639" s="3">
        <f>ABS(Table1[[#This Row],[Phone]])</f>
        <v>8772216416</v>
      </c>
      <c r="K639" s="3" t="str">
        <f>PROPER(TRIM(Table1[[#This Row],[Performance_Score]]))</f>
        <v>Average</v>
      </c>
      <c r="L639" s="3" t="b">
        <f>Table1[[#This Row],[Remote_Work]]</f>
        <v>0</v>
      </c>
      <c r="M639" s="3" t="str">
        <f>PROPER(CONCATENATE(Table13[[#This Row],[First_Name]], Table13[[#This Row],[Last_Name]]))</f>
        <v>Bobdavis</v>
      </c>
      <c r="N639" s="3" t="str">
        <f t="shared" si="9"/>
        <v>Aug</v>
      </c>
      <c r="O639" s="3" t="str">
        <f>TEXT(Table13[[#This Row],[Join_Date]],"yyyy")</f>
        <v>2024</v>
      </c>
      <c r="P639" s="3" t="str">
        <f>LEFT('Main Project Raw Data'!E639,FIND("-",'Main Project Raw Data'!E639)-1)</f>
        <v>Sales</v>
      </c>
      <c r="Q639" s="3" t="str">
        <f>RIGHT('Main Project Raw Data'!E639,LEN('Main Project Raw Data'!E639)-FIND("-",'Main Project Raw Data'!E639))</f>
        <v>California</v>
      </c>
    </row>
    <row r="640" spans="1:17" x14ac:dyDescent="0.3">
      <c r="A640" s="3" t="str">
        <f>TRIM(Table1[[#This Row],[Employee_ID]])</f>
        <v>EMP1638</v>
      </c>
      <c r="B640" s="3" t="str">
        <f>TRIM(Table1[[#This Row],[First_Name]])</f>
        <v>Frank</v>
      </c>
      <c r="C640" s="3" t="str">
        <f>TRIM(Table1[[#This Row],[Last_Name]])</f>
        <v>Johnson</v>
      </c>
      <c r="D640" s="3">
        <f>IF(Table1[[#This Row],[Age]]="",AVERAGE(Table1[Age]),Table1[[#This Row],[Age]])</f>
        <v>35</v>
      </c>
      <c r="E640" s="3" t="s">
        <v>89</v>
      </c>
      <c r="F640" s="3" t="s">
        <v>16</v>
      </c>
      <c r="G640" s="5">
        <f>IF(ISNUMBER('Main Project Raw Data'!G640),'Main Project Raw Data'!G640,IF(ISNUMBER(SEARCH("/",'Main Project Raw Data'!G640)),DATE(RIGHT('Main Project Raw Data'!G640,4),LEFT('Main Project Raw Data'!G640,FIND("/",'Main Project Raw Data'!G640)-1),MID('Main Project Raw Data'!G640,FIND("/",'Main Project Raw Data'!G640)+1,2)),DATE(RIGHT('Main Project Raw Data'!G640,4),MID('Main Project Raw Data'!G640,4,2),LEFT('Main Project Raw Data'!G640,2))))</f>
        <v>44762</v>
      </c>
      <c r="H640" s="3">
        <f>IF(Table1[[#This Row],[Salary]]="",AVERAGE(Table1[Salary]),Table1[[#This Row],[Salary]])</f>
        <v>115079.97</v>
      </c>
      <c r="I640" s="3" t="s">
        <v>271</v>
      </c>
      <c r="J640" s="3">
        <f>ABS(Table1[[#This Row],[Phone]])</f>
        <v>5823133483</v>
      </c>
      <c r="K640" s="3" t="str">
        <f>PROPER(TRIM(Table1[[#This Row],[Performance_Score]]))</f>
        <v>Excellent</v>
      </c>
      <c r="L640" s="3" t="b">
        <f>Table1[[#This Row],[Remote_Work]]</f>
        <v>1</v>
      </c>
      <c r="M640" s="3" t="str">
        <f>PROPER(CONCATENATE(Table13[[#This Row],[First_Name]], Table13[[#This Row],[Last_Name]]))</f>
        <v>Frankjohnson</v>
      </c>
      <c r="N640" s="3" t="str">
        <f t="shared" si="9"/>
        <v>Jul</v>
      </c>
      <c r="O640" s="3" t="str">
        <f>TEXT(Table13[[#This Row],[Join_Date]],"yyyy")</f>
        <v>2022</v>
      </c>
      <c r="P640" s="3" t="str">
        <f>LEFT('Main Project Raw Data'!E640,FIND("-",'Main Project Raw Data'!E640)-1)</f>
        <v>Admin</v>
      </c>
      <c r="Q640" s="3" t="str">
        <f>RIGHT('Main Project Raw Data'!E640,LEN('Main Project Raw Data'!E640)-FIND("-",'Main Project Raw Data'!E640))</f>
        <v>Illinois</v>
      </c>
    </row>
    <row r="641" spans="1:17" x14ac:dyDescent="0.3">
      <c r="A641" s="3" t="str">
        <f>TRIM(Table1[[#This Row],[Employee_ID]])</f>
        <v>EMP1639</v>
      </c>
      <c r="B641" s="3" t="str">
        <f>TRIM(Table1[[#This Row],[First_Name]])</f>
        <v>Eva</v>
      </c>
      <c r="C641" s="3" t="str">
        <f>TRIM(Table1[[#This Row],[Last_Name]])</f>
        <v>Garcia</v>
      </c>
      <c r="D641" s="3">
        <f>IF(Table1[[#This Row],[Age]]="",AVERAGE(Table1[Age]),Table1[[#This Row],[Age]])</f>
        <v>30</v>
      </c>
      <c r="E641" s="3" t="s">
        <v>265</v>
      </c>
      <c r="F641" s="3" t="s">
        <v>16</v>
      </c>
      <c r="G641" s="5">
        <f>IF(ISNUMBER('Main Project Raw Data'!G641),'Main Project Raw Data'!G641,IF(ISNUMBER(SEARCH("/",'Main Project Raw Data'!G641)),DATE(RIGHT('Main Project Raw Data'!G641,4),LEFT('Main Project Raw Data'!G641,FIND("/",'Main Project Raw Data'!G641)-1),MID('Main Project Raw Data'!G641,FIND("/",'Main Project Raw Data'!G641)+1,2)),DATE(RIGHT('Main Project Raw Data'!G641,4),MID('Main Project Raw Data'!G641,4,2),LEFT('Main Project Raw Data'!G641,2))))</f>
        <v>44975</v>
      </c>
      <c r="H641" s="3">
        <f>IF(Table1[[#This Row],[Salary]]="",AVERAGE(Table1[Salary]),Table1[[#This Row],[Salary]])</f>
        <v>55067.02</v>
      </c>
      <c r="I641" s="3" t="s">
        <v>296</v>
      </c>
      <c r="J641" s="3">
        <f>ABS(Table1[[#This Row],[Phone]])</f>
        <v>5871493924</v>
      </c>
      <c r="K641" s="3" t="str">
        <f>PROPER(TRIM(Table1[[#This Row],[Performance_Score]]))</f>
        <v>Poor</v>
      </c>
      <c r="L641" s="3" t="b">
        <f>Table1[[#This Row],[Remote_Work]]</f>
        <v>1</v>
      </c>
      <c r="M641" s="3" t="str">
        <f>PROPER(CONCATENATE(Table13[[#This Row],[First_Name]], Table13[[#This Row],[Last_Name]]))</f>
        <v>Evagarcia</v>
      </c>
      <c r="N641" s="3" t="str">
        <f t="shared" si="9"/>
        <v>Feb</v>
      </c>
      <c r="O641" s="3" t="str">
        <f>TEXT(Table13[[#This Row],[Join_Date]],"yyyy")</f>
        <v>2023</v>
      </c>
      <c r="P641" s="3" t="str">
        <f>LEFT('Main Project Raw Data'!E641,FIND("-",'Main Project Raw Data'!E641)-1)</f>
        <v>Finance</v>
      </c>
      <c r="Q641" s="3" t="str">
        <f>RIGHT('Main Project Raw Data'!E641,LEN('Main Project Raw Data'!E641)-FIND("-",'Main Project Raw Data'!E641))</f>
        <v>Illinois</v>
      </c>
    </row>
    <row r="642" spans="1:17" x14ac:dyDescent="0.3">
      <c r="A642" s="3" t="str">
        <f>TRIM(Table1[[#This Row],[Employee_ID]])</f>
        <v>EMP1640</v>
      </c>
      <c r="B642" s="3" t="str">
        <f>TRIM(Table1[[#This Row],[First_Name]])</f>
        <v>Bob</v>
      </c>
      <c r="C642" s="3" t="str">
        <f>TRIM(Table1[[#This Row],[Last_Name]])</f>
        <v>Miller</v>
      </c>
      <c r="D642" s="3">
        <f>IF(Table1[[#This Row],[Age]]="",AVERAGE(Table1[Age]),Table1[[#This Row],[Age]])</f>
        <v>32.484548825710753</v>
      </c>
      <c r="E642" s="3" t="s">
        <v>192</v>
      </c>
      <c r="F642" s="3" t="s">
        <v>28</v>
      </c>
      <c r="G642" s="5">
        <f>IF(ISNUMBER('Main Project Raw Data'!G642),'Main Project Raw Data'!G642,IF(ISNUMBER(SEARCH("/",'Main Project Raw Data'!G642)),DATE(RIGHT('Main Project Raw Data'!G642,4),LEFT('Main Project Raw Data'!G642,FIND("/",'Main Project Raw Data'!G642)-1),MID('Main Project Raw Data'!G642,FIND("/",'Main Project Raw Data'!G642)+1,2)),DATE(RIGHT('Main Project Raw Data'!G642,4),MID('Main Project Raw Data'!G642,4,2),LEFT('Main Project Raw Data'!G642,2))))</f>
        <v>44343</v>
      </c>
      <c r="H642" s="3">
        <f>IF(Table1[[#This Row],[Salary]]="",AVERAGE(Table1[Salary]),Table1[[#This Row],[Salary]])</f>
        <v>98593.43</v>
      </c>
      <c r="I642" s="3" t="s">
        <v>93</v>
      </c>
      <c r="J642" s="3">
        <f>ABS(Table1[[#This Row],[Phone]])</f>
        <v>2362292586</v>
      </c>
      <c r="K642" s="3" t="str">
        <f>PROPER(TRIM(Table1[[#This Row],[Performance_Score]]))</f>
        <v>Average</v>
      </c>
      <c r="L642" s="3" t="b">
        <f>Table1[[#This Row],[Remote_Work]]</f>
        <v>1</v>
      </c>
      <c r="M642" s="3" t="str">
        <f>PROPER(CONCATENATE(Table13[[#This Row],[First_Name]], Table13[[#This Row],[Last_Name]]))</f>
        <v>Bobmiller</v>
      </c>
      <c r="N642" s="3" t="str">
        <f t="shared" ref="N642:N705" si="10">TEXT(G642,"mmm")</f>
        <v>May</v>
      </c>
      <c r="O642" s="3" t="str">
        <f>TEXT(Table13[[#This Row],[Join_Date]],"yyyy")</f>
        <v>2021</v>
      </c>
      <c r="P642" s="3" t="str">
        <f>LEFT('Main Project Raw Data'!E642,FIND("-",'Main Project Raw Data'!E642)-1)</f>
        <v>HR</v>
      </c>
      <c r="Q642" s="3" t="str">
        <f>RIGHT('Main Project Raw Data'!E642,LEN('Main Project Raw Data'!E642)-FIND("-",'Main Project Raw Data'!E642))</f>
        <v>Illinois</v>
      </c>
    </row>
    <row r="643" spans="1:17" x14ac:dyDescent="0.3">
      <c r="A643" s="3" t="str">
        <f>TRIM(Table1[[#This Row],[Employee_ID]])</f>
        <v>EMP1641</v>
      </c>
      <c r="B643" s="3" t="str">
        <f>TRIM(Table1[[#This Row],[First_Name]])</f>
        <v>Heidi</v>
      </c>
      <c r="C643" s="3" t="str">
        <f>TRIM(Table1[[#This Row],[Last_Name]])</f>
        <v>Miller</v>
      </c>
      <c r="D643" s="3">
        <f>IF(Table1[[#This Row],[Age]]="",AVERAGE(Table1[Age]),Table1[[#This Row],[Age]])</f>
        <v>30</v>
      </c>
      <c r="E643" s="3" t="s">
        <v>212</v>
      </c>
      <c r="F643" s="3" t="s">
        <v>28</v>
      </c>
      <c r="G643" s="5">
        <f>IF(ISNUMBER('Main Project Raw Data'!G643),'Main Project Raw Data'!G643,IF(ISNUMBER(SEARCH("/",'Main Project Raw Data'!G643)),DATE(RIGHT('Main Project Raw Data'!G643,4),LEFT('Main Project Raw Data'!G643,FIND("/",'Main Project Raw Data'!G643)-1),MID('Main Project Raw Data'!G643,FIND("/",'Main Project Raw Data'!G643)+1,2)),DATE(RIGHT('Main Project Raw Data'!G643,4),MID('Main Project Raw Data'!G643,4,2),LEFT('Main Project Raw Data'!G643,2))))</f>
        <v>44569</v>
      </c>
      <c r="H643" s="3">
        <f>IF(Table1[[#This Row],[Salary]]="",AVERAGE(Table1[Salary]),Table1[[#This Row],[Salary]])</f>
        <v>112756.67</v>
      </c>
      <c r="I643" s="3" t="s">
        <v>130</v>
      </c>
      <c r="J643" s="3">
        <f>ABS(Table1[[#This Row],[Phone]])</f>
        <v>9643474523</v>
      </c>
      <c r="K643" s="3" t="str">
        <f>PROPER(TRIM(Table1[[#This Row],[Performance_Score]]))</f>
        <v>Average</v>
      </c>
      <c r="L643" s="3" t="b">
        <f>Table1[[#This Row],[Remote_Work]]</f>
        <v>1</v>
      </c>
      <c r="M643" s="3" t="str">
        <f>PROPER(CONCATENATE(Table13[[#This Row],[First_Name]], Table13[[#This Row],[Last_Name]]))</f>
        <v>Heidimiller</v>
      </c>
      <c r="N643" s="3" t="str">
        <f t="shared" si="10"/>
        <v>Jan</v>
      </c>
      <c r="O643" s="3" t="str">
        <f>TEXT(Table13[[#This Row],[Join_Date]],"yyyy")</f>
        <v>2022</v>
      </c>
      <c r="P643" s="3" t="str">
        <f>LEFT('Main Project Raw Data'!E643,FIND("-",'Main Project Raw Data'!E643)-1)</f>
        <v>HR</v>
      </c>
      <c r="Q643" s="3" t="str">
        <f>RIGHT('Main Project Raw Data'!E643,LEN('Main Project Raw Data'!E643)-FIND("-",'Main Project Raw Data'!E643))</f>
        <v>Florida</v>
      </c>
    </row>
    <row r="644" spans="1:17" x14ac:dyDescent="0.3">
      <c r="A644" s="3" t="str">
        <f>TRIM(Table1[[#This Row],[Employee_ID]])</f>
        <v>EMP1642</v>
      </c>
      <c r="B644" s="3" t="str">
        <f>TRIM(Table1[[#This Row],[First_Name]])</f>
        <v>Heidi</v>
      </c>
      <c r="C644" s="3" t="str">
        <f>TRIM(Table1[[#This Row],[Last_Name]])</f>
        <v>Garcia</v>
      </c>
      <c r="D644" s="3">
        <f>IF(Table1[[#This Row],[Age]]="",AVERAGE(Table1[Age]),Table1[[#This Row],[Age]])</f>
        <v>25</v>
      </c>
      <c r="E644" s="3" t="s">
        <v>139</v>
      </c>
      <c r="F644" s="3" t="s">
        <v>33</v>
      </c>
      <c r="G644" s="5">
        <f>IF(ISNUMBER('Main Project Raw Data'!G644),'Main Project Raw Data'!G644,IF(ISNUMBER(SEARCH("/",'Main Project Raw Data'!G644)),DATE(RIGHT('Main Project Raw Data'!G644,4),LEFT('Main Project Raw Data'!G644,FIND("/",'Main Project Raw Data'!G644)-1),MID('Main Project Raw Data'!G644,FIND("/",'Main Project Raw Data'!G644)+1,2)),DATE(RIGHT('Main Project Raw Data'!G644,4),MID('Main Project Raw Data'!G644,4,2),LEFT('Main Project Raw Data'!G644,2))))</f>
        <v>45128</v>
      </c>
      <c r="H644" s="3">
        <f>IF(Table1[[#This Row],[Salary]]="",AVERAGE(Table1[Salary]),Table1[[#This Row],[Salary]])</f>
        <v>105205.92</v>
      </c>
      <c r="I644" s="3" t="s">
        <v>257</v>
      </c>
      <c r="J644" s="3">
        <f>ABS(Table1[[#This Row],[Phone]])</f>
        <v>5557469659</v>
      </c>
      <c r="K644" s="3" t="str">
        <f>PROPER(TRIM(Table1[[#This Row],[Performance_Score]]))</f>
        <v>Poor</v>
      </c>
      <c r="L644" s="3" t="b">
        <f>Table1[[#This Row],[Remote_Work]]</f>
        <v>0</v>
      </c>
      <c r="M644" s="3" t="str">
        <f>PROPER(CONCATENATE(Table13[[#This Row],[First_Name]], Table13[[#This Row],[Last_Name]]))</f>
        <v>Heidigarcia</v>
      </c>
      <c r="N644" s="3" t="str">
        <f t="shared" si="10"/>
        <v>Jul</v>
      </c>
      <c r="O644" s="3" t="str">
        <f>TEXT(Table13[[#This Row],[Join_Date]],"yyyy")</f>
        <v>2023</v>
      </c>
      <c r="P644" s="3" t="str">
        <f>LEFT('Main Project Raw Data'!E644,FIND("-",'Main Project Raw Data'!E644)-1)</f>
        <v>HR</v>
      </c>
      <c r="Q644" s="3" t="str">
        <f>RIGHT('Main Project Raw Data'!E644,LEN('Main Project Raw Data'!E644)-FIND("-",'Main Project Raw Data'!E644))</f>
        <v>Texas</v>
      </c>
    </row>
    <row r="645" spans="1:17" x14ac:dyDescent="0.3">
      <c r="A645" s="3" t="str">
        <f>TRIM(Table1[[#This Row],[Employee_ID]])</f>
        <v>EMP1643</v>
      </c>
      <c r="B645" s="3" t="str">
        <f>TRIM(Table1[[#This Row],[First_Name]])</f>
        <v>David</v>
      </c>
      <c r="C645" s="3" t="str">
        <f>TRIM(Table1[[#This Row],[Last_Name]])</f>
        <v>Smith</v>
      </c>
      <c r="D645" s="3">
        <f>IF(Table1[[#This Row],[Age]]="",AVERAGE(Table1[Age]),Table1[[#This Row],[Age]])</f>
        <v>35</v>
      </c>
      <c r="E645" s="3" t="s">
        <v>70</v>
      </c>
      <c r="F645" s="3" t="s">
        <v>28</v>
      </c>
      <c r="G645" s="5">
        <f>IF(ISNUMBER('Main Project Raw Data'!G645),'Main Project Raw Data'!G645,IF(ISNUMBER(SEARCH("/",'Main Project Raw Data'!G645)),DATE(RIGHT('Main Project Raw Data'!G645,4),LEFT('Main Project Raw Data'!G645,FIND("/",'Main Project Raw Data'!G645)-1),MID('Main Project Raw Data'!G645,FIND("/",'Main Project Raw Data'!G645)+1,2)),DATE(RIGHT('Main Project Raw Data'!G645,4),MID('Main Project Raw Data'!G645,4,2),LEFT('Main Project Raw Data'!G645,2))))</f>
        <v>44958</v>
      </c>
      <c r="H645" s="3">
        <f>IF(Table1[[#This Row],[Salary]]="",AVERAGE(Table1[Salary]),Table1[[#This Row],[Salary]])</f>
        <v>50680.62</v>
      </c>
      <c r="I645" s="3" t="s">
        <v>340</v>
      </c>
      <c r="J645" s="3">
        <f>ABS(Table1[[#This Row],[Phone]])</f>
        <v>6065274032</v>
      </c>
      <c r="K645" s="3" t="str">
        <f>PROPER(TRIM(Table1[[#This Row],[Performance_Score]]))</f>
        <v>Average</v>
      </c>
      <c r="L645" s="3" t="b">
        <f>Table1[[#This Row],[Remote_Work]]</f>
        <v>1</v>
      </c>
      <c r="M645" s="3" t="str">
        <f>PROPER(CONCATENATE(Table13[[#This Row],[First_Name]], Table13[[#This Row],[Last_Name]]))</f>
        <v>Davidsmith</v>
      </c>
      <c r="N645" s="3" t="str">
        <f t="shared" si="10"/>
        <v>Feb</v>
      </c>
      <c r="O645" s="3" t="str">
        <f>TEXT(Table13[[#This Row],[Join_Date]],"yyyy")</f>
        <v>2023</v>
      </c>
      <c r="P645" s="3" t="str">
        <f>LEFT('Main Project Raw Data'!E645,FIND("-",'Main Project Raw Data'!E645)-1)</f>
        <v>Finance</v>
      </c>
      <c r="Q645" s="3" t="str">
        <f>RIGHT('Main Project Raw Data'!E645,LEN('Main Project Raw Data'!E645)-FIND("-",'Main Project Raw Data'!E645))</f>
        <v>California</v>
      </c>
    </row>
    <row r="646" spans="1:17" x14ac:dyDescent="0.3">
      <c r="A646" s="3" t="str">
        <f>TRIM(Table1[[#This Row],[Employee_ID]])</f>
        <v>EMP1644</v>
      </c>
      <c r="B646" s="3" t="str">
        <f>TRIM(Table1[[#This Row],[First_Name]])</f>
        <v>David</v>
      </c>
      <c r="C646" s="3" t="str">
        <f>TRIM(Table1[[#This Row],[Last_Name]])</f>
        <v>Garcia</v>
      </c>
      <c r="D646" s="3">
        <f>IF(Table1[[#This Row],[Age]]="",AVERAGE(Table1[Age]),Table1[[#This Row],[Age]])</f>
        <v>35</v>
      </c>
      <c r="E646" s="3" t="s">
        <v>39</v>
      </c>
      <c r="F646" s="3" t="s">
        <v>28</v>
      </c>
      <c r="G646" s="5">
        <f>IF(ISNUMBER('Main Project Raw Data'!G646),'Main Project Raw Data'!G646,IF(ISNUMBER(SEARCH("/",'Main Project Raw Data'!G646)),DATE(RIGHT('Main Project Raw Data'!G646,4),LEFT('Main Project Raw Data'!G646,FIND("/",'Main Project Raw Data'!G646)-1),MID('Main Project Raw Data'!G646,FIND("/",'Main Project Raw Data'!G646)+1,2)),DATE(RIGHT('Main Project Raw Data'!G646,4),MID('Main Project Raw Data'!G646,4,2),LEFT('Main Project Raw Data'!G646,2))))</f>
        <v>45364</v>
      </c>
      <c r="H646" s="3">
        <f>IF(Table1[[#This Row],[Salary]]="",AVERAGE(Table1[Salary]),Table1[[#This Row],[Salary]])</f>
        <v>107475.23</v>
      </c>
      <c r="I646" s="3" t="s">
        <v>101</v>
      </c>
      <c r="J646" s="3">
        <f>ABS(Table1[[#This Row],[Phone]])</f>
        <v>4450566587</v>
      </c>
      <c r="K646" s="3" t="str">
        <f>PROPER(TRIM(Table1[[#This Row],[Performance_Score]]))</f>
        <v>Average</v>
      </c>
      <c r="L646" s="3" t="b">
        <f>Table1[[#This Row],[Remote_Work]]</f>
        <v>0</v>
      </c>
      <c r="M646" s="3" t="str">
        <f>PROPER(CONCATENATE(Table13[[#This Row],[First_Name]], Table13[[#This Row],[Last_Name]]))</f>
        <v>Davidgarcia</v>
      </c>
      <c r="N646" s="3" t="str">
        <f t="shared" si="10"/>
        <v>Mar</v>
      </c>
      <c r="O646" s="3" t="str">
        <f>TEXT(Table13[[#This Row],[Join_Date]],"yyyy")</f>
        <v>2024</v>
      </c>
      <c r="P646" s="3" t="str">
        <f>LEFT('Main Project Raw Data'!E646,FIND("-",'Main Project Raw Data'!E646)-1)</f>
        <v>Cloud Tech</v>
      </c>
      <c r="Q646" s="3" t="str">
        <f>RIGHT('Main Project Raw Data'!E646,LEN('Main Project Raw Data'!E646)-FIND("-",'Main Project Raw Data'!E646))</f>
        <v>Florida</v>
      </c>
    </row>
    <row r="647" spans="1:17" x14ac:dyDescent="0.3">
      <c r="A647" s="3" t="str">
        <f>TRIM(Table1[[#This Row],[Employee_ID]])</f>
        <v>EMP1645</v>
      </c>
      <c r="B647" s="3" t="str">
        <f>TRIM(Table1[[#This Row],[First_Name]])</f>
        <v>Charlie</v>
      </c>
      <c r="C647" s="3" t="str">
        <f>TRIM(Table1[[#This Row],[Last_Name]])</f>
        <v>Jones</v>
      </c>
      <c r="D647" s="3">
        <f>IF(Table1[[#This Row],[Age]]="",AVERAGE(Table1[Age]),Table1[[#This Row],[Age]])</f>
        <v>40</v>
      </c>
      <c r="E647" s="3" t="s">
        <v>146</v>
      </c>
      <c r="F647" s="3" t="s">
        <v>16</v>
      </c>
      <c r="G647" s="5">
        <f>IF(ISNUMBER('Main Project Raw Data'!G647),'Main Project Raw Data'!G647,IF(ISNUMBER(SEARCH("/",'Main Project Raw Data'!G647)),DATE(RIGHT('Main Project Raw Data'!G647,4),LEFT('Main Project Raw Data'!G647,FIND("/",'Main Project Raw Data'!G647)-1),MID('Main Project Raw Data'!G647,FIND("/",'Main Project Raw Data'!G647)+1,2)),DATE(RIGHT('Main Project Raw Data'!G647,4),MID('Main Project Raw Data'!G647,4,2),LEFT('Main Project Raw Data'!G647,2))))</f>
        <v>45005</v>
      </c>
      <c r="H647" s="3">
        <f>IF(Table1[[#This Row],[Salary]]="",AVERAGE(Table1[Salary]),Table1[[#This Row],[Salary]])</f>
        <v>68835.3</v>
      </c>
      <c r="I647" s="3" t="s">
        <v>120</v>
      </c>
      <c r="J647" s="3">
        <f>ABS(Table1[[#This Row],[Phone]])</f>
        <v>3398741131</v>
      </c>
      <c r="K647" s="3" t="str">
        <f>PROPER(TRIM(Table1[[#This Row],[Performance_Score]]))</f>
        <v>Good</v>
      </c>
      <c r="L647" s="3" t="b">
        <f>Table1[[#This Row],[Remote_Work]]</f>
        <v>1</v>
      </c>
      <c r="M647" s="3" t="str">
        <f>PROPER(CONCATENATE(Table13[[#This Row],[First_Name]], Table13[[#This Row],[Last_Name]]))</f>
        <v>Charliejones</v>
      </c>
      <c r="N647" s="3" t="str">
        <f t="shared" si="10"/>
        <v>Mar</v>
      </c>
      <c r="O647" s="3" t="str">
        <f>TEXT(Table13[[#This Row],[Join_Date]],"yyyy")</f>
        <v>2023</v>
      </c>
      <c r="P647" s="3" t="str">
        <f>LEFT('Main Project Raw Data'!E647,FIND("-",'Main Project Raw Data'!E647)-1)</f>
        <v>HR</v>
      </c>
      <c r="Q647" s="3" t="str">
        <f>RIGHT('Main Project Raw Data'!E647,LEN('Main Project Raw Data'!E647)-FIND("-",'Main Project Raw Data'!E647))</f>
        <v>California</v>
      </c>
    </row>
    <row r="648" spans="1:17" x14ac:dyDescent="0.3">
      <c r="A648" s="3" t="str">
        <f>TRIM(Table1[[#This Row],[Employee_ID]])</f>
        <v>EMP1646</v>
      </c>
      <c r="B648" s="3" t="str">
        <f>TRIM(Table1[[#This Row],[First_Name]])</f>
        <v>David</v>
      </c>
      <c r="C648" s="3" t="str">
        <f>TRIM(Table1[[#This Row],[Last_Name]])</f>
        <v>Jones</v>
      </c>
      <c r="D648" s="3">
        <f>IF(Table1[[#This Row],[Age]]="",AVERAGE(Table1[Age]),Table1[[#This Row],[Age]])</f>
        <v>40</v>
      </c>
      <c r="E648" s="3" t="s">
        <v>56</v>
      </c>
      <c r="F648" s="3" t="s">
        <v>16</v>
      </c>
      <c r="G648" s="5">
        <f>IF(ISNUMBER('Main Project Raw Data'!G648),'Main Project Raw Data'!G648,IF(ISNUMBER(SEARCH("/",'Main Project Raw Data'!G648)),DATE(RIGHT('Main Project Raw Data'!G648,4),LEFT('Main Project Raw Data'!G648,FIND("/",'Main Project Raw Data'!G648)-1),MID('Main Project Raw Data'!G648,FIND("/",'Main Project Raw Data'!G648)+1,2)),DATE(RIGHT('Main Project Raw Data'!G648,4),MID('Main Project Raw Data'!G648,4,2),LEFT('Main Project Raw Data'!G648,2))))</f>
        <v>45337</v>
      </c>
      <c r="H648" s="3">
        <f>IF(Table1[[#This Row],[Salary]]="",AVERAGE(Table1[Salary]),Table1[[#This Row],[Salary]])</f>
        <v>66943.960000000006</v>
      </c>
      <c r="I648" s="3" t="s">
        <v>242</v>
      </c>
      <c r="J648" s="3">
        <f>ABS(Table1[[#This Row],[Phone]])</f>
        <v>5797067348</v>
      </c>
      <c r="K648" s="3" t="str">
        <f>PROPER(TRIM(Table1[[#This Row],[Performance_Score]]))</f>
        <v>Poor</v>
      </c>
      <c r="L648" s="3" t="b">
        <f>Table1[[#This Row],[Remote_Work]]</f>
        <v>1</v>
      </c>
      <c r="M648" s="3" t="str">
        <f>PROPER(CONCATENATE(Table13[[#This Row],[First_Name]], Table13[[#This Row],[Last_Name]]))</f>
        <v>Davidjones</v>
      </c>
      <c r="N648" s="3" t="str">
        <f t="shared" si="10"/>
        <v>Feb</v>
      </c>
      <c r="O648" s="3" t="str">
        <f>TEXT(Table13[[#This Row],[Join_Date]],"yyyy")</f>
        <v>2024</v>
      </c>
      <c r="P648" s="3" t="str">
        <f>LEFT('Main Project Raw Data'!E648,FIND("-",'Main Project Raw Data'!E648)-1)</f>
        <v>DevOps</v>
      </c>
      <c r="Q648" s="3" t="str">
        <f>RIGHT('Main Project Raw Data'!E648,LEN('Main Project Raw Data'!E648)-FIND("-",'Main Project Raw Data'!E648))</f>
        <v>New York</v>
      </c>
    </row>
    <row r="649" spans="1:17" x14ac:dyDescent="0.3">
      <c r="A649" s="3" t="str">
        <f>TRIM(Table1[[#This Row],[Employee_ID]])</f>
        <v>EMP1647</v>
      </c>
      <c r="B649" s="3" t="str">
        <f>TRIM(Table1[[#This Row],[First_Name]])</f>
        <v>David</v>
      </c>
      <c r="C649" s="3" t="str">
        <f>TRIM(Table1[[#This Row],[Last_Name]])</f>
        <v>Smith</v>
      </c>
      <c r="D649" s="3">
        <f>IF(Table1[[#This Row],[Age]]="",AVERAGE(Table1[Age]),Table1[[#This Row],[Age]])</f>
        <v>30</v>
      </c>
      <c r="E649" s="3" t="s">
        <v>89</v>
      </c>
      <c r="F649" s="3" t="s">
        <v>33</v>
      </c>
      <c r="G649" s="5">
        <f>IF(ISNUMBER('Main Project Raw Data'!G649),'Main Project Raw Data'!G649,IF(ISNUMBER(SEARCH("/",'Main Project Raw Data'!G649)),DATE(RIGHT('Main Project Raw Data'!G649,4),LEFT('Main Project Raw Data'!G649,FIND("/",'Main Project Raw Data'!G649)-1),MID('Main Project Raw Data'!G649,FIND("/",'Main Project Raw Data'!G649)+1,2)),DATE(RIGHT('Main Project Raw Data'!G649,4),MID('Main Project Raw Data'!G649,4,2),LEFT('Main Project Raw Data'!G649,2))))</f>
        <v>44150</v>
      </c>
      <c r="H649" s="3">
        <f>IF(Table1[[#This Row],[Salary]]="",AVERAGE(Table1[Salary]),Table1[[#This Row],[Salary]])</f>
        <v>104525.69</v>
      </c>
      <c r="I649" s="3" t="s">
        <v>340</v>
      </c>
      <c r="J649" s="3">
        <f>ABS(Table1[[#This Row],[Phone]])</f>
        <v>9601054856</v>
      </c>
      <c r="K649" s="3" t="str">
        <f>PROPER(TRIM(Table1[[#This Row],[Performance_Score]]))</f>
        <v>Excellent</v>
      </c>
      <c r="L649" s="3" t="b">
        <f>Table1[[#This Row],[Remote_Work]]</f>
        <v>0</v>
      </c>
      <c r="M649" s="3" t="str">
        <f>PROPER(CONCATENATE(Table13[[#This Row],[First_Name]], Table13[[#This Row],[Last_Name]]))</f>
        <v>Davidsmith</v>
      </c>
      <c r="N649" s="3" t="str">
        <f t="shared" si="10"/>
        <v>Nov</v>
      </c>
      <c r="O649" s="3" t="str">
        <f>TEXT(Table13[[#This Row],[Join_Date]],"yyyy")</f>
        <v>2020</v>
      </c>
      <c r="P649" s="3" t="str">
        <f>LEFT('Main Project Raw Data'!E649,FIND("-",'Main Project Raw Data'!E649)-1)</f>
        <v>Admin</v>
      </c>
      <c r="Q649" s="3" t="str">
        <f>RIGHT('Main Project Raw Data'!E649,LEN('Main Project Raw Data'!E649)-FIND("-",'Main Project Raw Data'!E649))</f>
        <v>Illinois</v>
      </c>
    </row>
    <row r="650" spans="1:17" x14ac:dyDescent="0.3">
      <c r="A650" s="3" t="str">
        <f>TRIM(Table1[[#This Row],[Employee_ID]])</f>
        <v>EMP1648</v>
      </c>
      <c r="B650" s="3" t="str">
        <f>TRIM(Table1[[#This Row],[First_Name]])</f>
        <v>Bob</v>
      </c>
      <c r="C650" s="3" t="str">
        <f>TRIM(Table1[[#This Row],[Last_Name]])</f>
        <v>Garcia</v>
      </c>
      <c r="D650" s="3">
        <f>IF(Table1[[#This Row],[Age]]="",AVERAGE(Table1[Age]),Table1[[#This Row],[Age]])</f>
        <v>40</v>
      </c>
      <c r="E650" s="3" t="s">
        <v>44</v>
      </c>
      <c r="F650" s="3" t="s">
        <v>28</v>
      </c>
      <c r="G650" s="5">
        <f>IF(ISNUMBER('Main Project Raw Data'!G650),'Main Project Raw Data'!G650,IF(ISNUMBER(SEARCH("/",'Main Project Raw Data'!G650)),DATE(RIGHT('Main Project Raw Data'!G650,4),LEFT('Main Project Raw Data'!G650,FIND("/",'Main Project Raw Data'!G650)-1),MID('Main Project Raw Data'!G650,FIND("/",'Main Project Raw Data'!G650)+1,2)),DATE(RIGHT('Main Project Raw Data'!G650,4),MID('Main Project Raw Data'!G650,4,2),LEFT('Main Project Raw Data'!G650,2))))</f>
        <v>43917</v>
      </c>
      <c r="H650" s="3">
        <f>IF(Table1[[#This Row],[Salary]]="",AVERAGE(Table1[Salary]),Table1[[#This Row],[Salary]])</f>
        <v>109360.74</v>
      </c>
      <c r="I650" s="3" t="s">
        <v>153</v>
      </c>
      <c r="J650" s="3">
        <f>ABS(Table1[[#This Row],[Phone]])</f>
        <v>4172156228</v>
      </c>
      <c r="K650" s="3" t="str">
        <f>PROPER(TRIM(Table1[[#This Row],[Performance_Score]]))</f>
        <v>Average</v>
      </c>
      <c r="L650" s="3" t="b">
        <f>Table1[[#This Row],[Remote_Work]]</f>
        <v>1</v>
      </c>
      <c r="M650" s="3" t="str">
        <f>PROPER(CONCATENATE(Table13[[#This Row],[First_Name]], Table13[[#This Row],[Last_Name]]))</f>
        <v>Bobgarcia</v>
      </c>
      <c r="N650" s="3" t="str">
        <f t="shared" si="10"/>
        <v>Mar</v>
      </c>
      <c r="O650" s="3" t="str">
        <f>TEXT(Table13[[#This Row],[Join_Date]],"yyyy")</f>
        <v>2020</v>
      </c>
      <c r="P650" s="3" t="str">
        <f>LEFT('Main Project Raw Data'!E650,FIND("-",'Main Project Raw Data'!E650)-1)</f>
        <v>Sales</v>
      </c>
      <c r="Q650" s="3" t="str">
        <f>RIGHT('Main Project Raw Data'!E650,LEN('Main Project Raw Data'!E650)-FIND("-",'Main Project Raw Data'!E650))</f>
        <v>Texas</v>
      </c>
    </row>
    <row r="651" spans="1:17" x14ac:dyDescent="0.3">
      <c r="A651" s="3" t="str">
        <f>TRIM(Table1[[#This Row],[Employee_ID]])</f>
        <v>EMP1649</v>
      </c>
      <c r="B651" s="3" t="str">
        <f>TRIM(Table1[[#This Row],[First_Name]])</f>
        <v>Frank</v>
      </c>
      <c r="C651" s="3" t="str">
        <f>TRIM(Table1[[#This Row],[Last_Name]])</f>
        <v>Jones</v>
      </c>
      <c r="D651" s="3">
        <f>IF(Table1[[#This Row],[Age]]="",AVERAGE(Table1[Age]),Table1[[#This Row],[Age]])</f>
        <v>40</v>
      </c>
      <c r="E651" s="3" t="s">
        <v>177</v>
      </c>
      <c r="F651" s="3" t="s">
        <v>33</v>
      </c>
      <c r="G651" s="5">
        <f>IF(ISNUMBER('Main Project Raw Data'!G651),'Main Project Raw Data'!G651,IF(ISNUMBER(SEARCH("/",'Main Project Raw Data'!G651)),DATE(RIGHT('Main Project Raw Data'!G651,4),LEFT('Main Project Raw Data'!G651,FIND("/",'Main Project Raw Data'!G651)-1),MID('Main Project Raw Data'!G651,FIND("/",'Main Project Raw Data'!G651)+1,2)),DATE(RIGHT('Main Project Raw Data'!G651,4),MID('Main Project Raw Data'!G651,4,2),LEFT('Main Project Raw Data'!G651,2))))</f>
        <v>44440</v>
      </c>
      <c r="H651" s="3">
        <f>IF(Table1[[#This Row],[Salary]]="",AVERAGE(Table1[Salary]),Table1[[#This Row],[Salary]])</f>
        <v>118907.63</v>
      </c>
      <c r="I651" s="3" t="s">
        <v>47</v>
      </c>
      <c r="J651" s="3">
        <f>ABS(Table1[[#This Row],[Phone]])</f>
        <v>4938173597</v>
      </c>
      <c r="K651" s="3" t="str">
        <f>PROPER(TRIM(Table1[[#This Row],[Performance_Score]]))</f>
        <v>Poor</v>
      </c>
      <c r="L651" s="3" t="b">
        <f>Table1[[#This Row],[Remote_Work]]</f>
        <v>0</v>
      </c>
      <c r="M651" s="3" t="str">
        <f>PROPER(CONCATENATE(Table13[[#This Row],[First_Name]], Table13[[#This Row],[Last_Name]]))</f>
        <v>Frankjones</v>
      </c>
      <c r="N651" s="3" t="str">
        <f t="shared" si="10"/>
        <v>Sep</v>
      </c>
      <c r="O651" s="3" t="str">
        <f>TEXT(Table13[[#This Row],[Join_Date]],"yyyy")</f>
        <v>2021</v>
      </c>
      <c r="P651" s="3" t="str">
        <f>LEFT('Main Project Raw Data'!E651,FIND("-",'Main Project Raw Data'!E651)-1)</f>
        <v>Sales</v>
      </c>
      <c r="Q651" s="3" t="str">
        <f>RIGHT('Main Project Raw Data'!E651,LEN('Main Project Raw Data'!E651)-FIND("-",'Main Project Raw Data'!E651))</f>
        <v>California</v>
      </c>
    </row>
    <row r="652" spans="1:17" x14ac:dyDescent="0.3">
      <c r="A652" s="3" t="str">
        <f>TRIM(Table1[[#This Row],[Employee_ID]])</f>
        <v>EMP1650</v>
      </c>
      <c r="B652" s="3" t="str">
        <f>TRIM(Table1[[#This Row],[First_Name]])</f>
        <v>Eva</v>
      </c>
      <c r="C652" s="3" t="str">
        <f>TRIM(Table1[[#This Row],[Last_Name]])</f>
        <v>Davis</v>
      </c>
      <c r="D652" s="3">
        <f>IF(Table1[[#This Row],[Age]]="",AVERAGE(Table1[Age]),Table1[[#This Row],[Age]])</f>
        <v>40</v>
      </c>
      <c r="E652" s="3" t="s">
        <v>89</v>
      </c>
      <c r="F652" s="3" t="s">
        <v>16</v>
      </c>
      <c r="G652" s="5">
        <f>IF(ISNUMBER('Main Project Raw Data'!G652),'Main Project Raw Data'!G652,IF(ISNUMBER(SEARCH("/",'Main Project Raw Data'!G652)),DATE(RIGHT('Main Project Raw Data'!G652,4),LEFT('Main Project Raw Data'!G652,FIND("/",'Main Project Raw Data'!G652)-1),MID('Main Project Raw Data'!G652,FIND("/",'Main Project Raw Data'!G652)+1,2)),DATE(RIGHT('Main Project Raw Data'!G652,4),MID('Main Project Raw Data'!G652,4,2),LEFT('Main Project Raw Data'!G652,2))))</f>
        <v>43941</v>
      </c>
      <c r="H652" s="3">
        <f>IF(Table1[[#This Row],[Salary]]="",AVERAGE(Table1[Salary]),Table1[[#This Row],[Salary]])</f>
        <v>86801.48</v>
      </c>
      <c r="I652" s="3" t="s">
        <v>35</v>
      </c>
      <c r="J652" s="3">
        <f>ABS(Table1[[#This Row],[Phone]])</f>
        <v>4884021556</v>
      </c>
      <c r="K652" s="3" t="str">
        <f>PROPER(TRIM(Table1[[#This Row],[Performance_Score]]))</f>
        <v>Good</v>
      </c>
      <c r="L652" s="3" t="b">
        <f>Table1[[#This Row],[Remote_Work]]</f>
        <v>0</v>
      </c>
      <c r="M652" s="3" t="str">
        <f>PROPER(CONCATENATE(Table13[[#This Row],[First_Name]], Table13[[#This Row],[Last_Name]]))</f>
        <v>Evadavis</v>
      </c>
      <c r="N652" s="3" t="str">
        <f t="shared" si="10"/>
        <v>Apr</v>
      </c>
      <c r="O652" s="3" t="str">
        <f>TEXT(Table13[[#This Row],[Join_Date]],"yyyy")</f>
        <v>2020</v>
      </c>
      <c r="P652" s="3" t="str">
        <f>LEFT('Main Project Raw Data'!E652,FIND("-",'Main Project Raw Data'!E652)-1)</f>
        <v>Admin</v>
      </c>
      <c r="Q652" s="3" t="str">
        <f>RIGHT('Main Project Raw Data'!E652,LEN('Main Project Raw Data'!E652)-FIND("-",'Main Project Raw Data'!E652))</f>
        <v>Illinois</v>
      </c>
    </row>
    <row r="653" spans="1:17" x14ac:dyDescent="0.3">
      <c r="A653" s="3" t="str">
        <f>TRIM(Table1[[#This Row],[Employee_ID]])</f>
        <v>EMP1651</v>
      </c>
      <c r="B653" s="3" t="str">
        <f>TRIM(Table1[[#This Row],[First_Name]])</f>
        <v>Alice</v>
      </c>
      <c r="C653" s="3" t="str">
        <f>TRIM(Table1[[#This Row],[Last_Name]])</f>
        <v>Garcia</v>
      </c>
      <c r="D653" s="3">
        <f>IF(Table1[[#This Row],[Age]]="",AVERAGE(Table1[Age]),Table1[[#This Row],[Age]])</f>
        <v>32.484548825710753</v>
      </c>
      <c r="E653" s="3" t="s">
        <v>212</v>
      </c>
      <c r="F653" s="3" t="s">
        <v>28</v>
      </c>
      <c r="G653" s="5">
        <f>IF(ISNUMBER('Main Project Raw Data'!G653),'Main Project Raw Data'!G653,IF(ISNUMBER(SEARCH("/",'Main Project Raw Data'!G653)),DATE(RIGHT('Main Project Raw Data'!G653,4),LEFT('Main Project Raw Data'!G653,FIND("/",'Main Project Raw Data'!G653)-1),MID('Main Project Raw Data'!G653,FIND("/",'Main Project Raw Data'!G653)+1,2)),DATE(RIGHT('Main Project Raw Data'!G653,4),MID('Main Project Raw Data'!G653,4,2),LEFT('Main Project Raw Data'!G653,2))))</f>
        <v>45509</v>
      </c>
      <c r="H653" s="3">
        <f>IF(Table1[[#This Row],[Salary]]="",AVERAGE(Table1[Salary]),Table1[[#This Row],[Salary]])</f>
        <v>62236.03</v>
      </c>
      <c r="I653" s="3" t="s">
        <v>45</v>
      </c>
      <c r="J653" s="3">
        <f>ABS(Table1[[#This Row],[Phone]])</f>
        <v>3257375533</v>
      </c>
      <c r="K653" s="3" t="str">
        <f>PROPER(TRIM(Table1[[#This Row],[Performance_Score]]))</f>
        <v>Excellent</v>
      </c>
      <c r="L653" s="3" t="b">
        <f>Table1[[#This Row],[Remote_Work]]</f>
        <v>1</v>
      </c>
      <c r="M653" s="3" t="str">
        <f>PROPER(CONCATENATE(Table13[[#This Row],[First_Name]], Table13[[#This Row],[Last_Name]]))</f>
        <v>Alicegarcia</v>
      </c>
      <c r="N653" s="3" t="str">
        <f t="shared" si="10"/>
        <v>Aug</v>
      </c>
      <c r="O653" s="3" t="str">
        <f>TEXT(Table13[[#This Row],[Join_Date]],"yyyy")</f>
        <v>2024</v>
      </c>
      <c r="P653" s="3" t="str">
        <f>LEFT('Main Project Raw Data'!E653,FIND("-",'Main Project Raw Data'!E653)-1)</f>
        <v>HR</v>
      </c>
      <c r="Q653" s="3" t="str">
        <f>RIGHT('Main Project Raw Data'!E653,LEN('Main Project Raw Data'!E653)-FIND("-",'Main Project Raw Data'!E653))</f>
        <v>Florida</v>
      </c>
    </row>
    <row r="654" spans="1:17" x14ac:dyDescent="0.3">
      <c r="A654" s="3" t="str">
        <f>TRIM(Table1[[#This Row],[Employee_ID]])</f>
        <v>EMP1652</v>
      </c>
      <c r="B654" s="3" t="str">
        <f>TRIM(Table1[[#This Row],[First_Name]])</f>
        <v>Heidi</v>
      </c>
      <c r="C654" s="3" t="str">
        <f>TRIM(Table1[[#This Row],[Last_Name]])</f>
        <v>Davis</v>
      </c>
      <c r="D654" s="3">
        <f>IF(Table1[[#This Row],[Age]]="",AVERAGE(Table1[Age]),Table1[[#This Row],[Age]])</f>
        <v>35</v>
      </c>
      <c r="E654" s="3" t="s">
        <v>237</v>
      </c>
      <c r="F654" s="3" t="s">
        <v>16</v>
      </c>
      <c r="G654" s="5">
        <f>IF(ISNUMBER('Main Project Raw Data'!G654),'Main Project Raw Data'!G654,IF(ISNUMBER(SEARCH("/",'Main Project Raw Data'!G654)),DATE(RIGHT('Main Project Raw Data'!G654,4),LEFT('Main Project Raw Data'!G654,FIND("/",'Main Project Raw Data'!G654)-1),MID('Main Project Raw Data'!G654,FIND("/",'Main Project Raw Data'!G654)+1,2)),DATE(RIGHT('Main Project Raw Data'!G654,4),MID('Main Project Raw Data'!G654,4,2),LEFT('Main Project Raw Data'!G654,2))))</f>
        <v>45270</v>
      </c>
      <c r="H654" s="3">
        <f>IF(Table1[[#This Row],[Salary]]="",AVERAGE(Table1[Salary]),Table1[[#This Row],[Salary]])</f>
        <v>64752.67</v>
      </c>
      <c r="I654" s="3" t="s">
        <v>394</v>
      </c>
      <c r="J654" s="3">
        <f>ABS(Table1[[#This Row],[Phone]])</f>
        <v>4902166669</v>
      </c>
      <c r="K654" s="3" t="str">
        <f>PROPER(TRIM(Table1[[#This Row],[Performance_Score]]))</f>
        <v>Poor</v>
      </c>
      <c r="L654" s="3" t="b">
        <f>Table1[[#This Row],[Remote_Work]]</f>
        <v>0</v>
      </c>
      <c r="M654" s="3" t="str">
        <f>PROPER(CONCATENATE(Table13[[#This Row],[First_Name]], Table13[[#This Row],[Last_Name]]))</f>
        <v>Heididavis</v>
      </c>
      <c r="N654" s="3" t="str">
        <f t="shared" si="10"/>
        <v>Dec</v>
      </c>
      <c r="O654" s="3" t="str">
        <f>TEXT(Table13[[#This Row],[Join_Date]],"yyyy")</f>
        <v>2023</v>
      </c>
      <c r="P654" s="3" t="str">
        <f>LEFT('Main Project Raw Data'!E654,FIND("-",'Main Project Raw Data'!E654)-1)</f>
        <v>DevOps</v>
      </c>
      <c r="Q654" s="3" t="str">
        <f>RIGHT('Main Project Raw Data'!E654,LEN('Main Project Raw Data'!E654)-FIND("-",'Main Project Raw Data'!E654))</f>
        <v>Texas</v>
      </c>
    </row>
    <row r="655" spans="1:17" x14ac:dyDescent="0.3">
      <c r="A655" s="3" t="str">
        <f>TRIM(Table1[[#This Row],[Employee_ID]])</f>
        <v>EMP1653</v>
      </c>
      <c r="B655" s="3" t="str">
        <f>TRIM(Table1[[#This Row],[First_Name]])</f>
        <v>Frank</v>
      </c>
      <c r="C655" s="3" t="str">
        <f>TRIM(Table1[[#This Row],[Last_Name]])</f>
        <v>Jones</v>
      </c>
      <c r="D655" s="3">
        <f>IF(Table1[[#This Row],[Age]]="",AVERAGE(Table1[Age]),Table1[[#This Row],[Age]])</f>
        <v>35</v>
      </c>
      <c r="E655" s="3" t="s">
        <v>177</v>
      </c>
      <c r="F655" s="3" t="s">
        <v>16</v>
      </c>
      <c r="G655" s="5">
        <f>IF(ISNUMBER('Main Project Raw Data'!G655),'Main Project Raw Data'!G655,IF(ISNUMBER(SEARCH("/",'Main Project Raw Data'!G655)),DATE(RIGHT('Main Project Raw Data'!G655,4),LEFT('Main Project Raw Data'!G655,FIND("/",'Main Project Raw Data'!G655)-1),MID('Main Project Raw Data'!G655,FIND("/",'Main Project Raw Data'!G655)+1,2)),DATE(RIGHT('Main Project Raw Data'!G655,4),MID('Main Project Raw Data'!G655,4,2),LEFT('Main Project Raw Data'!G655,2))))</f>
        <v>44954</v>
      </c>
      <c r="H655" s="3">
        <f>IF(Table1[[#This Row],[Salary]]="",AVERAGE(Table1[Salary]),Table1[[#This Row],[Salary]])</f>
        <v>68399.429999999993</v>
      </c>
      <c r="I655" s="3" t="s">
        <v>47</v>
      </c>
      <c r="J655" s="3">
        <f>ABS(Table1[[#This Row],[Phone]])</f>
        <v>8085096084</v>
      </c>
      <c r="K655" s="3" t="str">
        <f>PROPER(TRIM(Table1[[#This Row],[Performance_Score]]))</f>
        <v>Excellent</v>
      </c>
      <c r="L655" s="3" t="b">
        <f>Table1[[#This Row],[Remote_Work]]</f>
        <v>0</v>
      </c>
      <c r="M655" s="3" t="str">
        <f>PROPER(CONCATENATE(Table13[[#This Row],[First_Name]], Table13[[#This Row],[Last_Name]]))</f>
        <v>Frankjones</v>
      </c>
      <c r="N655" s="3" t="str">
        <f t="shared" si="10"/>
        <v>Jan</v>
      </c>
      <c r="O655" s="3" t="str">
        <f>TEXT(Table13[[#This Row],[Join_Date]],"yyyy")</f>
        <v>2023</v>
      </c>
      <c r="P655" s="3" t="str">
        <f>LEFT('Main Project Raw Data'!E655,FIND("-",'Main Project Raw Data'!E655)-1)</f>
        <v>Sales</v>
      </c>
      <c r="Q655" s="3" t="str">
        <f>RIGHT('Main Project Raw Data'!E655,LEN('Main Project Raw Data'!E655)-FIND("-",'Main Project Raw Data'!E655))</f>
        <v>California</v>
      </c>
    </row>
    <row r="656" spans="1:17" x14ac:dyDescent="0.3">
      <c r="A656" s="3" t="str">
        <f>TRIM(Table1[[#This Row],[Employee_ID]])</f>
        <v>EMP1654</v>
      </c>
      <c r="B656" s="3" t="str">
        <f>TRIM(Table1[[#This Row],[First_Name]])</f>
        <v>Frank</v>
      </c>
      <c r="C656" s="3" t="str">
        <f>TRIM(Table1[[#This Row],[Last_Name]])</f>
        <v>Miller</v>
      </c>
      <c r="D656" s="3">
        <f>IF(Table1[[#This Row],[Age]]="",AVERAGE(Table1[Age]),Table1[[#This Row],[Age]])</f>
        <v>35</v>
      </c>
      <c r="E656" s="3" t="s">
        <v>205</v>
      </c>
      <c r="F656" s="3" t="s">
        <v>33</v>
      </c>
      <c r="G656" s="5">
        <f>IF(ISNUMBER('Main Project Raw Data'!G656),'Main Project Raw Data'!G656,IF(ISNUMBER(SEARCH("/",'Main Project Raw Data'!G656)),DATE(RIGHT('Main Project Raw Data'!G656,4),LEFT('Main Project Raw Data'!G656,FIND("/",'Main Project Raw Data'!G656)-1),MID('Main Project Raw Data'!G656,FIND("/",'Main Project Raw Data'!G656)+1,2)),DATE(RIGHT('Main Project Raw Data'!G656,4),MID('Main Project Raw Data'!G656,4,2),LEFT('Main Project Raw Data'!G656,2))))</f>
        <v>44380</v>
      </c>
      <c r="H656" s="3">
        <f>IF(Table1[[#This Row],[Salary]]="",AVERAGE(Table1[Salary]),Table1[[#This Row],[Salary]])</f>
        <v>79336.509999999995</v>
      </c>
      <c r="I656" s="3" t="s">
        <v>110</v>
      </c>
      <c r="J656" s="3">
        <f>ABS(Table1[[#This Row],[Phone]])</f>
        <v>8749511917</v>
      </c>
      <c r="K656" s="3" t="str">
        <f>PROPER(TRIM(Table1[[#This Row],[Performance_Score]]))</f>
        <v>Excellent</v>
      </c>
      <c r="L656" s="3" t="b">
        <f>Table1[[#This Row],[Remote_Work]]</f>
        <v>0</v>
      </c>
      <c r="M656" s="3" t="str">
        <f>PROPER(CONCATENATE(Table13[[#This Row],[First_Name]], Table13[[#This Row],[Last_Name]]))</f>
        <v>Frankmiller</v>
      </c>
      <c r="N656" s="3" t="str">
        <f t="shared" si="10"/>
        <v>Jul</v>
      </c>
      <c r="O656" s="3" t="str">
        <f>TEXT(Table13[[#This Row],[Join_Date]],"yyyy")</f>
        <v>2021</v>
      </c>
      <c r="P656" s="3" t="str">
        <f>LEFT('Main Project Raw Data'!E656,FIND("-",'Main Project Raw Data'!E656)-1)</f>
        <v>Admin</v>
      </c>
      <c r="Q656" s="3" t="str">
        <f>RIGHT('Main Project Raw Data'!E656,LEN('Main Project Raw Data'!E656)-FIND("-",'Main Project Raw Data'!E656))</f>
        <v>Florida</v>
      </c>
    </row>
    <row r="657" spans="1:17" x14ac:dyDescent="0.3">
      <c r="A657" s="3" t="str">
        <f>TRIM(Table1[[#This Row],[Employee_ID]])</f>
        <v>EMP1655</v>
      </c>
      <c r="B657" s="3" t="str">
        <f>TRIM(Table1[[#This Row],[First_Name]])</f>
        <v>Frank</v>
      </c>
      <c r="C657" s="3" t="str">
        <f>TRIM(Table1[[#This Row],[Last_Name]])</f>
        <v>Jones</v>
      </c>
      <c r="D657" s="3">
        <f>IF(Table1[[#This Row],[Age]]="",AVERAGE(Table1[Age]),Table1[[#This Row],[Age]])</f>
        <v>40</v>
      </c>
      <c r="E657" s="3" t="s">
        <v>212</v>
      </c>
      <c r="F657" s="3" t="s">
        <v>16</v>
      </c>
      <c r="G657" s="5">
        <f>IF(ISNUMBER('Main Project Raw Data'!G657),'Main Project Raw Data'!G657,IF(ISNUMBER(SEARCH("/",'Main Project Raw Data'!G657)),DATE(RIGHT('Main Project Raw Data'!G657,4),LEFT('Main Project Raw Data'!G657,FIND("/",'Main Project Raw Data'!G657)-1),MID('Main Project Raw Data'!G657,FIND("/",'Main Project Raw Data'!G657)+1,2)),DATE(RIGHT('Main Project Raw Data'!G657,4),MID('Main Project Raw Data'!G657,4,2),LEFT('Main Project Raw Data'!G657,2))))</f>
        <v>45001</v>
      </c>
      <c r="H657" s="3">
        <f>IF(Table1[[#This Row],[Salary]]="",AVERAGE(Table1[Salary]),Table1[[#This Row],[Salary]])</f>
        <v>59179.74</v>
      </c>
      <c r="I657" s="3" t="s">
        <v>47</v>
      </c>
      <c r="J657" s="3">
        <f>ABS(Table1[[#This Row],[Phone]])</f>
        <v>1828197930</v>
      </c>
      <c r="K657" s="3" t="str">
        <f>PROPER(TRIM(Table1[[#This Row],[Performance_Score]]))</f>
        <v>Excellent</v>
      </c>
      <c r="L657" s="3" t="b">
        <f>Table1[[#This Row],[Remote_Work]]</f>
        <v>0</v>
      </c>
      <c r="M657" s="3" t="str">
        <f>PROPER(CONCATENATE(Table13[[#This Row],[First_Name]], Table13[[#This Row],[Last_Name]]))</f>
        <v>Frankjones</v>
      </c>
      <c r="N657" s="3" t="str">
        <f t="shared" si="10"/>
        <v>Mar</v>
      </c>
      <c r="O657" s="3" t="str">
        <f>TEXT(Table13[[#This Row],[Join_Date]],"yyyy")</f>
        <v>2023</v>
      </c>
      <c r="P657" s="3" t="str">
        <f>LEFT('Main Project Raw Data'!E657,FIND("-",'Main Project Raw Data'!E657)-1)</f>
        <v>HR</v>
      </c>
      <c r="Q657" s="3" t="str">
        <f>RIGHT('Main Project Raw Data'!E657,LEN('Main Project Raw Data'!E657)-FIND("-",'Main Project Raw Data'!E657))</f>
        <v>Florida</v>
      </c>
    </row>
    <row r="658" spans="1:17" x14ac:dyDescent="0.3">
      <c r="A658" s="3" t="str">
        <f>TRIM(Table1[[#This Row],[Employee_ID]])</f>
        <v>EMP1656</v>
      </c>
      <c r="B658" s="3" t="str">
        <f>TRIM(Table1[[#This Row],[First_Name]])</f>
        <v>David</v>
      </c>
      <c r="C658" s="3" t="str">
        <f>TRIM(Table1[[#This Row],[Last_Name]])</f>
        <v>Davis</v>
      </c>
      <c r="D658" s="3">
        <f>IF(Table1[[#This Row],[Age]]="",AVERAGE(Table1[Age]),Table1[[#This Row],[Age]])</f>
        <v>25</v>
      </c>
      <c r="E658" s="3" t="s">
        <v>15</v>
      </c>
      <c r="F658" s="3" t="s">
        <v>16</v>
      </c>
      <c r="G658" s="5">
        <f>IF(ISNUMBER('Main Project Raw Data'!G658),'Main Project Raw Data'!G658,IF(ISNUMBER(SEARCH("/",'Main Project Raw Data'!G658)),DATE(RIGHT('Main Project Raw Data'!G658,4),LEFT('Main Project Raw Data'!G658,FIND("/",'Main Project Raw Data'!G658)-1),MID('Main Project Raw Data'!G658,FIND("/",'Main Project Raw Data'!G658)+1,2)),DATE(RIGHT('Main Project Raw Data'!G658,4),MID('Main Project Raw Data'!G658,4,2),LEFT('Main Project Raw Data'!G658,2))))</f>
        <v>45232</v>
      </c>
      <c r="H658" s="3">
        <f>IF(Table1[[#This Row],[Salary]]="",AVERAGE(Table1[Salary]),Table1[[#This Row],[Salary]])</f>
        <v>80255.31</v>
      </c>
      <c r="I658" s="3" t="s">
        <v>63</v>
      </c>
      <c r="J658" s="3">
        <f>ABS(Table1[[#This Row],[Phone]])</f>
        <v>6477251294</v>
      </c>
      <c r="K658" s="3" t="str">
        <f>PROPER(TRIM(Table1[[#This Row],[Performance_Score]]))</f>
        <v>Average</v>
      </c>
      <c r="L658" s="3" t="b">
        <f>Table1[[#This Row],[Remote_Work]]</f>
        <v>0</v>
      </c>
      <c r="M658" s="3" t="str">
        <f>PROPER(CONCATENATE(Table13[[#This Row],[First_Name]], Table13[[#This Row],[Last_Name]]))</f>
        <v>Daviddavis</v>
      </c>
      <c r="N658" s="3" t="str">
        <f t="shared" si="10"/>
        <v>Nov</v>
      </c>
      <c r="O658" s="3" t="str">
        <f>TEXT(Table13[[#This Row],[Join_Date]],"yyyy")</f>
        <v>2023</v>
      </c>
      <c r="P658" s="3" t="str">
        <f>LEFT('Main Project Raw Data'!E658,FIND("-",'Main Project Raw Data'!E658)-1)</f>
        <v>DevOps</v>
      </c>
      <c r="Q658" s="3" t="str">
        <f>RIGHT('Main Project Raw Data'!E658,LEN('Main Project Raw Data'!E658)-FIND("-",'Main Project Raw Data'!E658))</f>
        <v>California</v>
      </c>
    </row>
    <row r="659" spans="1:17" x14ac:dyDescent="0.3">
      <c r="A659" s="3" t="str">
        <f>TRIM(Table1[[#This Row],[Employee_ID]])</f>
        <v>EMP1657</v>
      </c>
      <c r="B659" s="3" t="str">
        <f>TRIM(Table1[[#This Row],[First_Name]])</f>
        <v>Charlie</v>
      </c>
      <c r="C659" s="3" t="str">
        <f>TRIM(Table1[[#This Row],[Last_Name]])</f>
        <v>Williams</v>
      </c>
      <c r="D659" s="3">
        <f>IF(Table1[[#This Row],[Age]]="",AVERAGE(Table1[Age]),Table1[[#This Row],[Age]])</f>
        <v>30</v>
      </c>
      <c r="E659" s="3" t="s">
        <v>21</v>
      </c>
      <c r="F659" s="3" t="s">
        <v>16</v>
      </c>
      <c r="G659" s="5">
        <f>IF(ISNUMBER('Main Project Raw Data'!G659),'Main Project Raw Data'!G659,IF(ISNUMBER(SEARCH("/",'Main Project Raw Data'!G659)),DATE(RIGHT('Main Project Raw Data'!G659,4),LEFT('Main Project Raw Data'!G659,FIND("/",'Main Project Raw Data'!G659)-1),MID('Main Project Raw Data'!G659,FIND("/",'Main Project Raw Data'!G659)+1,2)),DATE(RIGHT('Main Project Raw Data'!G659,4),MID('Main Project Raw Data'!G659,4,2),LEFT('Main Project Raw Data'!G659,2))))</f>
        <v>44694</v>
      </c>
      <c r="H659" s="3">
        <f>IF(Table1[[#This Row],[Salary]]="",AVERAGE(Table1[Salary]),Table1[[#This Row],[Salary]])</f>
        <v>84971.85</v>
      </c>
      <c r="I659" s="3" t="s">
        <v>90</v>
      </c>
      <c r="J659" s="3">
        <f>ABS(Table1[[#This Row],[Phone]])</f>
        <v>7860694095</v>
      </c>
      <c r="K659" s="3" t="str">
        <f>PROPER(TRIM(Table1[[#This Row],[Performance_Score]]))</f>
        <v>Average</v>
      </c>
      <c r="L659" s="3" t="b">
        <f>Table1[[#This Row],[Remote_Work]]</f>
        <v>0</v>
      </c>
      <c r="M659" s="3" t="str">
        <f>PROPER(CONCATENATE(Table13[[#This Row],[First_Name]], Table13[[#This Row],[Last_Name]]))</f>
        <v>Charliewilliams</v>
      </c>
      <c r="N659" s="3" t="str">
        <f t="shared" si="10"/>
        <v>May</v>
      </c>
      <c r="O659" s="3" t="str">
        <f>TEXT(Table13[[#This Row],[Join_Date]],"yyyy")</f>
        <v>2022</v>
      </c>
      <c r="P659" s="3" t="str">
        <f>LEFT('Main Project Raw Data'!E659,FIND("-",'Main Project Raw Data'!E659)-1)</f>
        <v>Finance</v>
      </c>
      <c r="Q659" s="3" t="str">
        <f>RIGHT('Main Project Raw Data'!E659,LEN('Main Project Raw Data'!E659)-FIND("-",'Main Project Raw Data'!E659))</f>
        <v>Texas</v>
      </c>
    </row>
    <row r="660" spans="1:17" x14ac:dyDescent="0.3">
      <c r="A660" s="3" t="str">
        <f>TRIM(Table1[[#This Row],[Employee_ID]])</f>
        <v>EMP1658</v>
      </c>
      <c r="B660" s="3" t="str">
        <f>TRIM(Table1[[#This Row],[First_Name]])</f>
        <v>Frank</v>
      </c>
      <c r="C660" s="3" t="str">
        <f>TRIM(Table1[[#This Row],[Last_Name]])</f>
        <v>Brown</v>
      </c>
      <c r="D660" s="3">
        <f>IF(Table1[[#This Row],[Age]]="",AVERAGE(Table1[Age]),Table1[[#This Row],[Age]])</f>
        <v>40</v>
      </c>
      <c r="E660" s="3" t="s">
        <v>146</v>
      </c>
      <c r="F660" s="3" t="s">
        <v>28</v>
      </c>
      <c r="G660" s="5">
        <f>IF(ISNUMBER('Main Project Raw Data'!G660),'Main Project Raw Data'!G660,IF(ISNUMBER(SEARCH("/",'Main Project Raw Data'!G660)),DATE(RIGHT('Main Project Raw Data'!G660,4),LEFT('Main Project Raw Data'!G660,FIND("/",'Main Project Raw Data'!G660)-1),MID('Main Project Raw Data'!G660,FIND("/",'Main Project Raw Data'!G660)+1,2)),DATE(RIGHT('Main Project Raw Data'!G660,4),MID('Main Project Raw Data'!G660,4,2),LEFT('Main Project Raw Data'!G660,2))))</f>
        <v>45589</v>
      </c>
      <c r="H660" s="3">
        <f>IF(Table1[[#This Row],[Salary]]="",AVERAGE(Table1[Salary]),Table1[[#This Row],[Salary]])</f>
        <v>89748.42</v>
      </c>
      <c r="I660" s="3" t="s">
        <v>239</v>
      </c>
      <c r="J660" s="3">
        <f>ABS(Table1[[#This Row],[Phone]])</f>
        <v>35624394</v>
      </c>
      <c r="K660" s="3" t="str">
        <f>PROPER(TRIM(Table1[[#This Row],[Performance_Score]]))</f>
        <v>Good</v>
      </c>
      <c r="L660" s="3" t="b">
        <f>Table1[[#This Row],[Remote_Work]]</f>
        <v>0</v>
      </c>
      <c r="M660" s="3" t="str">
        <f>PROPER(CONCATENATE(Table13[[#This Row],[First_Name]], Table13[[#This Row],[Last_Name]]))</f>
        <v>Frankbrown</v>
      </c>
      <c r="N660" s="3" t="str">
        <f t="shared" si="10"/>
        <v>Oct</v>
      </c>
      <c r="O660" s="3" t="str">
        <f>TEXT(Table13[[#This Row],[Join_Date]],"yyyy")</f>
        <v>2024</v>
      </c>
      <c r="P660" s="3" t="str">
        <f>LEFT('Main Project Raw Data'!E660,FIND("-",'Main Project Raw Data'!E660)-1)</f>
        <v>HR</v>
      </c>
      <c r="Q660" s="3" t="str">
        <f>RIGHT('Main Project Raw Data'!E660,LEN('Main Project Raw Data'!E660)-FIND("-",'Main Project Raw Data'!E660))</f>
        <v>California</v>
      </c>
    </row>
    <row r="661" spans="1:17" x14ac:dyDescent="0.3">
      <c r="A661" s="3" t="str">
        <f>TRIM(Table1[[#This Row],[Employee_ID]])</f>
        <v>EMP1659</v>
      </c>
      <c r="B661" s="3" t="str">
        <f>TRIM(Table1[[#This Row],[First_Name]])</f>
        <v>Charlie</v>
      </c>
      <c r="C661" s="3" t="str">
        <f>TRIM(Table1[[#This Row],[Last_Name]])</f>
        <v>Johnson</v>
      </c>
      <c r="D661" s="3">
        <f>IF(Table1[[#This Row],[Age]]="",AVERAGE(Table1[Age]),Table1[[#This Row],[Age]])</f>
        <v>25</v>
      </c>
      <c r="E661" s="3" t="s">
        <v>118</v>
      </c>
      <c r="F661" s="3" t="s">
        <v>33</v>
      </c>
      <c r="G661" s="5">
        <f>IF(ISNUMBER('Main Project Raw Data'!G661),'Main Project Raw Data'!G661,IF(ISNUMBER(SEARCH("/",'Main Project Raw Data'!G661)),DATE(RIGHT('Main Project Raw Data'!G661,4),LEFT('Main Project Raw Data'!G661,FIND("/",'Main Project Raw Data'!G661)-1),MID('Main Project Raw Data'!G661,FIND("/",'Main Project Raw Data'!G661)+1,2)),DATE(RIGHT('Main Project Raw Data'!G661,4),MID('Main Project Raw Data'!G661,4,2),LEFT('Main Project Raw Data'!G661,2))))</f>
        <v>45549</v>
      </c>
      <c r="H661" s="3">
        <f>IF(Table1[[#This Row],[Salary]]="",AVERAGE(Table1[Salary]),Table1[[#This Row],[Salary]])</f>
        <v>94090.35</v>
      </c>
      <c r="I661" s="3" t="s">
        <v>57</v>
      </c>
      <c r="J661" s="3">
        <f>ABS(Table1[[#This Row],[Phone]])</f>
        <v>8739592322</v>
      </c>
      <c r="K661" s="3" t="str">
        <f>PROPER(TRIM(Table1[[#This Row],[Performance_Score]]))</f>
        <v>Good</v>
      </c>
      <c r="L661" s="3" t="b">
        <f>Table1[[#This Row],[Remote_Work]]</f>
        <v>0</v>
      </c>
      <c r="M661" s="3" t="str">
        <f>PROPER(CONCATENATE(Table13[[#This Row],[First_Name]], Table13[[#This Row],[Last_Name]]))</f>
        <v>Charliejohnson</v>
      </c>
      <c r="N661" s="3" t="str">
        <f t="shared" si="10"/>
        <v>Sep</v>
      </c>
      <c r="O661" s="3" t="str">
        <f>TEXT(Table13[[#This Row],[Join_Date]],"yyyy")</f>
        <v>2024</v>
      </c>
      <c r="P661" s="3" t="str">
        <f>LEFT('Main Project Raw Data'!E661,FIND("-",'Main Project Raw Data'!E661)-1)</f>
        <v>Admin</v>
      </c>
      <c r="Q661" s="3" t="str">
        <f>RIGHT('Main Project Raw Data'!E661,LEN('Main Project Raw Data'!E661)-FIND("-",'Main Project Raw Data'!E661))</f>
        <v>California</v>
      </c>
    </row>
    <row r="662" spans="1:17" x14ac:dyDescent="0.3">
      <c r="A662" s="3" t="str">
        <f>TRIM(Table1[[#This Row],[Employee_ID]])</f>
        <v>EMP1660</v>
      </c>
      <c r="B662" s="3" t="str">
        <f>TRIM(Table1[[#This Row],[First_Name]])</f>
        <v>Frank</v>
      </c>
      <c r="C662" s="3" t="str">
        <f>TRIM(Table1[[#This Row],[Last_Name]])</f>
        <v>Garcia</v>
      </c>
      <c r="D662" s="3">
        <f>IF(Table1[[#This Row],[Age]]="",AVERAGE(Table1[Age]),Table1[[#This Row],[Age]])</f>
        <v>35</v>
      </c>
      <c r="E662" s="3" t="s">
        <v>146</v>
      </c>
      <c r="F662" s="3" t="s">
        <v>28</v>
      </c>
      <c r="G662" s="5">
        <f>IF(ISNUMBER('Main Project Raw Data'!G662),'Main Project Raw Data'!G662,IF(ISNUMBER(SEARCH("/",'Main Project Raw Data'!G662)),DATE(RIGHT('Main Project Raw Data'!G662,4),LEFT('Main Project Raw Data'!G662,FIND("/",'Main Project Raw Data'!G662)-1),MID('Main Project Raw Data'!G662,FIND("/",'Main Project Raw Data'!G662)+1,2)),DATE(RIGHT('Main Project Raw Data'!G662,4),MID('Main Project Raw Data'!G662,4,2),LEFT('Main Project Raw Data'!G662,2))))</f>
        <v>44972</v>
      </c>
      <c r="H662" s="3">
        <f>IF(Table1[[#This Row],[Salary]]="",AVERAGE(Table1[Salary]),Table1[[#This Row],[Salary]])</f>
        <v>115229.12</v>
      </c>
      <c r="I662" s="3" t="s">
        <v>180</v>
      </c>
      <c r="J662" s="3">
        <f>ABS(Table1[[#This Row],[Phone]])</f>
        <v>4210890284</v>
      </c>
      <c r="K662" s="3" t="str">
        <f>PROPER(TRIM(Table1[[#This Row],[Performance_Score]]))</f>
        <v>Poor</v>
      </c>
      <c r="L662" s="3" t="b">
        <f>Table1[[#This Row],[Remote_Work]]</f>
        <v>1</v>
      </c>
      <c r="M662" s="3" t="str">
        <f>PROPER(CONCATENATE(Table13[[#This Row],[First_Name]], Table13[[#This Row],[Last_Name]]))</f>
        <v>Frankgarcia</v>
      </c>
      <c r="N662" s="3" t="str">
        <f t="shared" si="10"/>
        <v>Feb</v>
      </c>
      <c r="O662" s="3" t="str">
        <f>TEXT(Table13[[#This Row],[Join_Date]],"yyyy")</f>
        <v>2023</v>
      </c>
      <c r="P662" s="3" t="str">
        <f>LEFT('Main Project Raw Data'!E662,FIND("-",'Main Project Raw Data'!E662)-1)</f>
        <v>HR</v>
      </c>
      <c r="Q662" s="3" t="str">
        <f>RIGHT('Main Project Raw Data'!E662,LEN('Main Project Raw Data'!E662)-FIND("-",'Main Project Raw Data'!E662))</f>
        <v>California</v>
      </c>
    </row>
    <row r="663" spans="1:17" x14ac:dyDescent="0.3">
      <c r="A663" s="3" t="str">
        <f>TRIM(Table1[[#This Row],[Employee_ID]])</f>
        <v>EMP1661</v>
      </c>
      <c r="B663" s="3" t="str">
        <f>TRIM(Table1[[#This Row],[First_Name]])</f>
        <v>Alice</v>
      </c>
      <c r="C663" s="3" t="str">
        <f>TRIM(Table1[[#This Row],[Last_Name]])</f>
        <v>Williams</v>
      </c>
      <c r="D663" s="3">
        <f>IF(Table1[[#This Row],[Age]]="",AVERAGE(Table1[Age]),Table1[[#This Row],[Age]])</f>
        <v>40</v>
      </c>
      <c r="E663" s="3" t="s">
        <v>268</v>
      </c>
      <c r="F663" s="3" t="s">
        <v>28</v>
      </c>
      <c r="G663" s="5">
        <f>IF(ISNUMBER('Main Project Raw Data'!G663),'Main Project Raw Data'!G663,IF(ISNUMBER(SEARCH("/",'Main Project Raw Data'!G663)),DATE(RIGHT('Main Project Raw Data'!G663,4),LEFT('Main Project Raw Data'!G663,FIND("/",'Main Project Raw Data'!G663)-1),MID('Main Project Raw Data'!G663,FIND("/",'Main Project Raw Data'!G663)+1,2)),DATE(RIGHT('Main Project Raw Data'!G663,4),MID('Main Project Raw Data'!G663,4,2),LEFT('Main Project Raw Data'!G663,2))))</f>
        <v>45071</v>
      </c>
      <c r="H663" s="3">
        <f>IF(Table1[[#This Row],[Salary]]="",AVERAGE(Table1[Salary]),Table1[[#This Row],[Salary]])</f>
        <v>63927.07</v>
      </c>
      <c r="I663" s="3" t="s">
        <v>362</v>
      </c>
      <c r="J663" s="3">
        <f>ABS(Table1[[#This Row],[Phone]])</f>
        <v>1553334263</v>
      </c>
      <c r="K663" s="3" t="str">
        <f>PROPER(TRIM(Table1[[#This Row],[Performance_Score]]))</f>
        <v>Good</v>
      </c>
      <c r="L663" s="3" t="b">
        <f>Table1[[#This Row],[Remote_Work]]</f>
        <v>1</v>
      </c>
      <c r="M663" s="3" t="str">
        <f>PROPER(CONCATENATE(Table13[[#This Row],[First_Name]], Table13[[#This Row],[Last_Name]]))</f>
        <v>Alicewilliams</v>
      </c>
      <c r="N663" s="3" t="str">
        <f t="shared" si="10"/>
        <v>May</v>
      </c>
      <c r="O663" s="3" t="str">
        <f>TEXT(Table13[[#This Row],[Join_Date]],"yyyy")</f>
        <v>2023</v>
      </c>
      <c r="P663" s="3" t="str">
        <f>LEFT('Main Project Raw Data'!E663,FIND("-",'Main Project Raw Data'!E663)-1)</f>
        <v>Cloud Tech</v>
      </c>
      <c r="Q663" s="3" t="str">
        <f>RIGHT('Main Project Raw Data'!E663,LEN('Main Project Raw Data'!E663)-FIND("-",'Main Project Raw Data'!E663))</f>
        <v>California</v>
      </c>
    </row>
    <row r="664" spans="1:17" x14ac:dyDescent="0.3">
      <c r="A664" s="3" t="str">
        <f>TRIM(Table1[[#This Row],[Employee_ID]])</f>
        <v>EMP1662</v>
      </c>
      <c r="B664" s="3" t="str">
        <f>TRIM(Table1[[#This Row],[First_Name]])</f>
        <v>Charlie</v>
      </c>
      <c r="C664" s="3" t="str">
        <f>TRIM(Table1[[#This Row],[Last_Name]])</f>
        <v>Jones</v>
      </c>
      <c r="D664" s="3">
        <f>IF(Table1[[#This Row],[Age]]="",AVERAGE(Table1[Age]),Table1[[#This Row],[Age]])</f>
        <v>35</v>
      </c>
      <c r="E664" s="3" t="s">
        <v>146</v>
      </c>
      <c r="F664" s="3" t="s">
        <v>28</v>
      </c>
      <c r="G664" s="5">
        <f>IF(ISNUMBER('Main Project Raw Data'!G664),'Main Project Raw Data'!G664,IF(ISNUMBER(SEARCH("/",'Main Project Raw Data'!G664)),DATE(RIGHT('Main Project Raw Data'!G664,4),LEFT('Main Project Raw Data'!G664,FIND("/",'Main Project Raw Data'!G664)-1),MID('Main Project Raw Data'!G664,FIND("/",'Main Project Raw Data'!G664)+1,2)),DATE(RIGHT('Main Project Raw Data'!G664,4),MID('Main Project Raw Data'!G664,4,2),LEFT('Main Project Raw Data'!G664,2))))</f>
        <v>44876</v>
      </c>
      <c r="H664" s="3">
        <f>IF(Table1[[#This Row],[Salary]]="",AVERAGE(Table1[Salary]),Table1[[#This Row],[Salary]])</f>
        <v>84124.56</v>
      </c>
      <c r="I664" s="3" t="s">
        <v>120</v>
      </c>
      <c r="J664" s="3">
        <f>ABS(Table1[[#This Row],[Phone]])</f>
        <v>3350271606</v>
      </c>
      <c r="K664" s="3" t="str">
        <f>PROPER(TRIM(Table1[[#This Row],[Performance_Score]]))</f>
        <v>Excellent</v>
      </c>
      <c r="L664" s="3" t="b">
        <f>Table1[[#This Row],[Remote_Work]]</f>
        <v>0</v>
      </c>
      <c r="M664" s="3" t="str">
        <f>PROPER(CONCATENATE(Table13[[#This Row],[First_Name]], Table13[[#This Row],[Last_Name]]))</f>
        <v>Charliejones</v>
      </c>
      <c r="N664" s="3" t="str">
        <f t="shared" si="10"/>
        <v>Nov</v>
      </c>
      <c r="O664" s="3" t="str">
        <f>TEXT(Table13[[#This Row],[Join_Date]],"yyyy")</f>
        <v>2022</v>
      </c>
      <c r="P664" s="3" t="str">
        <f>LEFT('Main Project Raw Data'!E664,FIND("-",'Main Project Raw Data'!E664)-1)</f>
        <v>HR</v>
      </c>
      <c r="Q664" s="3" t="str">
        <f>RIGHT('Main Project Raw Data'!E664,LEN('Main Project Raw Data'!E664)-FIND("-",'Main Project Raw Data'!E664))</f>
        <v>California</v>
      </c>
    </row>
    <row r="665" spans="1:17" x14ac:dyDescent="0.3">
      <c r="A665" s="3" t="str">
        <f>TRIM(Table1[[#This Row],[Employee_ID]])</f>
        <v>EMP1663</v>
      </c>
      <c r="B665" s="3" t="str">
        <f>TRIM(Table1[[#This Row],[First_Name]])</f>
        <v>Bob</v>
      </c>
      <c r="C665" s="3" t="str">
        <f>TRIM(Table1[[#This Row],[Last_Name]])</f>
        <v>Miller</v>
      </c>
      <c r="D665" s="3">
        <f>IF(Table1[[#This Row],[Age]]="",AVERAGE(Table1[Age]),Table1[[#This Row],[Age]])</f>
        <v>40</v>
      </c>
      <c r="E665" s="3" t="s">
        <v>177</v>
      </c>
      <c r="F665" s="3" t="s">
        <v>33</v>
      </c>
      <c r="G665" s="5">
        <f>IF(ISNUMBER('Main Project Raw Data'!G665),'Main Project Raw Data'!G665,IF(ISNUMBER(SEARCH("/",'Main Project Raw Data'!G665)),DATE(RIGHT('Main Project Raw Data'!G665,4),LEFT('Main Project Raw Data'!G665,FIND("/",'Main Project Raw Data'!G665)-1),MID('Main Project Raw Data'!G665,FIND("/",'Main Project Raw Data'!G665)+1,2)),DATE(RIGHT('Main Project Raw Data'!G665,4),MID('Main Project Raw Data'!G665,4,2),LEFT('Main Project Raw Data'!G665,2))))</f>
        <v>45124</v>
      </c>
      <c r="H665" s="3">
        <f>IF(Table1[[#This Row],[Salary]]="",AVERAGE(Table1[Salary]),Table1[[#This Row],[Salary]])</f>
        <v>116961.61</v>
      </c>
      <c r="I665" s="3" t="s">
        <v>93</v>
      </c>
      <c r="J665" s="3">
        <f>ABS(Table1[[#This Row],[Phone]])</f>
        <v>3607763368</v>
      </c>
      <c r="K665" s="3" t="str">
        <f>PROPER(TRIM(Table1[[#This Row],[Performance_Score]]))</f>
        <v>Excellent</v>
      </c>
      <c r="L665" s="3" t="b">
        <f>Table1[[#This Row],[Remote_Work]]</f>
        <v>1</v>
      </c>
      <c r="M665" s="3" t="str">
        <f>PROPER(CONCATENATE(Table13[[#This Row],[First_Name]], Table13[[#This Row],[Last_Name]]))</f>
        <v>Bobmiller</v>
      </c>
      <c r="N665" s="3" t="str">
        <f t="shared" si="10"/>
        <v>Jul</v>
      </c>
      <c r="O665" s="3" t="str">
        <f>TEXT(Table13[[#This Row],[Join_Date]],"yyyy")</f>
        <v>2023</v>
      </c>
      <c r="P665" s="3" t="str">
        <f>LEFT('Main Project Raw Data'!E665,FIND("-",'Main Project Raw Data'!E665)-1)</f>
        <v>Sales</v>
      </c>
      <c r="Q665" s="3" t="str">
        <f>RIGHT('Main Project Raw Data'!E665,LEN('Main Project Raw Data'!E665)-FIND("-",'Main Project Raw Data'!E665))</f>
        <v>California</v>
      </c>
    </row>
    <row r="666" spans="1:17" x14ac:dyDescent="0.3">
      <c r="A666" s="3" t="str">
        <f>TRIM(Table1[[#This Row],[Employee_ID]])</f>
        <v>EMP1664</v>
      </c>
      <c r="B666" s="3" t="str">
        <f>TRIM(Table1[[#This Row],[First_Name]])</f>
        <v>Frank</v>
      </c>
      <c r="C666" s="3" t="str">
        <f>TRIM(Table1[[#This Row],[Last_Name]])</f>
        <v>Smith</v>
      </c>
      <c r="D666" s="3">
        <f>IF(Table1[[#This Row],[Age]]="",AVERAGE(Table1[Age]),Table1[[#This Row],[Age]])</f>
        <v>40</v>
      </c>
      <c r="E666" s="3" t="s">
        <v>78</v>
      </c>
      <c r="F666" s="3" t="s">
        <v>28</v>
      </c>
      <c r="G666" s="5">
        <f>IF(ISNUMBER('Main Project Raw Data'!G666),'Main Project Raw Data'!G666,IF(ISNUMBER(SEARCH("/",'Main Project Raw Data'!G666)),DATE(RIGHT('Main Project Raw Data'!G666,4),LEFT('Main Project Raw Data'!G666,FIND("/",'Main Project Raw Data'!G666)-1),MID('Main Project Raw Data'!G666,FIND("/",'Main Project Raw Data'!G666)+1,2)),DATE(RIGHT('Main Project Raw Data'!G666,4),MID('Main Project Raw Data'!G666,4,2),LEFT('Main Project Raw Data'!G666,2))))</f>
        <v>44777</v>
      </c>
      <c r="H666" s="3">
        <f>IF(Table1[[#This Row],[Salary]]="",AVERAGE(Table1[Salary]),Table1[[#This Row],[Salary]])</f>
        <v>109423.05</v>
      </c>
      <c r="I666" s="3" t="s">
        <v>137</v>
      </c>
      <c r="J666" s="3">
        <f>ABS(Table1[[#This Row],[Phone]])</f>
        <v>1128981230</v>
      </c>
      <c r="K666" s="3" t="str">
        <f>PROPER(TRIM(Table1[[#This Row],[Performance_Score]]))</f>
        <v>Average</v>
      </c>
      <c r="L666" s="3" t="b">
        <f>Table1[[#This Row],[Remote_Work]]</f>
        <v>0</v>
      </c>
      <c r="M666" s="3" t="str">
        <f>PROPER(CONCATENATE(Table13[[#This Row],[First_Name]], Table13[[#This Row],[Last_Name]]))</f>
        <v>Franksmith</v>
      </c>
      <c r="N666" s="3" t="str">
        <f t="shared" si="10"/>
        <v>Aug</v>
      </c>
      <c r="O666" s="3" t="str">
        <f>TEXT(Table13[[#This Row],[Join_Date]],"yyyy")</f>
        <v>2022</v>
      </c>
      <c r="P666" s="3" t="str">
        <f>LEFT('Main Project Raw Data'!E666,FIND("-",'Main Project Raw Data'!E666)-1)</f>
        <v>DevOps</v>
      </c>
      <c r="Q666" s="3" t="str">
        <f>RIGHT('Main Project Raw Data'!E666,LEN('Main Project Raw Data'!E666)-FIND("-",'Main Project Raw Data'!E666))</f>
        <v>Illinois</v>
      </c>
    </row>
    <row r="667" spans="1:17" x14ac:dyDescent="0.3">
      <c r="A667" s="3" t="str">
        <f>TRIM(Table1[[#This Row],[Employee_ID]])</f>
        <v>EMP1665</v>
      </c>
      <c r="B667" s="3" t="str">
        <f>TRIM(Table1[[#This Row],[First_Name]])</f>
        <v>Charlie</v>
      </c>
      <c r="C667" s="3" t="str">
        <f>TRIM(Table1[[#This Row],[Last_Name]])</f>
        <v>Jones</v>
      </c>
      <c r="D667" s="3">
        <f>IF(Table1[[#This Row],[Age]]="",AVERAGE(Table1[Age]),Table1[[#This Row],[Age]])</f>
        <v>35</v>
      </c>
      <c r="E667" s="3" t="s">
        <v>118</v>
      </c>
      <c r="F667" s="3" t="s">
        <v>33</v>
      </c>
      <c r="G667" s="5">
        <f>IF(ISNUMBER('Main Project Raw Data'!G667),'Main Project Raw Data'!G667,IF(ISNUMBER(SEARCH("/",'Main Project Raw Data'!G667)),DATE(RIGHT('Main Project Raw Data'!G667,4),LEFT('Main Project Raw Data'!G667,FIND("/",'Main Project Raw Data'!G667)-1),MID('Main Project Raw Data'!G667,FIND("/",'Main Project Raw Data'!G667)+1,2)),DATE(RIGHT('Main Project Raw Data'!G667,4),MID('Main Project Raw Data'!G667,4,2),LEFT('Main Project Raw Data'!G667,2))))</f>
        <v>45168</v>
      </c>
      <c r="H667" s="3">
        <f>IF(Table1[[#This Row],[Salary]]="",AVERAGE(Table1[Salary]),Table1[[#This Row],[Salary]])</f>
        <v>70394.94</v>
      </c>
      <c r="I667" s="3" t="s">
        <v>120</v>
      </c>
      <c r="J667" s="3">
        <f>ABS(Table1[[#This Row],[Phone]])</f>
        <v>7955633184</v>
      </c>
      <c r="K667" s="3" t="str">
        <f>PROPER(TRIM(Table1[[#This Row],[Performance_Score]]))</f>
        <v>Excellent</v>
      </c>
      <c r="L667" s="3" t="b">
        <f>Table1[[#This Row],[Remote_Work]]</f>
        <v>0</v>
      </c>
      <c r="M667" s="3" t="str">
        <f>PROPER(CONCATENATE(Table13[[#This Row],[First_Name]], Table13[[#This Row],[Last_Name]]))</f>
        <v>Charliejones</v>
      </c>
      <c r="N667" s="3" t="str">
        <f t="shared" si="10"/>
        <v>Aug</v>
      </c>
      <c r="O667" s="3" t="str">
        <f>TEXT(Table13[[#This Row],[Join_Date]],"yyyy")</f>
        <v>2023</v>
      </c>
      <c r="P667" s="3" t="str">
        <f>LEFT('Main Project Raw Data'!E667,FIND("-",'Main Project Raw Data'!E667)-1)</f>
        <v>Admin</v>
      </c>
      <c r="Q667" s="3" t="str">
        <f>RIGHT('Main Project Raw Data'!E667,LEN('Main Project Raw Data'!E667)-FIND("-",'Main Project Raw Data'!E667))</f>
        <v>California</v>
      </c>
    </row>
    <row r="668" spans="1:17" x14ac:dyDescent="0.3">
      <c r="A668" s="3" t="str">
        <f>TRIM(Table1[[#This Row],[Employee_ID]])</f>
        <v>EMP1666</v>
      </c>
      <c r="B668" s="3" t="str">
        <f>TRIM(Table1[[#This Row],[First_Name]])</f>
        <v>Grace</v>
      </c>
      <c r="C668" s="3" t="str">
        <f>TRIM(Table1[[#This Row],[Last_Name]])</f>
        <v>Miller</v>
      </c>
      <c r="D668" s="3">
        <f>IF(Table1[[#This Row],[Age]]="",AVERAGE(Table1[Age]),Table1[[#This Row],[Age]])</f>
        <v>35</v>
      </c>
      <c r="E668" s="3" t="s">
        <v>70</v>
      </c>
      <c r="F668" s="3" t="s">
        <v>28</v>
      </c>
      <c r="G668" s="5">
        <f>IF(ISNUMBER('Main Project Raw Data'!G668),'Main Project Raw Data'!G668,IF(ISNUMBER(SEARCH("/",'Main Project Raw Data'!G668)),DATE(RIGHT('Main Project Raw Data'!G668,4),LEFT('Main Project Raw Data'!G668,FIND("/",'Main Project Raw Data'!G668)-1),MID('Main Project Raw Data'!G668,FIND("/",'Main Project Raw Data'!G668)+1,2)),DATE(RIGHT('Main Project Raw Data'!G668,4),MID('Main Project Raw Data'!G668,4,2),LEFT('Main Project Raw Data'!G668,2))))</f>
        <v>45033</v>
      </c>
      <c r="H668" s="3">
        <f>IF(Table1[[#This Row],[Salary]]="",AVERAGE(Table1[Salary]),Table1[[#This Row],[Salary]])</f>
        <v>86465.5</v>
      </c>
      <c r="I668" s="3" t="s">
        <v>168</v>
      </c>
      <c r="J668" s="3">
        <f>ABS(Table1[[#This Row],[Phone]])</f>
        <v>7481700665</v>
      </c>
      <c r="K668" s="3" t="str">
        <f>PROPER(TRIM(Table1[[#This Row],[Performance_Score]]))</f>
        <v>Poor</v>
      </c>
      <c r="L668" s="3" t="b">
        <f>Table1[[#This Row],[Remote_Work]]</f>
        <v>1</v>
      </c>
      <c r="M668" s="3" t="str">
        <f>PROPER(CONCATENATE(Table13[[#This Row],[First_Name]], Table13[[#This Row],[Last_Name]]))</f>
        <v>Gracemiller</v>
      </c>
      <c r="N668" s="3" t="str">
        <f t="shared" si="10"/>
        <v>Apr</v>
      </c>
      <c r="O668" s="3" t="str">
        <f>TEXT(Table13[[#This Row],[Join_Date]],"yyyy")</f>
        <v>2023</v>
      </c>
      <c r="P668" s="3" t="str">
        <f>LEFT('Main Project Raw Data'!E668,FIND("-",'Main Project Raw Data'!E668)-1)</f>
        <v>Finance</v>
      </c>
      <c r="Q668" s="3" t="str">
        <f>RIGHT('Main Project Raw Data'!E668,LEN('Main Project Raw Data'!E668)-FIND("-",'Main Project Raw Data'!E668))</f>
        <v>California</v>
      </c>
    </row>
    <row r="669" spans="1:17" x14ac:dyDescent="0.3">
      <c r="A669" s="3" t="str">
        <f>TRIM(Table1[[#This Row],[Employee_ID]])</f>
        <v>EMP1667</v>
      </c>
      <c r="B669" s="3" t="str">
        <f>TRIM(Table1[[#This Row],[First_Name]])</f>
        <v>Charlie</v>
      </c>
      <c r="C669" s="3" t="str">
        <f>TRIM(Table1[[#This Row],[Last_Name]])</f>
        <v>Brown</v>
      </c>
      <c r="D669" s="3">
        <f>IF(Table1[[#This Row],[Age]]="",AVERAGE(Table1[Age]),Table1[[#This Row],[Age]])</f>
        <v>30</v>
      </c>
      <c r="E669" s="3" t="s">
        <v>60</v>
      </c>
      <c r="F669" s="3" t="s">
        <v>28</v>
      </c>
      <c r="G669" s="5">
        <f>IF(ISNUMBER('Main Project Raw Data'!G669),'Main Project Raw Data'!G669,IF(ISNUMBER(SEARCH("/",'Main Project Raw Data'!G669)),DATE(RIGHT('Main Project Raw Data'!G669,4),LEFT('Main Project Raw Data'!G669,FIND("/",'Main Project Raw Data'!G669)-1),MID('Main Project Raw Data'!G669,FIND("/",'Main Project Raw Data'!G669)+1,2)),DATE(RIGHT('Main Project Raw Data'!G669,4),MID('Main Project Raw Data'!G669,4,2),LEFT('Main Project Raw Data'!G669,2))))</f>
        <v>44311</v>
      </c>
      <c r="H669" s="3">
        <f>IF(Table1[[#This Row],[Salary]]="",AVERAGE(Table1[Salary]),Table1[[#This Row],[Salary]])</f>
        <v>96341.58</v>
      </c>
      <c r="I669" s="3" t="s">
        <v>125</v>
      </c>
      <c r="J669" s="3">
        <f>ABS(Table1[[#This Row],[Phone]])</f>
        <v>1554164315</v>
      </c>
      <c r="K669" s="3" t="str">
        <f>PROPER(TRIM(Table1[[#This Row],[Performance_Score]]))</f>
        <v>Excellent</v>
      </c>
      <c r="L669" s="3" t="b">
        <f>Table1[[#This Row],[Remote_Work]]</f>
        <v>0</v>
      </c>
      <c r="M669" s="3" t="str">
        <f>PROPER(CONCATENATE(Table13[[#This Row],[First_Name]], Table13[[#This Row],[Last_Name]]))</f>
        <v>Charliebrown</v>
      </c>
      <c r="N669" s="3" t="str">
        <f t="shared" si="10"/>
        <v>Apr</v>
      </c>
      <c r="O669" s="3" t="str">
        <f>TEXT(Table13[[#This Row],[Join_Date]],"yyyy")</f>
        <v>2021</v>
      </c>
      <c r="P669" s="3" t="str">
        <f>LEFT('Main Project Raw Data'!E669,FIND("-",'Main Project Raw Data'!E669)-1)</f>
        <v>Cloud Tech</v>
      </c>
      <c r="Q669" s="3" t="str">
        <f>RIGHT('Main Project Raw Data'!E669,LEN('Main Project Raw Data'!E669)-FIND("-",'Main Project Raw Data'!E669))</f>
        <v>New York</v>
      </c>
    </row>
    <row r="670" spans="1:17" x14ac:dyDescent="0.3">
      <c r="A670" s="3" t="str">
        <f>TRIM(Table1[[#This Row],[Employee_ID]])</f>
        <v>EMP1668</v>
      </c>
      <c r="B670" s="3" t="str">
        <f>TRIM(Table1[[#This Row],[First_Name]])</f>
        <v>Bob</v>
      </c>
      <c r="C670" s="3" t="str">
        <f>TRIM(Table1[[#This Row],[Last_Name]])</f>
        <v>Jones</v>
      </c>
      <c r="D670" s="3">
        <f>IF(Table1[[#This Row],[Age]]="",AVERAGE(Table1[Age]),Table1[[#This Row],[Age]])</f>
        <v>30</v>
      </c>
      <c r="E670" s="3" t="s">
        <v>205</v>
      </c>
      <c r="F670" s="3" t="s">
        <v>16</v>
      </c>
      <c r="G670" s="5">
        <f>IF(ISNUMBER('Main Project Raw Data'!G670),'Main Project Raw Data'!G670,IF(ISNUMBER(SEARCH("/",'Main Project Raw Data'!G670)),DATE(RIGHT('Main Project Raw Data'!G670,4),LEFT('Main Project Raw Data'!G670,FIND("/",'Main Project Raw Data'!G670)-1),MID('Main Project Raw Data'!G670,FIND("/",'Main Project Raw Data'!G670)+1,2)),DATE(RIGHT('Main Project Raw Data'!G670,4),MID('Main Project Raw Data'!G670,4,2),LEFT('Main Project Raw Data'!G670,2))))</f>
        <v>44026</v>
      </c>
      <c r="H670" s="3">
        <f>IF(Table1[[#This Row],[Salary]]="",AVERAGE(Table1[Salary]),Table1[[#This Row],[Salary]])</f>
        <v>54465.47</v>
      </c>
      <c r="I670" s="3" t="s">
        <v>50</v>
      </c>
      <c r="J670" s="3">
        <f>ABS(Table1[[#This Row],[Phone]])</f>
        <v>7045023289</v>
      </c>
      <c r="K670" s="3" t="str">
        <f>PROPER(TRIM(Table1[[#This Row],[Performance_Score]]))</f>
        <v>Excellent</v>
      </c>
      <c r="L670" s="3" t="b">
        <f>Table1[[#This Row],[Remote_Work]]</f>
        <v>0</v>
      </c>
      <c r="M670" s="3" t="str">
        <f>PROPER(CONCATENATE(Table13[[#This Row],[First_Name]], Table13[[#This Row],[Last_Name]]))</f>
        <v>Bobjones</v>
      </c>
      <c r="N670" s="3" t="str">
        <f t="shared" si="10"/>
        <v>Jul</v>
      </c>
      <c r="O670" s="3" t="str">
        <f>TEXT(Table13[[#This Row],[Join_Date]],"yyyy")</f>
        <v>2020</v>
      </c>
      <c r="P670" s="3" t="str">
        <f>LEFT('Main Project Raw Data'!E670,FIND("-",'Main Project Raw Data'!E670)-1)</f>
        <v>Admin</v>
      </c>
      <c r="Q670" s="3" t="str">
        <f>RIGHT('Main Project Raw Data'!E670,LEN('Main Project Raw Data'!E670)-FIND("-",'Main Project Raw Data'!E670))</f>
        <v>Florida</v>
      </c>
    </row>
    <row r="671" spans="1:17" x14ac:dyDescent="0.3">
      <c r="A671" s="3" t="str">
        <f>TRIM(Table1[[#This Row],[Employee_ID]])</f>
        <v>EMP1669</v>
      </c>
      <c r="B671" s="3" t="str">
        <f>TRIM(Table1[[#This Row],[First_Name]])</f>
        <v>Alice</v>
      </c>
      <c r="C671" s="3" t="str">
        <f>TRIM(Table1[[#This Row],[Last_Name]])</f>
        <v>Davis</v>
      </c>
      <c r="D671" s="3">
        <f>IF(Table1[[#This Row],[Age]]="",AVERAGE(Table1[Age]),Table1[[#This Row],[Age]])</f>
        <v>25</v>
      </c>
      <c r="E671" s="3" t="s">
        <v>265</v>
      </c>
      <c r="F671" s="3" t="s">
        <v>16</v>
      </c>
      <c r="G671" s="5">
        <f>IF(ISNUMBER('Main Project Raw Data'!G671),'Main Project Raw Data'!G671,IF(ISNUMBER(SEARCH("/",'Main Project Raw Data'!G671)),DATE(RIGHT('Main Project Raw Data'!G671,4),LEFT('Main Project Raw Data'!G671,FIND("/",'Main Project Raw Data'!G671)-1),MID('Main Project Raw Data'!G671,FIND("/",'Main Project Raw Data'!G671)+1,2)),DATE(RIGHT('Main Project Raw Data'!G671,4),MID('Main Project Raw Data'!G671,4,2),LEFT('Main Project Raw Data'!G671,2))))</f>
        <v>44043</v>
      </c>
      <c r="H671" s="3">
        <f>IF(Table1[[#This Row],[Salary]]="",AVERAGE(Table1[Salary]),Table1[[#This Row],[Salary]])</f>
        <v>68371.66</v>
      </c>
      <c r="I671" s="3" t="s">
        <v>163</v>
      </c>
      <c r="J671" s="3">
        <f>ABS(Table1[[#This Row],[Phone]])</f>
        <v>2822700933</v>
      </c>
      <c r="K671" s="3" t="str">
        <f>PROPER(TRIM(Table1[[#This Row],[Performance_Score]]))</f>
        <v>Poor</v>
      </c>
      <c r="L671" s="3" t="b">
        <f>Table1[[#This Row],[Remote_Work]]</f>
        <v>0</v>
      </c>
      <c r="M671" s="3" t="str">
        <f>PROPER(CONCATENATE(Table13[[#This Row],[First_Name]], Table13[[#This Row],[Last_Name]]))</f>
        <v>Alicedavis</v>
      </c>
      <c r="N671" s="3" t="str">
        <f t="shared" si="10"/>
        <v>Jul</v>
      </c>
      <c r="O671" s="3" t="str">
        <f>TEXT(Table13[[#This Row],[Join_Date]],"yyyy")</f>
        <v>2020</v>
      </c>
      <c r="P671" s="3" t="str">
        <f>LEFT('Main Project Raw Data'!E671,FIND("-",'Main Project Raw Data'!E671)-1)</f>
        <v>Finance</v>
      </c>
      <c r="Q671" s="3" t="str">
        <f>RIGHT('Main Project Raw Data'!E671,LEN('Main Project Raw Data'!E671)-FIND("-",'Main Project Raw Data'!E671))</f>
        <v>Illinois</v>
      </c>
    </row>
    <row r="672" spans="1:17" x14ac:dyDescent="0.3">
      <c r="A672" s="3" t="str">
        <f>TRIM(Table1[[#This Row],[Employee_ID]])</f>
        <v>EMP1670</v>
      </c>
      <c r="B672" s="3" t="str">
        <f>TRIM(Table1[[#This Row],[First_Name]])</f>
        <v>Grace</v>
      </c>
      <c r="C672" s="3" t="str">
        <f>TRIM(Table1[[#This Row],[Last_Name]])</f>
        <v>Smith</v>
      </c>
      <c r="D672" s="3">
        <f>IF(Table1[[#This Row],[Age]]="",AVERAGE(Table1[Age]),Table1[[#This Row],[Age]])</f>
        <v>35</v>
      </c>
      <c r="E672" s="3" t="s">
        <v>196</v>
      </c>
      <c r="F672" s="3" t="s">
        <v>28</v>
      </c>
      <c r="G672" s="5">
        <f>IF(ISNUMBER('Main Project Raw Data'!G672),'Main Project Raw Data'!G672,IF(ISNUMBER(SEARCH("/",'Main Project Raw Data'!G672)),DATE(RIGHT('Main Project Raw Data'!G672,4),LEFT('Main Project Raw Data'!G672,FIND("/",'Main Project Raw Data'!G672)-1),MID('Main Project Raw Data'!G672,FIND("/",'Main Project Raw Data'!G672)+1,2)),DATE(RIGHT('Main Project Raw Data'!G672,4),MID('Main Project Raw Data'!G672,4,2),LEFT('Main Project Raw Data'!G672,2))))</f>
        <v>44294</v>
      </c>
      <c r="H672" s="3">
        <f>IF(Table1[[#This Row],[Salary]]="",AVERAGE(Table1[Salary]),Table1[[#This Row],[Salary]])</f>
        <v>81021.23</v>
      </c>
      <c r="I672" s="3" t="s">
        <v>135</v>
      </c>
      <c r="J672" s="3">
        <f>ABS(Table1[[#This Row],[Phone]])</f>
        <v>5962622821</v>
      </c>
      <c r="K672" s="3" t="str">
        <f>PROPER(TRIM(Table1[[#This Row],[Performance_Score]]))</f>
        <v>Good</v>
      </c>
      <c r="L672" s="3" t="b">
        <f>Table1[[#This Row],[Remote_Work]]</f>
        <v>0</v>
      </c>
      <c r="M672" s="3" t="str">
        <f>PROPER(CONCATENATE(Table13[[#This Row],[First_Name]], Table13[[#This Row],[Last_Name]]))</f>
        <v>Gracesmith</v>
      </c>
      <c r="N672" s="3" t="str">
        <f t="shared" si="10"/>
        <v>Apr</v>
      </c>
      <c r="O672" s="3" t="str">
        <f>TEXT(Table13[[#This Row],[Join_Date]],"yyyy")</f>
        <v>2021</v>
      </c>
      <c r="P672" s="3" t="str">
        <f>LEFT('Main Project Raw Data'!E672,FIND("-",'Main Project Raw Data'!E672)-1)</f>
        <v>Admin</v>
      </c>
      <c r="Q672" s="3" t="str">
        <f>RIGHT('Main Project Raw Data'!E672,LEN('Main Project Raw Data'!E672)-FIND("-",'Main Project Raw Data'!E672))</f>
        <v>New York</v>
      </c>
    </row>
    <row r="673" spans="1:17" x14ac:dyDescent="0.3">
      <c r="A673" s="3" t="str">
        <f>TRIM(Table1[[#This Row],[Employee_ID]])</f>
        <v>EMP1671</v>
      </c>
      <c r="B673" s="3" t="str">
        <f>TRIM(Table1[[#This Row],[First_Name]])</f>
        <v>Charlie</v>
      </c>
      <c r="C673" s="3" t="str">
        <f>TRIM(Table1[[#This Row],[Last_Name]])</f>
        <v>Miller</v>
      </c>
      <c r="D673" s="3">
        <f>IF(Table1[[#This Row],[Age]]="",AVERAGE(Table1[Age]),Table1[[#This Row],[Age]])</f>
        <v>25</v>
      </c>
      <c r="E673" s="3" t="s">
        <v>85</v>
      </c>
      <c r="F673" s="3" t="s">
        <v>33</v>
      </c>
      <c r="G673" s="5">
        <f>IF(ISNUMBER('Main Project Raw Data'!G673),'Main Project Raw Data'!G673,IF(ISNUMBER(SEARCH("/",'Main Project Raw Data'!G673)),DATE(RIGHT('Main Project Raw Data'!G673,4),LEFT('Main Project Raw Data'!G673,FIND("/",'Main Project Raw Data'!G673)-1),MID('Main Project Raw Data'!G673,FIND("/",'Main Project Raw Data'!G673)+1,2)),DATE(RIGHT('Main Project Raw Data'!G673,4),MID('Main Project Raw Data'!G673,4,2),LEFT('Main Project Raw Data'!G673,2))))</f>
        <v>45593</v>
      </c>
      <c r="H673" s="3">
        <f>IF(Table1[[#This Row],[Salary]]="",AVERAGE(Table1[Salary]),Table1[[#This Row],[Salary]])</f>
        <v>114069.07</v>
      </c>
      <c r="I673" s="3" t="s">
        <v>501</v>
      </c>
      <c r="J673" s="3">
        <f>ABS(Table1[[#This Row],[Phone]])</f>
        <v>5120734653</v>
      </c>
      <c r="K673" s="3" t="str">
        <f>PROPER(TRIM(Table1[[#This Row],[Performance_Score]]))</f>
        <v>Good</v>
      </c>
      <c r="L673" s="3" t="b">
        <f>Table1[[#This Row],[Remote_Work]]</f>
        <v>1</v>
      </c>
      <c r="M673" s="3" t="str">
        <f>PROPER(CONCATENATE(Table13[[#This Row],[First_Name]], Table13[[#This Row],[Last_Name]]))</f>
        <v>Charliemiller</v>
      </c>
      <c r="N673" s="3" t="str">
        <f t="shared" si="10"/>
        <v>Oct</v>
      </c>
      <c r="O673" s="3" t="str">
        <f>TEXT(Table13[[#This Row],[Join_Date]],"yyyy")</f>
        <v>2024</v>
      </c>
      <c r="P673" s="3" t="str">
        <f>LEFT('Main Project Raw Data'!E673,FIND("-",'Main Project Raw Data'!E673)-1)</f>
        <v>Cloud Tech</v>
      </c>
      <c r="Q673" s="3" t="str">
        <f>RIGHT('Main Project Raw Data'!E673,LEN('Main Project Raw Data'!E673)-FIND("-",'Main Project Raw Data'!E673))</f>
        <v>Nevada</v>
      </c>
    </row>
    <row r="674" spans="1:17" x14ac:dyDescent="0.3">
      <c r="A674" s="3" t="str">
        <f>TRIM(Table1[[#This Row],[Employee_ID]])</f>
        <v>EMP1672</v>
      </c>
      <c r="B674" s="3" t="str">
        <f>TRIM(Table1[[#This Row],[First_Name]])</f>
        <v>Heidi</v>
      </c>
      <c r="C674" s="3" t="str">
        <f>TRIM(Table1[[#This Row],[Last_Name]])</f>
        <v>Miller</v>
      </c>
      <c r="D674" s="3">
        <f>IF(Table1[[#This Row],[Age]]="",AVERAGE(Table1[Age]),Table1[[#This Row],[Age]])</f>
        <v>32.484548825710753</v>
      </c>
      <c r="E674" s="3" t="s">
        <v>192</v>
      </c>
      <c r="F674" s="3" t="s">
        <v>33</v>
      </c>
      <c r="G674" s="5">
        <f>IF(ISNUMBER('Main Project Raw Data'!G674),'Main Project Raw Data'!G674,IF(ISNUMBER(SEARCH("/",'Main Project Raw Data'!G674)),DATE(RIGHT('Main Project Raw Data'!G674,4),LEFT('Main Project Raw Data'!G674,FIND("/",'Main Project Raw Data'!G674)-1),MID('Main Project Raw Data'!G674,FIND("/",'Main Project Raw Data'!G674)+1,2)),DATE(RIGHT('Main Project Raw Data'!G674,4),MID('Main Project Raw Data'!G674,4,2),LEFT('Main Project Raw Data'!G674,2))))</f>
        <v>43900</v>
      </c>
      <c r="H674" s="3">
        <f>IF(Table1[[#This Row],[Salary]]="",AVERAGE(Table1[Salary]),Table1[[#This Row],[Salary]])</f>
        <v>117867.96</v>
      </c>
      <c r="I674" s="3" t="s">
        <v>130</v>
      </c>
      <c r="J674" s="3">
        <f>ABS(Table1[[#This Row],[Phone]])</f>
        <v>9500507025</v>
      </c>
      <c r="K674" s="3" t="str">
        <f>PROPER(TRIM(Table1[[#This Row],[Performance_Score]]))</f>
        <v>Poor</v>
      </c>
      <c r="L674" s="3" t="b">
        <f>Table1[[#This Row],[Remote_Work]]</f>
        <v>0</v>
      </c>
      <c r="M674" s="3" t="str">
        <f>PROPER(CONCATENATE(Table13[[#This Row],[First_Name]], Table13[[#This Row],[Last_Name]]))</f>
        <v>Heidimiller</v>
      </c>
      <c r="N674" s="3" t="str">
        <f t="shared" si="10"/>
        <v>Mar</v>
      </c>
      <c r="O674" s="3" t="str">
        <f>TEXT(Table13[[#This Row],[Join_Date]],"yyyy")</f>
        <v>2020</v>
      </c>
      <c r="P674" s="3" t="str">
        <f>LEFT('Main Project Raw Data'!E674,FIND("-",'Main Project Raw Data'!E674)-1)</f>
        <v>HR</v>
      </c>
      <c r="Q674" s="3" t="str">
        <f>RIGHT('Main Project Raw Data'!E674,LEN('Main Project Raw Data'!E674)-FIND("-",'Main Project Raw Data'!E674))</f>
        <v>Illinois</v>
      </c>
    </row>
    <row r="675" spans="1:17" x14ac:dyDescent="0.3">
      <c r="A675" s="3" t="str">
        <f>TRIM(Table1[[#This Row],[Employee_ID]])</f>
        <v>EMP1673</v>
      </c>
      <c r="B675" s="3" t="str">
        <f>TRIM(Table1[[#This Row],[First_Name]])</f>
        <v>Charlie</v>
      </c>
      <c r="C675" s="3" t="str">
        <f>TRIM(Table1[[#This Row],[Last_Name]])</f>
        <v>Miller</v>
      </c>
      <c r="D675" s="3">
        <f>IF(Table1[[#This Row],[Age]]="",AVERAGE(Table1[Age]),Table1[[#This Row],[Age]])</f>
        <v>32.484548825710753</v>
      </c>
      <c r="E675" s="3" t="s">
        <v>74</v>
      </c>
      <c r="F675" s="3" t="s">
        <v>28</v>
      </c>
      <c r="G675" s="5">
        <f>IF(ISNUMBER('Main Project Raw Data'!G675),'Main Project Raw Data'!G675,IF(ISNUMBER(SEARCH("/",'Main Project Raw Data'!G675)),DATE(RIGHT('Main Project Raw Data'!G675,4),LEFT('Main Project Raw Data'!G675,FIND("/",'Main Project Raw Data'!G675)-1),MID('Main Project Raw Data'!G675,FIND("/",'Main Project Raw Data'!G675)+1,2)),DATE(RIGHT('Main Project Raw Data'!G675,4),MID('Main Project Raw Data'!G675,4,2),LEFT('Main Project Raw Data'!G675,2))))</f>
        <v>45364</v>
      </c>
      <c r="H675" s="3">
        <f>IF(Table1[[#This Row],[Salary]]="",AVERAGE(Table1[Salary]),Table1[[#This Row],[Salary]])</f>
        <v>94509.58</v>
      </c>
      <c r="I675" s="3" t="s">
        <v>501</v>
      </c>
      <c r="J675" s="3">
        <f>ABS(Table1[[#This Row],[Phone]])</f>
        <v>869822104</v>
      </c>
      <c r="K675" s="3" t="str">
        <f>PROPER(TRIM(Table1[[#This Row],[Performance_Score]]))</f>
        <v>Average</v>
      </c>
      <c r="L675" s="3" t="b">
        <f>Table1[[#This Row],[Remote_Work]]</f>
        <v>0</v>
      </c>
      <c r="M675" s="3" t="str">
        <f>PROPER(CONCATENATE(Table13[[#This Row],[First_Name]], Table13[[#This Row],[Last_Name]]))</f>
        <v>Charliemiller</v>
      </c>
      <c r="N675" s="3" t="str">
        <f t="shared" si="10"/>
        <v>Mar</v>
      </c>
      <c r="O675" s="3" t="str">
        <f>TEXT(Table13[[#This Row],[Join_Date]],"yyyy")</f>
        <v>2024</v>
      </c>
      <c r="P675" s="3" t="str">
        <f>LEFT('Main Project Raw Data'!E675,FIND("-",'Main Project Raw Data'!E675)-1)</f>
        <v>Sales</v>
      </c>
      <c r="Q675" s="3" t="str">
        <f>RIGHT('Main Project Raw Data'!E675,LEN('Main Project Raw Data'!E675)-FIND("-",'Main Project Raw Data'!E675))</f>
        <v>Florida</v>
      </c>
    </row>
    <row r="676" spans="1:17" x14ac:dyDescent="0.3">
      <c r="A676" s="3" t="str">
        <f>TRIM(Table1[[#This Row],[Employee_ID]])</f>
        <v>EMP1674</v>
      </c>
      <c r="B676" s="3" t="str">
        <f>TRIM(Table1[[#This Row],[First_Name]])</f>
        <v>Eva</v>
      </c>
      <c r="C676" s="3" t="str">
        <f>TRIM(Table1[[#This Row],[Last_Name]])</f>
        <v>Brown</v>
      </c>
      <c r="D676" s="3">
        <f>IF(Table1[[#This Row],[Age]]="",AVERAGE(Table1[Age]),Table1[[#This Row],[Age]])</f>
        <v>35</v>
      </c>
      <c r="E676" s="3" t="s">
        <v>265</v>
      </c>
      <c r="F676" s="3" t="s">
        <v>16</v>
      </c>
      <c r="G676" s="5">
        <f>IF(ISNUMBER('Main Project Raw Data'!G676),'Main Project Raw Data'!G676,IF(ISNUMBER(SEARCH("/",'Main Project Raw Data'!G676)),DATE(RIGHT('Main Project Raw Data'!G676,4),LEFT('Main Project Raw Data'!G676,FIND("/",'Main Project Raw Data'!G676)-1),MID('Main Project Raw Data'!G676,FIND("/",'Main Project Raw Data'!G676)+1,2)),DATE(RIGHT('Main Project Raw Data'!G676,4),MID('Main Project Raw Data'!G676,4,2),LEFT('Main Project Raw Data'!G676,2))))</f>
        <v>45450</v>
      </c>
      <c r="H676" s="3">
        <f>IF(Table1[[#This Row],[Salary]]="",AVERAGE(Table1[Salary]),Table1[[#This Row],[Salary]])</f>
        <v>56268.78</v>
      </c>
      <c r="I676" s="3" t="s">
        <v>155</v>
      </c>
      <c r="J676" s="3">
        <f>ABS(Table1[[#This Row],[Phone]])</f>
        <v>3161177686</v>
      </c>
      <c r="K676" s="3" t="str">
        <f>PROPER(TRIM(Table1[[#This Row],[Performance_Score]]))</f>
        <v>Excellent</v>
      </c>
      <c r="L676" s="3" t="b">
        <f>Table1[[#This Row],[Remote_Work]]</f>
        <v>0</v>
      </c>
      <c r="M676" s="3" t="str">
        <f>PROPER(CONCATENATE(Table13[[#This Row],[First_Name]], Table13[[#This Row],[Last_Name]]))</f>
        <v>Evabrown</v>
      </c>
      <c r="N676" s="3" t="str">
        <f t="shared" si="10"/>
        <v>Jun</v>
      </c>
      <c r="O676" s="3" t="str">
        <f>TEXT(Table13[[#This Row],[Join_Date]],"yyyy")</f>
        <v>2024</v>
      </c>
      <c r="P676" s="3" t="str">
        <f>LEFT('Main Project Raw Data'!E676,FIND("-",'Main Project Raw Data'!E676)-1)</f>
        <v>Finance</v>
      </c>
      <c r="Q676" s="3" t="str">
        <f>RIGHT('Main Project Raw Data'!E676,LEN('Main Project Raw Data'!E676)-FIND("-",'Main Project Raw Data'!E676))</f>
        <v>Illinois</v>
      </c>
    </row>
    <row r="677" spans="1:17" x14ac:dyDescent="0.3">
      <c r="A677" s="3" t="str">
        <f>TRIM(Table1[[#This Row],[Employee_ID]])</f>
        <v>EMP1675</v>
      </c>
      <c r="B677" s="3" t="str">
        <f>TRIM(Table1[[#This Row],[First_Name]])</f>
        <v>Grace</v>
      </c>
      <c r="C677" s="3" t="str">
        <f>TRIM(Table1[[#This Row],[Last_Name]])</f>
        <v>Jones</v>
      </c>
      <c r="D677" s="3">
        <f>IF(Table1[[#This Row],[Age]]="",AVERAGE(Table1[Age]),Table1[[#This Row],[Age]])</f>
        <v>35</v>
      </c>
      <c r="E677" s="3" t="s">
        <v>118</v>
      </c>
      <c r="F677" s="3" t="s">
        <v>16</v>
      </c>
      <c r="G677" s="5">
        <f>IF(ISNUMBER('Main Project Raw Data'!G677),'Main Project Raw Data'!G677,IF(ISNUMBER(SEARCH("/",'Main Project Raw Data'!G677)),DATE(RIGHT('Main Project Raw Data'!G677,4),LEFT('Main Project Raw Data'!G677,FIND("/",'Main Project Raw Data'!G677)-1),MID('Main Project Raw Data'!G677,FIND("/",'Main Project Raw Data'!G677)+1,2)),DATE(RIGHT('Main Project Raw Data'!G677,4),MID('Main Project Raw Data'!G677,4,2),LEFT('Main Project Raw Data'!G677,2))))</f>
        <v>43831</v>
      </c>
      <c r="H677" s="3">
        <f>IF(Table1[[#This Row],[Salary]]="",AVERAGE(Table1[Salary]),Table1[[#This Row],[Salary]])</f>
        <v>86632.14</v>
      </c>
      <c r="I677" s="3" t="s">
        <v>76</v>
      </c>
      <c r="J677" s="3">
        <f>ABS(Table1[[#This Row],[Phone]])</f>
        <v>2904774257</v>
      </c>
      <c r="K677" s="3" t="str">
        <f>PROPER(TRIM(Table1[[#This Row],[Performance_Score]]))</f>
        <v>Poor</v>
      </c>
      <c r="L677" s="3" t="b">
        <f>Table1[[#This Row],[Remote_Work]]</f>
        <v>1</v>
      </c>
      <c r="M677" s="3" t="str">
        <f>PROPER(CONCATENATE(Table13[[#This Row],[First_Name]], Table13[[#This Row],[Last_Name]]))</f>
        <v>Gracejones</v>
      </c>
      <c r="N677" s="3" t="str">
        <f t="shared" si="10"/>
        <v>Jan</v>
      </c>
      <c r="O677" s="3" t="str">
        <f>TEXT(Table13[[#This Row],[Join_Date]],"yyyy")</f>
        <v>2020</v>
      </c>
      <c r="P677" s="3" t="str">
        <f>LEFT('Main Project Raw Data'!E677,FIND("-",'Main Project Raw Data'!E677)-1)</f>
        <v>Admin</v>
      </c>
      <c r="Q677" s="3" t="str">
        <f>RIGHT('Main Project Raw Data'!E677,LEN('Main Project Raw Data'!E677)-FIND("-",'Main Project Raw Data'!E677))</f>
        <v>California</v>
      </c>
    </row>
    <row r="678" spans="1:17" x14ac:dyDescent="0.3">
      <c r="A678" s="3" t="str">
        <f>TRIM(Table1[[#This Row],[Employee_ID]])</f>
        <v>EMP1676</v>
      </c>
      <c r="B678" s="3" t="str">
        <f>TRIM(Table1[[#This Row],[First_Name]])</f>
        <v>Charlie</v>
      </c>
      <c r="C678" s="3" t="str">
        <f>TRIM(Table1[[#This Row],[Last_Name]])</f>
        <v>Brown</v>
      </c>
      <c r="D678" s="3">
        <f>IF(Table1[[#This Row],[Age]]="",AVERAGE(Table1[Age]),Table1[[#This Row],[Age]])</f>
        <v>35</v>
      </c>
      <c r="E678" s="3" t="s">
        <v>212</v>
      </c>
      <c r="F678" s="3" t="s">
        <v>28</v>
      </c>
      <c r="G678" s="5">
        <f>IF(ISNUMBER('Main Project Raw Data'!G678),'Main Project Raw Data'!G678,IF(ISNUMBER(SEARCH("/",'Main Project Raw Data'!G678)),DATE(RIGHT('Main Project Raw Data'!G678,4),LEFT('Main Project Raw Data'!G678,FIND("/",'Main Project Raw Data'!G678)-1),MID('Main Project Raw Data'!G678,FIND("/",'Main Project Raw Data'!G678)+1,2)),DATE(RIGHT('Main Project Raw Data'!G678,4),MID('Main Project Raw Data'!G678,4,2),LEFT('Main Project Raw Data'!G678,2))))</f>
        <v>43848</v>
      </c>
      <c r="H678" s="3">
        <f>IF(Table1[[#This Row],[Salary]]="",AVERAGE(Table1[Salary]),Table1[[#This Row],[Salary]])</f>
        <v>98143.9</v>
      </c>
      <c r="I678" s="3" t="s">
        <v>125</v>
      </c>
      <c r="J678" s="3">
        <f>ABS(Table1[[#This Row],[Phone]])</f>
        <v>5917793237</v>
      </c>
      <c r="K678" s="3" t="str">
        <f>PROPER(TRIM(Table1[[#This Row],[Performance_Score]]))</f>
        <v>Excellent</v>
      </c>
      <c r="L678" s="3" t="b">
        <f>Table1[[#This Row],[Remote_Work]]</f>
        <v>0</v>
      </c>
      <c r="M678" s="3" t="str">
        <f>PROPER(CONCATENATE(Table13[[#This Row],[First_Name]], Table13[[#This Row],[Last_Name]]))</f>
        <v>Charliebrown</v>
      </c>
      <c r="N678" s="3" t="str">
        <f t="shared" si="10"/>
        <v>Jan</v>
      </c>
      <c r="O678" s="3" t="str">
        <f>TEXT(Table13[[#This Row],[Join_Date]],"yyyy")</f>
        <v>2020</v>
      </c>
      <c r="P678" s="3" t="str">
        <f>LEFT('Main Project Raw Data'!E678,FIND("-",'Main Project Raw Data'!E678)-1)</f>
        <v>HR</v>
      </c>
      <c r="Q678" s="3" t="str">
        <f>RIGHT('Main Project Raw Data'!E678,LEN('Main Project Raw Data'!E678)-FIND("-",'Main Project Raw Data'!E678))</f>
        <v>Florida</v>
      </c>
    </row>
    <row r="679" spans="1:17" x14ac:dyDescent="0.3">
      <c r="A679" s="3" t="str">
        <f>TRIM(Table1[[#This Row],[Employee_ID]])</f>
        <v>EMP1677</v>
      </c>
      <c r="B679" s="3" t="str">
        <f>TRIM(Table1[[#This Row],[First_Name]])</f>
        <v>Heidi</v>
      </c>
      <c r="C679" s="3" t="str">
        <f>TRIM(Table1[[#This Row],[Last_Name]])</f>
        <v>Garcia</v>
      </c>
      <c r="D679" s="3">
        <f>IF(Table1[[#This Row],[Age]]="",AVERAGE(Table1[Age]),Table1[[#This Row],[Age]])</f>
        <v>35</v>
      </c>
      <c r="E679" s="3" t="s">
        <v>39</v>
      </c>
      <c r="F679" s="3" t="s">
        <v>33</v>
      </c>
      <c r="G679" s="5">
        <f>IF(ISNUMBER('Main Project Raw Data'!G679),'Main Project Raw Data'!G679,IF(ISNUMBER(SEARCH("/",'Main Project Raw Data'!G679)),DATE(RIGHT('Main Project Raw Data'!G679,4),LEFT('Main Project Raw Data'!G679,FIND("/",'Main Project Raw Data'!G679)-1),MID('Main Project Raw Data'!G679,FIND("/",'Main Project Raw Data'!G679)+1,2)),DATE(RIGHT('Main Project Raw Data'!G679,4),MID('Main Project Raw Data'!G679,4,2),LEFT('Main Project Raw Data'!G679,2))))</f>
        <v>45112</v>
      </c>
      <c r="H679" s="3">
        <f>IF(Table1[[#This Row],[Salary]]="",AVERAGE(Table1[Salary]),Table1[[#This Row],[Salary]])</f>
        <v>85155.056395582287</v>
      </c>
      <c r="I679" s="3" t="s">
        <v>257</v>
      </c>
      <c r="J679" s="3">
        <f>ABS(Table1[[#This Row],[Phone]])</f>
        <v>2231164912</v>
      </c>
      <c r="K679" s="3" t="str">
        <f>PROPER(TRIM(Table1[[#This Row],[Performance_Score]]))</f>
        <v>Average</v>
      </c>
      <c r="L679" s="3" t="b">
        <f>Table1[[#This Row],[Remote_Work]]</f>
        <v>1</v>
      </c>
      <c r="M679" s="3" t="str">
        <f>PROPER(CONCATENATE(Table13[[#This Row],[First_Name]], Table13[[#This Row],[Last_Name]]))</f>
        <v>Heidigarcia</v>
      </c>
      <c r="N679" s="3" t="str">
        <f t="shared" si="10"/>
        <v>Jul</v>
      </c>
      <c r="O679" s="3" t="str">
        <f>TEXT(Table13[[#This Row],[Join_Date]],"yyyy")</f>
        <v>2023</v>
      </c>
      <c r="P679" s="3" t="str">
        <f>LEFT('Main Project Raw Data'!E679,FIND("-",'Main Project Raw Data'!E679)-1)</f>
        <v>Cloud Tech</v>
      </c>
      <c r="Q679" s="3" t="str">
        <f>RIGHT('Main Project Raw Data'!E679,LEN('Main Project Raw Data'!E679)-FIND("-",'Main Project Raw Data'!E679))</f>
        <v>Florida</v>
      </c>
    </row>
    <row r="680" spans="1:17" x14ac:dyDescent="0.3">
      <c r="A680" s="3" t="str">
        <f>TRIM(Table1[[#This Row],[Employee_ID]])</f>
        <v>EMP1678</v>
      </c>
      <c r="B680" s="3" t="str">
        <f>TRIM(Table1[[#This Row],[First_Name]])</f>
        <v>Frank</v>
      </c>
      <c r="C680" s="3" t="str">
        <f>TRIM(Table1[[#This Row],[Last_Name]])</f>
        <v>Johnson</v>
      </c>
      <c r="D680" s="3">
        <f>IF(Table1[[#This Row],[Age]]="",AVERAGE(Table1[Age]),Table1[[#This Row],[Age]])</f>
        <v>30</v>
      </c>
      <c r="E680" s="3" t="s">
        <v>265</v>
      </c>
      <c r="F680" s="3" t="s">
        <v>33</v>
      </c>
      <c r="G680" s="5">
        <f>IF(ISNUMBER('Main Project Raw Data'!G680),'Main Project Raw Data'!G680,IF(ISNUMBER(SEARCH("/",'Main Project Raw Data'!G680)),DATE(RIGHT('Main Project Raw Data'!G680,4),LEFT('Main Project Raw Data'!G680,FIND("/",'Main Project Raw Data'!G680)-1),MID('Main Project Raw Data'!G680,FIND("/",'Main Project Raw Data'!G680)+1,2)),DATE(RIGHT('Main Project Raw Data'!G680,4),MID('Main Project Raw Data'!G680,4,2),LEFT('Main Project Raw Data'!G680,2))))</f>
        <v>44639</v>
      </c>
      <c r="H680" s="3">
        <f>IF(Table1[[#This Row],[Salary]]="",AVERAGE(Table1[Salary]),Table1[[#This Row],[Salary]])</f>
        <v>67492.73</v>
      </c>
      <c r="I680" s="3" t="s">
        <v>271</v>
      </c>
      <c r="J680" s="3">
        <f>ABS(Table1[[#This Row],[Phone]])</f>
        <v>3424579888</v>
      </c>
      <c r="K680" s="3" t="str">
        <f>PROPER(TRIM(Table1[[#This Row],[Performance_Score]]))</f>
        <v>Excellent</v>
      </c>
      <c r="L680" s="3" t="b">
        <f>Table1[[#This Row],[Remote_Work]]</f>
        <v>1</v>
      </c>
      <c r="M680" s="3" t="str">
        <f>PROPER(CONCATENATE(Table13[[#This Row],[First_Name]], Table13[[#This Row],[Last_Name]]))</f>
        <v>Frankjohnson</v>
      </c>
      <c r="N680" s="3" t="str">
        <f t="shared" si="10"/>
        <v>Mar</v>
      </c>
      <c r="O680" s="3" t="str">
        <f>TEXT(Table13[[#This Row],[Join_Date]],"yyyy")</f>
        <v>2022</v>
      </c>
      <c r="P680" s="3" t="str">
        <f>LEFT('Main Project Raw Data'!E680,FIND("-",'Main Project Raw Data'!E680)-1)</f>
        <v>Finance</v>
      </c>
      <c r="Q680" s="3" t="str">
        <f>RIGHT('Main Project Raw Data'!E680,LEN('Main Project Raw Data'!E680)-FIND("-",'Main Project Raw Data'!E680))</f>
        <v>Illinois</v>
      </c>
    </row>
    <row r="681" spans="1:17" x14ac:dyDescent="0.3">
      <c r="A681" s="3" t="str">
        <f>TRIM(Table1[[#This Row],[Employee_ID]])</f>
        <v>EMP1679</v>
      </c>
      <c r="B681" s="3" t="str">
        <f>TRIM(Table1[[#This Row],[First_Name]])</f>
        <v>Grace</v>
      </c>
      <c r="C681" s="3" t="str">
        <f>TRIM(Table1[[#This Row],[Last_Name]])</f>
        <v>Johnson</v>
      </c>
      <c r="D681" s="3">
        <f>IF(Table1[[#This Row],[Age]]="",AVERAGE(Table1[Age]),Table1[[#This Row],[Age]])</f>
        <v>40</v>
      </c>
      <c r="E681" s="3" t="s">
        <v>118</v>
      </c>
      <c r="F681" s="3" t="s">
        <v>16</v>
      </c>
      <c r="G681" s="5">
        <f>IF(ISNUMBER('Main Project Raw Data'!G681),'Main Project Raw Data'!G681,IF(ISNUMBER(SEARCH("/",'Main Project Raw Data'!G681)),DATE(RIGHT('Main Project Raw Data'!G681,4),LEFT('Main Project Raw Data'!G681,FIND("/",'Main Project Raw Data'!G681)-1),MID('Main Project Raw Data'!G681,FIND("/",'Main Project Raw Data'!G681)+1,2)),DATE(RIGHT('Main Project Raw Data'!G681,4),MID('Main Project Raw Data'!G681,4,2),LEFT('Main Project Raw Data'!G681,2))))</f>
        <v>44695</v>
      </c>
      <c r="H681" s="3">
        <f>IF(Table1[[#This Row],[Salary]]="",AVERAGE(Table1[Salary]),Table1[[#This Row],[Salary]])</f>
        <v>93772.61</v>
      </c>
      <c r="I681" s="3" t="s">
        <v>127</v>
      </c>
      <c r="J681" s="3">
        <f>ABS(Table1[[#This Row],[Phone]])</f>
        <v>4256529059</v>
      </c>
      <c r="K681" s="3" t="str">
        <f>PROPER(TRIM(Table1[[#This Row],[Performance_Score]]))</f>
        <v>Poor</v>
      </c>
      <c r="L681" s="3" t="b">
        <f>Table1[[#This Row],[Remote_Work]]</f>
        <v>0</v>
      </c>
      <c r="M681" s="3" t="str">
        <f>PROPER(CONCATENATE(Table13[[#This Row],[First_Name]], Table13[[#This Row],[Last_Name]]))</f>
        <v>Gracejohnson</v>
      </c>
      <c r="N681" s="3" t="str">
        <f t="shared" si="10"/>
        <v>May</v>
      </c>
      <c r="O681" s="3" t="str">
        <f>TEXT(Table13[[#This Row],[Join_Date]],"yyyy")</f>
        <v>2022</v>
      </c>
      <c r="P681" s="3" t="str">
        <f>LEFT('Main Project Raw Data'!E681,FIND("-",'Main Project Raw Data'!E681)-1)</f>
        <v>Admin</v>
      </c>
      <c r="Q681" s="3" t="str">
        <f>RIGHT('Main Project Raw Data'!E681,LEN('Main Project Raw Data'!E681)-FIND("-",'Main Project Raw Data'!E681))</f>
        <v>California</v>
      </c>
    </row>
    <row r="682" spans="1:17" x14ac:dyDescent="0.3">
      <c r="A682" s="3" t="str">
        <f>TRIM(Table1[[#This Row],[Employee_ID]])</f>
        <v>EMP1680</v>
      </c>
      <c r="B682" s="3" t="str">
        <f>TRIM(Table1[[#This Row],[First_Name]])</f>
        <v>Eva</v>
      </c>
      <c r="C682" s="3" t="str">
        <f>TRIM(Table1[[#This Row],[Last_Name]])</f>
        <v>Garcia</v>
      </c>
      <c r="D682" s="3">
        <f>IF(Table1[[#This Row],[Age]]="",AVERAGE(Table1[Age]),Table1[[#This Row],[Age]])</f>
        <v>35</v>
      </c>
      <c r="E682" s="3" t="s">
        <v>328</v>
      </c>
      <c r="F682" s="3" t="s">
        <v>28</v>
      </c>
      <c r="G682" s="5">
        <f>IF(ISNUMBER('Main Project Raw Data'!G682),'Main Project Raw Data'!G682,IF(ISNUMBER(SEARCH("/",'Main Project Raw Data'!G682)),DATE(RIGHT('Main Project Raw Data'!G682,4),LEFT('Main Project Raw Data'!G682,FIND("/",'Main Project Raw Data'!G682)-1),MID('Main Project Raw Data'!G682,FIND("/",'Main Project Raw Data'!G682)+1,2)),DATE(RIGHT('Main Project Raw Data'!G682,4),MID('Main Project Raw Data'!G682,4,2),LEFT('Main Project Raw Data'!G682,2))))</f>
        <v>45487</v>
      </c>
      <c r="H682" s="3">
        <f>IF(Table1[[#This Row],[Salary]]="",AVERAGE(Table1[Salary]),Table1[[#This Row],[Salary]])</f>
        <v>68817.539999999994</v>
      </c>
      <c r="I682" s="3" t="s">
        <v>296</v>
      </c>
      <c r="J682" s="3">
        <f>ABS(Table1[[#This Row],[Phone]])</f>
        <v>3202032649</v>
      </c>
      <c r="K682" s="3" t="str">
        <f>PROPER(TRIM(Table1[[#This Row],[Performance_Score]]))</f>
        <v>Excellent</v>
      </c>
      <c r="L682" s="3" t="b">
        <f>Table1[[#This Row],[Remote_Work]]</f>
        <v>0</v>
      </c>
      <c r="M682" s="3" t="str">
        <f>PROPER(CONCATENATE(Table13[[#This Row],[First_Name]], Table13[[#This Row],[Last_Name]]))</f>
        <v>Evagarcia</v>
      </c>
      <c r="N682" s="3" t="str">
        <f t="shared" si="10"/>
        <v>Jul</v>
      </c>
      <c r="O682" s="3" t="str">
        <f>TEXT(Table13[[#This Row],[Join_Date]],"yyyy")</f>
        <v>2024</v>
      </c>
      <c r="P682" s="3" t="str">
        <f>LEFT('Main Project Raw Data'!E682,FIND("-",'Main Project Raw Data'!E682)-1)</f>
        <v>DevOps</v>
      </c>
      <c r="Q682" s="3" t="str">
        <f>RIGHT('Main Project Raw Data'!E682,LEN('Main Project Raw Data'!E682)-FIND("-",'Main Project Raw Data'!E682))</f>
        <v>Nevada</v>
      </c>
    </row>
    <row r="683" spans="1:17" x14ac:dyDescent="0.3">
      <c r="A683" s="3" t="str">
        <f>TRIM(Table1[[#This Row],[Employee_ID]])</f>
        <v>EMP1681</v>
      </c>
      <c r="B683" s="3" t="str">
        <f>TRIM(Table1[[#This Row],[First_Name]])</f>
        <v>Bob</v>
      </c>
      <c r="C683" s="3" t="str">
        <f>TRIM(Table1[[#This Row],[Last_Name]])</f>
        <v>Jones</v>
      </c>
      <c r="D683" s="3">
        <f>IF(Table1[[#This Row],[Age]]="",AVERAGE(Table1[Age]),Table1[[#This Row],[Age]])</f>
        <v>30</v>
      </c>
      <c r="E683" s="3" t="s">
        <v>118</v>
      </c>
      <c r="F683" s="3" t="s">
        <v>16</v>
      </c>
      <c r="G683" s="5">
        <f>IF(ISNUMBER('Main Project Raw Data'!G683),'Main Project Raw Data'!G683,IF(ISNUMBER(SEARCH("/",'Main Project Raw Data'!G683)),DATE(RIGHT('Main Project Raw Data'!G683,4),LEFT('Main Project Raw Data'!G683,FIND("/",'Main Project Raw Data'!G683)-1),MID('Main Project Raw Data'!G683,FIND("/",'Main Project Raw Data'!G683)+1,2)),DATE(RIGHT('Main Project Raw Data'!G683,4),MID('Main Project Raw Data'!G683,4,2),LEFT('Main Project Raw Data'!G683,2))))</f>
        <v>45135</v>
      </c>
      <c r="H683" s="3">
        <f>IF(Table1[[#This Row],[Salary]]="",AVERAGE(Table1[Salary]),Table1[[#This Row],[Salary]])</f>
        <v>81874.009999999995</v>
      </c>
      <c r="I683" s="3" t="s">
        <v>50</v>
      </c>
      <c r="J683" s="3">
        <f>ABS(Table1[[#This Row],[Phone]])</f>
        <v>9775396736</v>
      </c>
      <c r="K683" s="3" t="str">
        <f>PROPER(TRIM(Table1[[#This Row],[Performance_Score]]))</f>
        <v>Good</v>
      </c>
      <c r="L683" s="3" t="b">
        <f>Table1[[#This Row],[Remote_Work]]</f>
        <v>1</v>
      </c>
      <c r="M683" s="3" t="str">
        <f>PROPER(CONCATENATE(Table13[[#This Row],[First_Name]], Table13[[#This Row],[Last_Name]]))</f>
        <v>Bobjones</v>
      </c>
      <c r="N683" s="3" t="str">
        <f t="shared" si="10"/>
        <v>Jul</v>
      </c>
      <c r="O683" s="3" t="str">
        <f>TEXT(Table13[[#This Row],[Join_Date]],"yyyy")</f>
        <v>2023</v>
      </c>
      <c r="P683" s="3" t="str">
        <f>LEFT('Main Project Raw Data'!E683,FIND("-",'Main Project Raw Data'!E683)-1)</f>
        <v>Admin</v>
      </c>
      <c r="Q683" s="3" t="str">
        <f>RIGHT('Main Project Raw Data'!E683,LEN('Main Project Raw Data'!E683)-FIND("-",'Main Project Raw Data'!E683))</f>
        <v>California</v>
      </c>
    </row>
    <row r="684" spans="1:17" x14ac:dyDescent="0.3">
      <c r="A684" s="3" t="str">
        <f>TRIM(Table1[[#This Row],[Employee_ID]])</f>
        <v>EMP1682</v>
      </c>
      <c r="B684" s="3" t="str">
        <f>TRIM(Table1[[#This Row],[First_Name]])</f>
        <v>Heidi</v>
      </c>
      <c r="C684" s="3" t="str">
        <f>TRIM(Table1[[#This Row],[Last_Name]])</f>
        <v>Davis</v>
      </c>
      <c r="D684" s="3">
        <f>IF(Table1[[#This Row],[Age]]="",AVERAGE(Table1[Age]),Table1[[#This Row],[Age]])</f>
        <v>30</v>
      </c>
      <c r="E684" s="3" t="s">
        <v>139</v>
      </c>
      <c r="F684" s="3" t="s">
        <v>16</v>
      </c>
      <c r="G684" s="5">
        <f>IF(ISNUMBER('Main Project Raw Data'!G684),'Main Project Raw Data'!G684,IF(ISNUMBER(SEARCH("/",'Main Project Raw Data'!G684)),DATE(RIGHT('Main Project Raw Data'!G684,4),LEFT('Main Project Raw Data'!G684,FIND("/",'Main Project Raw Data'!G684)-1),MID('Main Project Raw Data'!G684,FIND("/",'Main Project Raw Data'!G684)+1,2)),DATE(RIGHT('Main Project Raw Data'!G684,4),MID('Main Project Raw Data'!G684,4,2),LEFT('Main Project Raw Data'!G684,2))))</f>
        <v>44139</v>
      </c>
      <c r="H684" s="3">
        <f>IF(Table1[[#This Row],[Salary]]="",AVERAGE(Table1[Salary]),Table1[[#This Row],[Salary]])</f>
        <v>117880.14</v>
      </c>
      <c r="I684" s="3" t="s">
        <v>394</v>
      </c>
      <c r="J684" s="3">
        <f>ABS(Table1[[#This Row],[Phone]])</f>
        <v>9487148551</v>
      </c>
      <c r="K684" s="3" t="str">
        <f>PROPER(TRIM(Table1[[#This Row],[Performance_Score]]))</f>
        <v>Average</v>
      </c>
      <c r="L684" s="3" t="b">
        <f>Table1[[#This Row],[Remote_Work]]</f>
        <v>0</v>
      </c>
      <c r="M684" s="3" t="str">
        <f>PROPER(CONCATENATE(Table13[[#This Row],[First_Name]], Table13[[#This Row],[Last_Name]]))</f>
        <v>Heididavis</v>
      </c>
      <c r="N684" s="3" t="str">
        <f t="shared" si="10"/>
        <v>Nov</v>
      </c>
      <c r="O684" s="3" t="str">
        <f>TEXT(Table13[[#This Row],[Join_Date]],"yyyy")</f>
        <v>2020</v>
      </c>
      <c r="P684" s="3" t="str">
        <f>LEFT('Main Project Raw Data'!E684,FIND("-",'Main Project Raw Data'!E684)-1)</f>
        <v>HR</v>
      </c>
      <c r="Q684" s="3" t="str">
        <f>RIGHT('Main Project Raw Data'!E684,LEN('Main Project Raw Data'!E684)-FIND("-",'Main Project Raw Data'!E684))</f>
        <v>Texas</v>
      </c>
    </row>
    <row r="685" spans="1:17" x14ac:dyDescent="0.3">
      <c r="A685" s="3" t="str">
        <f>TRIM(Table1[[#This Row],[Employee_ID]])</f>
        <v>EMP1683</v>
      </c>
      <c r="B685" s="3" t="str">
        <f>TRIM(Table1[[#This Row],[First_Name]])</f>
        <v>Bob</v>
      </c>
      <c r="C685" s="3" t="str">
        <f>TRIM(Table1[[#This Row],[Last_Name]])</f>
        <v>Brown</v>
      </c>
      <c r="D685" s="3">
        <f>IF(Table1[[#This Row],[Age]]="",AVERAGE(Table1[Age]),Table1[[#This Row],[Age]])</f>
        <v>35</v>
      </c>
      <c r="E685" s="3" t="s">
        <v>66</v>
      </c>
      <c r="F685" s="3" t="s">
        <v>28</v>
      </c>
      <c r="G685" s="5">
        <f>IF(ISNUMBER('Main Project Raw Data'!G685),'Main Project Raw Data'!G685,IF(ISNUMBER(SEARCH("/",'Main Project Raw Data'!G685)),DATE(RIGHT('Main Project Raw Data'!G685,4),LEFT('Main Project Raw Data'!G685,FIND("/",'Main Project Raw Data'!G685)-1),MID('Main Project Raw Data'!G685,FIND("/",'Main Project Raw Data'!G685)+1,2)),DATE(RIGHT('Main Project Raw Data'!G685,4),MID('Main Project Raw Data'!G685,4,2),LEFT('Main Project Raw Data'!G685,2))))</f>
        <v>44728</v>
      </c>
      <c r="H685" s="3">
        <f>IF(Table1[[#This Row],[Salary]]="",AVERAGE(Table1[Salary]),Table1[[#This Row],[Salary]])</f>
        <v>100897.49</v>
      </c>
      <c r="I685" s="3" t="s">
        <v>22</v>
      </c>
      <c r="J685" s="3">
        <f>ABS(Table1[[#This Row],[Phone]])</f>
        <v>4578715840</v>
      </c>
      <c r="K685" s="3" t="str">
        <f>PROPER(TRIM(Table1[[#This Row],[Performance_Score]]))</f>
        <v>Average</v>
      </c>
      <c r="L685" s="3" t="b">
        <f>Table1[[#This Row],[Remote_Work]]</f>
        <v>1</v>
      </c>
      <c r="M685" s="3" t="str">
        <f>PROPER(CONCATENATE(Table13[[#This Row],[First_Name]], Table13[[#This Row],[Last_Name]]))</f>
        <v>Bobbrown</v>
      </c>
      <c r="N685" s="3" t="str">
        <f t="shared" si="10"/>
        <v>Jun</v>
      </c>
      <c r="O685" s="3" t="str">
        <f>TEXT(Table13[[#This Row],[Join_Date]],"yyyy")</f>
        <v>2022</v>
      </c>
      <c r="P685" s="3" t="str">
        <f>LEFT('Main Project Raw Data'!E685,FIND("-",'Main Project Raw Data'!E685)-1)</f>
        <v>HR</v>
      </c>
      <c r="Q685" s="3" t="str">
        <f>RIGHT('Main Project Raw Data'!E685,LEN('Main Project Raw Data'!E685)-FIND("-",'Main Project Raw Data'!E685))</f>
        <v>New York</v>
      </c>
    </row>
    <row r="686" spans="1:17" x14ac:dyDescent="0.3">
      <c r="A686" s="3" t="str">
        <f>TRIM(Table1[[#This Row],[Employee_ID]])</f>
        <v>EMP1684</v>
      </c>
      <c r="B686" s="3" t="str">
        <f>TRIM(Table1[[#This Row],[First_Name]])</f>
        <v>Charlie</v>
      </c>
      <c r="C686" s="3" t="str">
        <f>TRIM(Table1[[#This Row],[Last_Name]])</f>
        <v>Smith</v>
      </c>
      <c r="D686" s="3">
        <f>IF(Table1[[#This Row],[Age]]="",AVERAGE(Table1[Age]),Table1[[#This Row],[Age]])</f>
        <v>25</v>
      </c>
      <c r="E686" s="3" t="s">
        <v>227</v>
      </c>
      <c r="F686" s="3" t="s">
        <v>33</v>
      </c>
      <c r="G686" s="5">
        <f>IF(ISNUMBER('Main Project Raw Data'!G686),'Main Project Raw Data'!G686,IF(ISNUMBER(SEARCH("/",'Main Project Raw Data'!G686)),DATE(RIGHT('Main Project Raw Data'!G686,4),LEFT('Main Project Raw Data'!G686,FIND("/",'Main Project Raw Data'!G686)-1),MID('Main Project Raw Data'!G686,FIND("/",'Main Project Raw Data'!G686)+1,2)),DATE(RIGHT('Main Project Raw Data'!G686,4),MID('Main Project Raw Data'!G686,4,2),LEFT('Main Project Raw Data'!G686,2))))</f>
        <v>44839</v>
      </c>
      <c r="H686" s="3">
        <f>IF(Table1[[#This Row],[Salary]]="",AVERAGE(Table1[Salary]),Table1[[#This Row],[Salary]])</f>
        <v>71810.37</v>
      </c>
      <c r="I686" s="3" t="s">
        <v>194</v>
      </c>
      <c r="J686" s="3">
        <f>ABS(Table1[[#This Row],[Phone]])</f>
        <v>5608213710</v>
      </c>
      <c r="K686" s="3" t="str">
        <f>PROPER(TRIM(Table1[[#This Row],[Performance_Score]]))</f>
        <v>Average</v>
      </c>
      <c r="L686" s="3" t="b">
        <f>Table1[[#This Row],[Remote_Work]]</f>
        <v>1</v>
      </c>
      <c r="M686" s="3" t="str">
        <f>PROPER(CONCATENATE(Table13[[#This Row],[First_Name]], Table13[[#This Row],[Last_Name]]))</f>
        <v>Charliesmith</v>
      </c>
      <c r="N686" s="3" t="str">
        <f t="shared" si="10"/>
        <v>Oct</v>
      </c>
      <c r="O686" s="3" t="str">
        <f>TEXT(Table13[[#This Row],[Join_Date]],"yyyy")</f>
        <v>2022</v>
      </c>
      <c r="P686" s="3" t="str">
        <f>LEFT('Main Project Raw Data'!E686,FIND("-",'Main Project Raw Data'!E686)-1)</f>
        <v>Finance</v>
      </c>
      <c r="Q686" s="3" t="str">
        <f>RIGHT('Main Project Raw Data'!E686,LEN('Main Project Raw Data'!E686)-FIND("-",'Main Project Raw Data'!E686))</f>
        <v>New York</v>
      </c>
    </row>
    <row r="687" spans="1:17" x14ac:dyDescent="0.3">
      <c r="A687" s="3" t="str">
        <f>TRIM(Table1[[#This Row],[Employee_ID]])</f>
        <v>EMP1685</v>
      </c>
      <c r="B687" s="3" t="str">
        <f>TRIM(Table1[[#This Row],[First_Name]])</f>
        <v>Frank</v>
      </c>
      <c r="C687" s="3" t="str">
        <f>TRIM(Table1[[#This Row],[Last_Name]])</f>
        <v>Miller</v>
      </c>
      <c r="D687" s="3">
        <f>IF(Table1[[#This Row],[Age]]="",AVERAGE(Table1[Age]),Table1[[#This Row],[Age]])</f>
        <v>40</v>
      </c>
      <c r="E687" s="3" t="s">
        <v>237</v>
      </c>
      <c r="F687" s="3" t="s">
        <v>33</v>
      </c>
      <c r="G687" s="5">
        <f>IF(ISNUMBER('Main Project Raw Data'!G687),'Main Project Raw Data'!G687,IF(ISNUMBER(SEARCH("/",'Main Project Raw Data'!G687)),DATE(RIGHT('Main Project Raw Data'!G687,4),LEFT('Main Project Raw Data'!G687,FIND("/",'Main Project Raw Data'!G687)-1),MID('Main Project Raw Data'!G687,FIND("/",'Main Project Raw Data'!G687)+1,2)),DATE(RIGHT('Main Project Raw Data'!G687,4),MID('Main Project Raw Data'!G687,4,2),LEFT('Main Project Raw Data'!G687,2))))</f>
        <v>43995</v>
      </c>
      <c r="H687" s="3">
        <f>IF(Table1[[#This Row],[Salary]]="",AVERAGE(Table1[Salary]),Table1[[#This Row],[Salary]])</f>
        <v>109048.24</v>
      </c>
      <c r="I687" s="3" t="s">
        <v>110</v>
      </c>
      <c r="J687" s="3">
        <f>ABS(Table1[[#This Row],[Phone]])</f>
        <v>8425476817</v>
      </c>
      <c r="K687" s="3" t="str">
        <f>PROPER(TRIM(Table1[[#This Row],[Performance_Score]]))</f>
        <v>Poor</v>
      </c>
      <c r="L687" s="3" t="b">
        <f>Table1[[#This Row],[Remote_Work]]</f>
        <v>0</v>
      </c>
      <c r="M687" s="3" t="str">
        <f>PROPER(CONCATENATE(Table13[[#This Row],[First_Name]], Table13[[#This Row],[Last_Name]]))</f>
        <v>Frankmiller</v>
      </c>
      <c r="N687" s="3" t="str">
        <f t="shared" si="10"/>
        <v>Jun</v>
      </c>
      <c r="O687" s="3" t="str">
        <f>TEXT(Table13[[#This Row],[Join_Date]],"yyyy")</f>
        <v>2020</v>
      </c>
      <c r="P687" s="3" t="str">
        <f>LEFT('Main Project Raw Data'!E687,FIND("-",'Main Project Raw Data'!E687)-1)</f>
        <v>DevOps</v>
      </c>
      <c r="Q687" s="3" t="str">
        <f>RIGHT('Main Project Raw Data'!E687,LEN('Main Project Raw Data'!E687)-FIND("-",'Main Project Raw Data'!E687))</f>
        <v>Texas</v>
      </c>
    </row>
    <row r="688" spans="1:17" x14ac:dyDescent="0.3">
      <c r="A688" s="3" t="str">
        <f>TRIM(Table1[[#This Row],[Employee_ID]])</f>
        <v>EMP1686</v>
      </c>
      <c r="B688" s="3" t="str">
        <f>TRIM(Table1[[#This Row],[First_Name]])</f>
        <v>Alice</v>
      </c>
      <c r="C688" s="3" t="str">
        <f>TRIM(Table1[[#This Row],[Last_Name]])</f>
        <v>Miller</v>
      </c>
      <c r="D688" s="3">
        <f>IF(Table1[[#This Row],[Age]]="",AVERAGE(Table1[Age]),Table1[[#This Row],[Age]])</f>
        <v>35</v>
      </c>
      <c r="E688" s="3" t="s">
        <v>21</v>
      </c>
      <c r="F688" s="3" t="s">
        <v>28</v>
      </c>
      <c r="G688" s="5">
        <f>IF(ISNUMBER('Main Project Raw Data'!G688),'Main Project Raw Data'!G688,IF(ISNUMBER(SEARCH("/",'Main Project Raw Data'!G688)),DATE(RIGHT('Main Project Raw Data'!G688,4),LEFT('Main Project Raw Data'!G688,FIND("/",'Main Project Raw Data'!G688)-1),MID('Main Project Raw Data'!G688,FIND("/",'Main Project Raw Data'!G688)+1,2)),DATE(RIGHT('Main Project Raw Data'!G688,4),MID('Main Project Raw Data'!G688,4,2),LEFT('Main Project Raw Data'!G688,2))))</f>
        <v>44793</v>
      </c>
      <c r="H688" s="3">
        <f>IF(Table1[[#This Row],[Salary]]="",AVERAGE(Table1[Salary]),Table1[[#This Row],[Salary]])</f>
        <v>62712.26</v>
      </c>
      <c r="I688" s="3" t="s">
        <v>166</v>
      </c>
      <c r="J688" s="3">
        <f>ABS(Table1[[#This Row],[Phone]])</f>
        <v>2683230357</v>
      </c>
      <c r="K688" s="3" t="str">
        <f>PROPER(TRIM(Table1[[#This Row],[Performance_Score]]))</f>
        <v>Average</v>
      </c>
      <c r="L688" s="3" t="b">
        <f>Table1[[#This Row],[Remote_Work]]</f>
        <v>0</v>
      </c>
      <c r="M688" s="3" t="str">
        <f>PROPER(CONCATENATE(Table13[[#This Row],[First_Name]], Table13[[#This Row],[Last_Name]]))</f>
        <v>Alicemiller</v>
      </c>
      <c r="N688" s="3" t="str">
        <f t="shared" si="10"/>
        <v>Aug</v>
      </c>
      <c r="O688" s="3" t="str">
        <f>TEXT(Table13[[#This Row],[Join_Date]],"yyyy")</f>
        <v>2022</v>
      </c>
      <c r="P688" s="3" t="str">
        <f>LEFT('Main Project Raw Data'!E688,FIND("-",'Main Project Raw Data'!E688)-1)</f>
        <v>Finance</v>
      </c>
      <c r="Q688" s="3" t="str">
        <f>RIGHT('Main Project Raw Data'!E688,LEN('Main Project Raw Data'!E688)-FIND("-",'Main Project Raw Data'!E688))</f>
        <v>Texas</v>
      </c>
    </row>
    <row r="689" spans="1:17" x14ac:dyDescent="0.3">
      <c r="A689" s="3" t="str">
        <f>TRIM(Table1[[#This Row],[Employee_ID]])</f>
        <v>EMP1687</v>
      </c>
      <c r="B689" s="3" t="str">
        <f>TRIM(Table1[[#This Row],[First_Name]])</f>
        <v>Eva</v>
      </c>
      <c r="C689" s="3" t="str">
        <f>TRIM(Table1[[#This Row],[Last_Name]])</f>
        <v>Jones</v>
      </c>
      <c r="D689" s="3">
        <f>IF(Table1[[#This Row],[Age]]="",AVERAGE(Table1[Age]),Table1[[#This Row],[Age]])</f>
        <v>40</v>
      </c>
      <c r="E689" s="3" t="s">
        <v>159</v>
      </c>
      <c r="F689" s="3" t="s">
        <v>28</v>
      </c>
      <c r="G689" s="5">
        <f>IF(ISNUMBER('Main Project Raw Data'!G689),'Main Project Raw Data'!G689,IF(ISNUMBER(SEARCH("/",'Main Project Raw Data'!G689)),DATE(RIGHT('Main Project Raw Data'!G689,4),LEFT('Main Project Raw Data'!G689,FIND("/",'Main Project Raw Data'!G689)-1),MID('Main Project Raw Data'!G689,FIND("/",'Main Project Raw Data'!G689)+1,2)),DATE(RIGHT('Main Project Raw Data'!G689,4),MID('Main Project Raw Data'!G689,4,2),LEFT('Main Project Raw Data'!G689,2))))</f>
        <v>44340</v>
      </c>
      <c r="H689" s="3">
        <f>IF(Table1[[#This Row],[Salary]]="",AVERAGE(Table1[Salary]),Table1[[#This Row],[Salary]])</f>
        <v>76935.850000000006</v>
      </c>
      <c r="I689" s="3" t="s">
        <v>277</v>
      </c>
      <c r="J689" s="3">
        <f>ABS(Table1[[#This Row],[Phone]])</f>
        <v>9298808582</v>
      </c>
      <c r="K689" s="3" t="str">
        <f>PROPER(TRIM(Table1[[#This Row],[Performance_Score]]))</f>
        <v>Good</v>
      </c>
      <c r="L689" s="3" t="b">
        <f>Table1[[#This Row],[Remote_Work]]</f>
        <v>1</v>
      </c>
      <c r="M689" s="3" t="str">
        <f>PROPER(CONCATENATE(Table13[[#This Row],[First_Name]], Table13[[#This Row],[Last_Name]]))</f>
        <v>Evajones</v>
      </c>
      <c r="N689" s="3" t="str">
        <f t="shared" si="10"/>
        <v>May</v>
      </c>
      <c r="O689" s="3" t="str">
        <f>TEXT(Table13[[#This Row],[Join_Date]],"yyyy")</f>
        <v>2021</v>
      </c>
      <c r="P689" s="3" t="str">
        <f>LEFT('Main Project Raw Data'!E689,FIND("-",'Main Project Raw Data'!E689)-1)</f>
        <v>Cloud Tech</v>
      </c>
      <c r="Q689" s="3" t="str">
        <f>RIGHT('Main Project Raw Data'!E689,LEN('Main Project Raw Data'!E689)-FIND("-",'Main Project Raw Data'!E689))</f>
        <v>Texas</v>
      </c>
    </row>
    <row r="690" spans="1:17" x14ac:dyDescent="0.3">
      <c r="A690" s="3" t="str">
        <f>TRIM(Table1[[#This Row],[Employee_ID]])</f>
        <v>EMP1688</v>
      </c>
      <c r="B690" s="3" t="str">
        <f>TRIM(Table1[[#This Row],[First_Name]])</f>
        <v>David</v>
      </c>
      <c r="C690" s="3" t="str">
        <f>TRIM(Table1[[#This Row],[Last_Name]])</f>
        <v>Davis</v>
      </c>
      <c r="D690" s="3">
        <f>IF(Table1[[#This Row],[Age]]="",AVERAGE(Table1[Age]),Table1[[#This Row],[Age]])</f>
        <v>25</v>
      </c>
      <c r="E690" s="3" t="s">
        <v>205</v>
      </c>
      <c r="F690" s="3" t="s">
        <v>28</v>
      </c>
      <c r="G690" s="5">
        <f>IF(ISNUMBER('Main Project Raw Data'!G690),'Main Project Raw Data'!G690,IF(ISNUMBER(SEARCH("/",'Main Project Raw Data'!G690)),DATE(RIGHT('Main Project Raw Data'!G690,4),LEFT('Main Project Raw Data'!G690,FIND("/",'Main Project Raw Data'!G690)-1),MID('Main Project Raw Data'!G690,FIND("/",'Main Project Raw Data'!G690)+1,2)),DATE(RIGHT('Main Project Raw Data'!G690,4),MID('Main Project Raw Data'!G690,4,2),LEFT('Main Project Raw Data'!G690,2))))</f>
        <v>45409</v>
      </c>
      <c r="H690" s="3">
        <f>IF(Table1[[#This Row],[Salary]]="",AVERAGE(Table1[Salary]),Table1[[#This Row],[Salary]])</f>
        <v>56577.22</v>
      </c>
      <c r="I690" s="3" t="s">
        <v>63</v>
      </c>
      <c r="J690" s="3">
        <f>ABS(Table1[[#This Row],[Phone]])</f>
        <v>8252129327</v>
      </c>
      <c r="K690" s="3" t="str">
        <f>PROPER(TRIM(Table1[[#This Row],[Performance_Score]]))</f>
        <v>Poor</v>
      </c>
      <c r="L690" s="3" t="b">
        <f>Table1[[#This Row],[Remote_Work]]</f>
        <v>1</v>
      </c>
      <c r="M690" s="3" t="str">
        <f>PROPER(CONCATENATE(Table13[[#This Row],[First_Name]], Table13[[#This Row],[Last_Name]]))</f>
        <v>Daviddavis</v>
      </c>
      <c r="N690" s="3" t="str">
        <f t="shared" si="10"/>
        <v>Apr</v>
      </c>
      <c r="O690" s="3" t="str">
        <f>TEXT(Table13[[#This Row],[Join_Date]],"yyyy")</f>
        <v>2024</v>
      </c>
      <c r="P690" s="3" t="str">
        <f>LEFT('Main Project Raw Data'!E690,FIND("-",'Main Project Raw Data'!E690)-1)</f>
        <v>Admin</v>
      </c>
      <c r="Q690" s="3" t="str">
        <f>RIGHT('Main Project Raw Data'!E690,LEN('Main Project Raw Data'!E690)-FIND("-",'Main Project Raw Data'!E690))</f>
        <v>Florida</v>
      </c>
    </row>
    <row r="691" spans="1:17" x14ac:dyDescent="0.3">
      <c r="A691" s="3" t="str">
        <f>TRIM(Table1[[#This Row],[Employee_ID]])</f>
        <v>EMP1689</v>
      </c>
      <c r="B691" s="3" t="str">
        <f>TRIM(Table1[[#This Row],[First_Name]])</f>
        <v>David</v>
      </c>
      <c r="C691" s="3" t="str">
        <f>TRIM(Table1[[#This Row],[Last_Name]])</f>
        <v>Johnson</v>
      </c>
      <c r="D691" s="3">
        <f>IF(Table1[[#This Row],[Age]]="",AVERAGE(Table1[Age]),Table1[[#This Row],[Age]])</f>
        <v>40</v>
      </c>
      <c r="E691" s="3" t="s">
        <v>100</v>
      </c>
      <c r="F691" s="3" t="s">
        <v>33</v>
      </c>
      <c r="G691" s="5">
        <f>IF(ISNUMBER('Main Project Raw Data'!G691),'Main Project Raw Data'!G691,IF(ISNUMBER(SEARCH("/",'Main Project Raw Data'!G691)),DATE(RIGHT('Main Project Raw Data'!G691,4),LEFT('Main Project Raw Data'!G691,FIND("/",'Main Project Raw Data'!G691)-1),MID('Main Project Raw Data'!G691,FIND("/",'Main Project Raw Data'!G691)+1,2)),DATE(RIGHT('Main Project Raw Data'!G691,4),MID('Main Project Raw Data'!G691,4,2),LEFT('Main Project Raw Data'!G691,2))))</f>
        <v>44492</v>
      </c>
      <c r="H691" s="3">
        <f>IF(Table1[[#This Row],[Salary]]="",AVERAGE(Table1[Salary]),Table1[[#This Row],[Salary]])</f>
        <v>61102.8</v>
      </c>
      <c r="I691" s="3" t="s">
        <v>217</v>
      </c>
      <c r="J691" s="3">
        <f>ABS(Table1[[#This Row],[Phone]])</f>
        <v>9634064685</v>
      </c>
      <c r="K691" s="3" t="str">
        <f>PROPER(TRIM(Table1[[#This Row],[Performance_Score]]))</f>
        <v>Good</v>
      </c>
      <c r="L691" s="3" t="b">
        <f>Table1[[#This Row],[Remote_Work]]</f>
        <v>1</v>
      </c>
      <c r="M691" s="3" t="str">
        <f>PROPER(CONCATENATE(Table13[[#This Row],[First_Name]], Table13[[#This Row],[Last_Name]]))</f>
        <v>Davidjohnson</v>
      </c>
      <c r="N691" s="3" t="str">
        <f t="shared" si="10"/>
        <v>Oct</v>
      </c>
      <c r="O691" s="3" t="str">
        <f>TEXT(Table13[[#This Row],[Join_Date]],"yyyy")</f>
        <v>2021</v>
      </c>
      <c r="P691" s="3" t="str">
        <f>LEFT('Main Project Raw Data'!E691,FIND("-",'Main Project Raw Data'!E691)-1)</f>
        <v>Finance</v>
      </c>
      <c r="Q691" s="3" t="str">
        <f>RIGHT('Main Project Raw Data'!E691,LEN('Main Project Raw Data'!E691)-FIND("-",'Main Project Raw Data'!E691))</f>
        <v>Nevada</v>
      </c>
    </row>
    <row r="692" spans="1:17" x14ac:dyDescent="0.3">
      <c r="A692" s="3" t="str">
        <f>TRIM(Table1[[#This Row],[Employee_ID]])</f>
        <v>EMP1690</v>
      </c>
      <c r="B692" s="3" t="str">
        <f>TRIM(Table1[[#This Row],[First_Name]])</f>
        <v>Bob</v>
      </c>
      <c r="C692" s="3" t="str">
        <f>TRIM(Table1[[#This Row],[Last_Name]])</f>
        <v>Johnson</v>
      </c>
      <c r="D692" s="3">
        <f>IF(Table1[[#This Row],[Age]]="",AVERAGE(Table1[Age]),Table1[[#This Row],[Age]])</f>
        <v>35</v>
      </c>
      <c r="E692" s="3" t="s">
        <v>100</v>
      </c>
      <c r="F692" s="3" t="s">
        <v>33</v>
      </c>
      <c r="G692" s="5">
        <f>IF(ISNUMBER('Main Project Raw Data'!G692),'Main Project Raw Data'!G692,IF(ISNUMBER(SEARCH("/",'Main Project Raw Data'!G692)),DATE(RIGHT('Main Project Raw Data'!G692,4),LEFT('Main Project Raw Data'!G692,FIND("/",'Main Project Raw Data'!G692)-1),MID('Main Project Raw Data'!G692,FIND("/",'Main Project Raw Data'!G692)+1,2)),DATE(RIGHT('Main Project Raw Data'!G692,4),MID('Main Project Raw Data'!G692,4,2),LEFT('Main Project Raw Data'!G692,2))))</f>
        <v>44471</v>
      </c>
      <c r="H692" s="3">
        <f>IF(Table1[[#This Row],[Salary]]="",AVERAGE(Table1[Salary]),Table1[[#This Row],[Salary]])</f>
        <v>75229.87</v>
      </c>
      <c r="I692" s="3" t="s">
        <v>199</v>
      </c>
      <c r="J692" s="3">
        <f>ABS(Table1[[#This Row],[Phone]])</f>
        <v>7752401483</v>
      </c>
      <c r="K692" s="3" t="str">
        <f>PROPER(TRIM(Table1[[#This Row],[Performance_Score]]))</f>
        <v>Excellent</v>
      </c>
      <c r="L692" s="3" t="b">
        <f>Table1[[#This Row],[Remote_Work]]</f>
        <v>1</v>
      </c>
      <c r="M692" s="3" t="str">
        <f>PROPER(CONCATENATE(Table13[[#This Row],[First_Name]], Table13[[#This Row],[Last_Name]]))</f>
        <v>Bobjohnson</v>
      </c>
      <c r="N692" s="3" t="str">
        <f t="shared" si="10"/>
        <v>Oct</v>
      </c>
      <c r="O692" s="3" t="str">
        <f>TEXT(Table13[[#This Row],[Join_Date]],"yyyy")</f>
        <v>2021</v>
      </c>
      <c r="P692" s="3" t="str">
        <f>LEFT('Main Project Raw Data'!E692,FIND("-",'Main Project Raw Data'!E692)-1)</f>
        <v>Finance</v>
      </c>
      <c r="Q692" s="3" t="str">
        <f>RIGHT('Main Project Raw Data'!E692,LEN('Main Project Raw Data'!E692)-FIND("-",'Main Project Raw Data'!E692))</f>
        <v>Nevada</v>
      </c>
    </row>
    <row r="693" spans="1:17" x14ac:dyDescent="0.3">
      <c r="A693" s="3" t="str">
        <f>TRIM(Table1[[#This Row],[Employee_ID]])</f>
        <v>EMP1691</v>
      </c>
      <c r="B693" s="3" t="str">
        <f>TRIM(Table1[[#This Row],[First_Name]])</f>
        <v>David</v>
      </c>
      <c r="C693" s="3" t="str">
        <f>TRIM(Table1[[#This Row],[Last_Name]])</f>
        <v>Miller</v>
      </c>
      <c r="D693" s="3">
        <f>IF(Table1[[#This Row],[Age]]="",AVERAGE(Table1[Age]),Table1[[#This Row],[Age]])</f>
        <v>25</v>
      </c>
      <c r="E693" s="3" t="s">
        <v>27</v>
      </c>
      <c r="F693" s="3" t="s">
        <v>33</v>
      </c>
      <c r="G693" s="5">
        <f>IF(ISNUMBER('Main Project Raw Data'!G693),'Main Project Raw Data'!G693,IF(ISNUMBER(SEARCH("/",'Main Project Raw Data'!G693)),DATE(RIGHT('Main Project Raw Data'!G693,4),LEFT('Main Project Raw Data'!G693,FIND("/",'Main Project Raw Data'!G693)-1),MID('Main Project Raw Data'!G693,FIND("/",'Main Project Raw Data'!G693)+1,2)),DATE(RIGHT('Main Project Raw Data'!G693,4),MID('Main Project Raw Data'!G693,4,2),LEFT('Main Project Raw Data'!G693,2))))</f>
        <v>44495</v>
      </c>
      <c r="H693" s="3">
        <f>IF(Table1[[#This Row],[Salary]]="",AVERAGE(Table1[Salary]),Table1[[#This Row],[Salary]])</f>
        <v>51054.74</v>
      </c>
      <c r="I693" s="3" t="s">
        <v>107</v>
      </c>
      <c r="J693" s="3">
        <f>ABS(Table1[[#This Row],[Phone]])</f>
        <v>3991062271</v>
      </c>
      <c r="K693" s="3" t="str">
        <f>PROPER(TRIM(Table1[[#This Row],[Performance_Score]]))</f>
        <v>Excellent</v>
      </c>
      <c r="L693" s="3" t="b">
        <f>Table1[[#This Row],[Remote_Work]]</f>
        <v>0</v>
      </c>
      <c r="M693" s="3" t="str">
        <f>PROPER(CONCATENATE(Table13[[#This Row],[First_Name]], Table13[[#This Row],[Last_Name]]))</f>
        <v>Davidmiller</v>
      </c>
      <c r="N693" s="3" t="str">
        <f t="shared" si="10"/>
        <v>Oct</v>
      </c>
      <c r="O693" s="3" t="str">
        <f>TEXT(Table13[[#This Row],[Join_Date]],"yyyy")</f>
        <v>2021</v>
      </c>
      <c r="P693" s="3" t="str">
        <f>LEFT('Main Project Raw Data'!E693,FIND("-",'Main Project Raw Data'!E693)-1)</f>
        <v>Admin</v>
      </c>
      <c r="Q693" s="3" t="str">
        <f>RIGHT('Main Project Raw Data'!E693,LEN('Main Project Raw Data'!E693)-FIND("-",'Main Project Raw Data'!E693))</f>
        <v>Nevada</v>
      </c>
    </row>
    <row r="694" spans="1:17" x14ac:dyDescent="0.3">
      <c r="A694" s="3" t="str">
        <f>TRIM(Table1[[#This Row],[Employee_ID]])</f>
        <v>EMP1692</v>
      </c>
      <c r="B694" s="3" t="str">
        <f>TRIM(Table1[[#This Row],[First_Name]])</f>
        <v>Bob</v>
      </c>
      <c r="C694" s="3" t="str">
        <f>TRIM(Table1[[#This Row],[Last_Name]])</f>
        <v>Jones</v>
      </c>
      <c r="D694" s="3">
        <f>IF(Table1[[#This Row],[Age]]="",AVERAGE(Table1[Age]),Table1[[#This Row],[Age]])</f>
        <v>40</v>
      </c>
      <c r="E694" s="3" t="s">
        <v>103</v>
      </c>
      <c r="F694" s="3" t="s">
        <v>16</v>
      </c>
      <c r="G694" s="5">
        <f>IF(ISNUMBER('Main Project Raw Data'!G694),'Main Project Raw Data'!G694,IF(ISNUMBER(SEARCH("/",'Main Project Raw Data'!G694)),DATE(RIGHT('Main Project Raw Data'!G694,4),LEFT('Main Project Raw Data'!G694,FIND("/",'Main Project Raw Data'!G694)-1),MID('Main Project Raw Data'!G694,FIND("/",'Main Project Raw Data'!G694)+1,2)),DATE(RIGHT('Main Project Raw Data'!G694,4),MID('Main Project Raw Data'!G694,4,2),LEFT('Main Project Raw Data'!G694,2))))</f>
        <v>45050</v>
      </c>
      <c r="H694" s="3">
        <f>IF(Table1[[#This Row],[Salary]]="",AVERAGE(Table1[Salary]),Table1[[#This Row],[Salary]])</f>
        <v>104843.27</v>
      </c>
      <c r="I694" s="3" t="s">
        <v>50</v>
      </c>
      <c r="J694" s="3">
        <f>ABS(Table1[[#This Row],[Phone]])</f>
        <v>3626693350</v>
      </c>
      <c r="K694" s="3" t="str">
        <f>PROPER(TRIM(Table1[[#This Row],[Performance_Score]]))</f>
        <v>Excellent</v>
      </c>
      <c r="L694" s="3" t="b">
        <f>Table1[[#This Row],[Remote_Work]]</f>
        <v>0</v>
      </c>
      <c r="M694" s="3" t="str">
        <f>PROPER(CONCATENATE(Table13[[#This Row],[First_Name]], Table13[[#This Row],[Last_Name]]))</f>
        <v>Bobjones</v>
      </c>
      <c r="N694" s="3" t="str">
        <f t="shared" si="10"/>
        <v>May</v>
      </c>
      <c r="O694" s="3" t="str">
        <f>TEXT(Table13[[#This Row],[Join_Date]],"yyyy")</f>
        <v>2023</v>
      </c>
      <c r="P694" s="3" t="str">
        <f>LEFT('Main Project Raw Data'!E694,FIND("-",'Main Project Raw Data'!E694)-1)</f>
        <v>Admin</v>
      </c>
      <c r="Q694" s="3" t="str">
        <f>RIGHT('Main Project Raw Data'!E694,LEN('Main Project Raw Data'!E694)-FIND("-",'Main Project Raw Data'!E694))</f>
        <v>Texas</v>
      </c>
    </row>
    <row r="695" spans="1:17" x14ac:dyDescent="0.3">
      <c r="A695" s="3" t="str">
        <f>TRIM(Table1[[#This Row],[Employee_ID]])</f>
        <v>EMP1693</v>
      </c>
      <c r="B695" s="3" t="str">
        <f>TRIM(Table1[[#This Row],[First_Name]])</f>
        <v>Charlie</v>
      </c>
      <c r="C695" s="3" t="str">
        <f>TRIM(Table1[[#This Row],[Last_Name]])</f>
        <v>Brown</v>
      </c>
      <c r="D695" s="3">
        <f>IF(Table1[[#This Row],[Age]]="",AVERAGE(Table1[Age]),Table1[[#This Row],[Age]])</f>
        <v>35</v>
      </c>
      <c r="E695" s="3" t="s">
        <v>60</v>
      </c>
      <c r="F695" s="3" t="s">
        <v>16</v>
      </c>
      <c r="G695" s="5">
        <f>IF(ISNUMBER('Main Project Raw Data'!G695),'Main Project Raw Data'!G695,IF(ISNUMBER(SEARCH("/",'Main Project Raw Data'!G695)),DATE(RIGHT('Main Project Raw Data'!G695,4),LEFT('Main Project Raw Data'!G695,FIND("/",'Main Project Raw Data'!G695)-1),MID('Main Project Raw Data'!G695,FIND("/",'Main Project Raw Data'!G695)+1,2)),DATE(RIGHT('Main Project Raw Data'!G695,4),MID('Main Project Raw Data'!G695,4,2),LEFT('Main Project Raw Data'!G695,2))))</f>
        <v>44854</v>
      </c>
      <c r="H695" s="3">
        <f>IF(Table1[[#This Row],[Salary]]="",AVERAGE(Table1[Salary]),Table1[[#This Row],[Salary]])</f>
        <v>56398.11</v>
      </c>
      <c r="I695" s="3" t="s">
        <v>125</v>
      </c>
      <c r="J695" s="3">
        <f>ABS(Table1[[#This Row],[Phone]])</f>
        <v>3426192371</v>
      </c>
      <c r="K695" s="3" t="str">
        <f>PROPER(TRIM(Table1[[#This Row],[Performance_Score]]))</f>
        <v>Excellent</v>
      </c>
      <c r="L695" s="3" t="b">
        <f>Table1[[#This Row],[Remote_Work]]</f>
        <v>0</v>
      </c>
      <c r="M695" s="3" t="str">
        <f>PROPER(CONCATENATE(Table13[[#This Row],[First_Name]], Table13[[#This Row],[Last_Name]]))</f>
        <v>Charliebrown</v>
      </c>
      <c r="N695" s="3" t="str">
        <f t="shared" si="10"/>
        <v>Oct</v>
      </c>
      <c r="O695" s="3" t="str">
        <f>TEXT(Table13[[#This Row],[Join_Date]],"yyyy")</f>
        <v>2022</v>
      </c>
      <c r="P695" s="3" t="str">
        <f>LEFT('Main Project Raw Data'!E695,FIND("-",'Main Project Raw Data'!E695)-1)</f>
        <v>Cloud Tech</v>
      </c>
      <c r="Q695" s="3" t="str">
        <f>RIGHT('Main Project Raw Data'!E695,LEN('Main Project Raw Data'!E695)-FIND("-",'Main Project Raw Data'!E695))</f>
        <v>New York</v>
      </c>
    </row>
    <row r="696" spans="1:17" x14ac:dyDescent="0.3">
      <c r="A696" s="3" t="str">
        <f>TRIM(Table1[[#This Row],[Employee_ID]])</f>
        <v>EMP1694</v>
      </c>
      <c r="B696" s="3" t="str">
        <f>TRIM(Table1[[#This Row],[First_Name]])</f>
        <v>Alice</v>
      </c>
      <c r="C696" s="3" t="str">
        <f>TRIM(Table1[[#This Row],[Last_Name]])</f>
        <v>Johnson</v>
      </c>
      <c r="D696" s="3">
        <f>IF(Table1[[#This Row],[Age]]="",AVERAGE(Table1[Age]),Table1[[#This Row],[Age]])</f>
        <v>25</v>
      </c>
      <c r="E696" s="3" t="s">
        <v>149</v>
      </c>
      <c r="F696" s="3" t="s">
        <v>16</v>
      </c>
      <c r="G696" s="5">
        <f>IF(ISNUMBER('Main Project Raw Data'!G696),'Main Project Raw Data'!G696,IF(ISNUMBER(SEARCH("/",'Main Project Raw Data'!G696)),DATE(RIGHT('Main Project Raw Data'!G696,4),LEFT('Main Project Raw Data'!G696,FIND("/",'Main Project Raw Data'!G696)-1),MID('Main Project Raw Data'!G696,FIND("/",'Main Project Raw Data'!G696)+1,2)),DATE(RIGHT('Main Project Raw Data'!G696,4),MID('Main Project Raw Data'!G696,4,2),LEFT('Main Project Raw Data'!G696,2))))</f>
        <v>45119</v>
      </c>
      <c r="H696" s="3">
        <f>IF(Table1[[#This Row],[Salary]]="",AVERAGE(Table1[Salary]),Table1[[#This Row],[Salary]])</f>
        <v>87544.73</v>
      </c>
      <c r="I696" s="3" t="s">
        <v>150</v>
      </c>
      <c r="J696" s="3">
        <f>ABS(Table1[[#This Row],[Phone]])</f>
        <v>4501848196</v>
      </c>
      <c r="K696" s="3" t="str">
        <f>PROPER(TRIM(Table1[[#This Row],[Performance_Score]]))</f>
        <v>Good</v>
      </c>
      <c r="L696" s="3" t="b">
        <f>Table1[[#This Row],[Remote_Work]]</f>
        <v>0</v>
      </c>
      <c r="M696" s="3" t="str">
        <f>PROPER(CONCATENATE(Table13[[#This Row],[First_Name]], Table13[[#This Row],[Last_Name]]))</f>
        <v>Alicejohnson</v>
      </c>
      <c r="N696" s="3" t="str">
        <f t="shared" si="10"/>
        <v>Jul</v>
      </c>
      <c r="O696" s="3" t="str">
        <f>TEXT(Table13[[#This Row],[Join_Date]],"yyyy")</f>
        <v>2023</v>
      </c>
      <c r="P696" s="3" t="str">
        <f>LEFT('Main Project Raw Data'!E696,FIND("-",'Main Project Raw Data'!E696)-1)</f>
        <v>HR</v>
      </c>
      <c r="Q696" s="3" t="str">
        <f>RIGHT('Main Project Raw Data'!E696,LEN('Main Project Raw Data'!E696)-FIND("-",'Main Project Raw Data'!E696))</f>
        <v>Nevada</v>
      </c>
    </row>
    <row r="697" spans="1:17" x14ac:dyDescent="0.3">
      <c r="A697" s="3" t="str">
        <f>TRIM(Table1[[#This Row],[Employee_ID]])</f>
        <v>EMP1695</v>
      </c>
      <c r="B697" s="3" t="str">
        <f>TRIM(Table1[[#This Row],[First_Name]])</f>
        <v>Heidi</v>
      </c>
      <c r="C697" s="3" t="str">
        <f>TRIM(Table1[[#This Row],[Last_Name]])</f>
        <v>Brown</v>
      </c>
      <c r="D697" s="3">
        <f>IF(Table1[[#This Row],[Age]]="",AVERAGE(Table1[Age]),Table1[[#This Row],[Age]])</f>
        <v>30</v>
      </c>
      <c r="E697" s="3" t="s">
        <v>192</v>
      </c>
      <c r="F697" s="3" t="s">
        <v>28</v>
      </c>
      <c r="G697" s="5">
        <f>IF(ISNUMBER('Main Project Raw Data'!G697),'Main Project Raw Data'!G697,IF(ISNUMBER(SEARCH("/",'Main Project Raw Data'!G697)),DATE(RIGHT('Main Project Raw Data'!G697,4),LEFT('Main Project Raw Data'!G697,FIND("/",'Main Project Raw Data'!G697)-1),MID('Main Project Raw Data'!G697,FIND("/",'Main Project Raw Data'!G697)+1,2)),DATE(RIGHT('Main Project Raw Data'!G697,4),MID('Main Project Raw Data'!G697,4,2),LEFT('Main Project Raw Data'!G697,2))))</f>
        <v>45380</v>
      </c>
      <c r="H697" s="3">
        <f>IF(Table1[[#This Row],[Salary]]="",AVERAGE(Table1[Salary]),Table1[[#This Row],[Salary]])</f>
        <v>74312.240000000005</v>
      </c>
      <c r="I697" s="3" t="s">
        <v>403</v>
      </c>
      <c r="J697" s="3">
        <f>ABS(Table1[[#This Row],[Phone]])</f>
        <v>3741897214</v>
      </c>
      <c r="K697" s="3" t="str">
        <f>PROPER(TRIM(Table1[[#This Row],[Performance_Score]]))</f>
        <v>Poor</v>
      </c>
      <c r="L697" s="3" t="b">
        <f>Table1[[#This Row],[Remote_Work]]</f>
        <v>0</v>
      </c>
      <c r="M697" s="3" t="str">
        <f>PROPER(CONCATENATE(Table13[[#This Row],[First_Name]], Table13[[#This Row],[Last_Name]]))</f>
        <v>Heidibrown</v>
      </c>
      <c r="N697" s="3" t="str">
        <f t="shared" si="10"/>
        <v>Mar</v>
      </c>
      <c r="O697" s="3" t="str">
        <f>TEXT(Table13[[#This Row],[Join_Date]],"yyyy")</f>
        <v>2024</v>
      </c>
      <c r="P697" s="3" t="str">
        <f>LEFT('Main Project Raw Data'!E697,FIND("-",'Main Project Raw Data'!E697)-1)</f>
        <v>HR</v>
      </c>
      <c r="Q697" s="3" t="str">
        <f>RIGHT('Main Project Raw Data'!E697,LEN('Main Project Raw Data'!E697)-FIND("-",'Main Project Raw Data'!E697))</f>
        <v>Illinois</v>
      </c>
    </row>
    <row r="698" spans="1:17" x14ac:dyDescent="0.3">
      <c r="A698" s="3" t="str">
        <f>TRIM(Table1[[#This Row],[Employee_ID]])</f>
        <v>EMP1696</v>
      </c>
      <c r="B698" s="3" t="str">
        <f>TRIM(Table1[[#This Row],[First_Name]])</f>
        <v>David</v>
      </c>
      <c r="C698" s="3" t="str">
        <f>TRIM(Table1[[#This Row],[Last_Name]])</f>
        <v>Davis</v>
      </c>
      <c r="D698" s="3">
        <f>IF(Table1[[#This Row],[Age]]="",AVERAGE(Table1[Age]),Table1[[#This Row],[Age]])</f>
        <v>25</v>
      </c>
      <c r="E698" s="3" t="s">
        <v>230</v>
      </c>
      <c r="F698" s="3" t="s">
        <v>33</v>
      </c>
      <c r="G698" s="5">
        <f>IF(ISNUMBER('Main Project Raw Data'!G698),'Main Project Raw Data'!G698,IF(ISNUMBER(SEARCH("/",'Main Project Raw Data'!G698)),DATE(RIGHT('Main Project Raw Data'!G698,4),LEFT('Main Project Raw Data'!G698,FIND("/",'Main Project Raw Data'!G698)-1),MID('Main Project Raw Data'!G698,FIND("/",'Main Project Raw Data'!G698)+1,2)),DATE(RIGHT('Main Project Raw Data'!G698,4),MID('Main Project Raw Data'!G698,4,2),LEFT('Main Project Raw Data'!G698,2))))</f>
        <v>45314</v>
      </c>
      <c r="H698" s="3">
        <f>IF(Table1[[#This Row],[Salary]]="",AVERAGE(Table1[Salary]),Table1[[#This Row],[Salary]])</f>
        <v>59431.25</v>
      </c>
      <c r="I698" s="3" t="s">
        <v>63</v>
      </c>
      <c r="J698" s="3">
        <f>ABS(Table1[[#This Row],[Phone]])</f>
        <v>4064176926</v>
      </c>
      <c r="K698" s="3" t="str">
        <f>PROPER(TRIM(Table1[[#This Row],[Performance_Score]]))</f>
        <v>Poor</v>
      </c>
      <c r="L698" s="3" t="b">
        <f>Table1[[#This Row],[Remote_Work]]</f>
        <v>1</v>
      </c>
      <c r="M698" s="3" t="str">
        <f>PROPER(CONCATENATE(Table13[[#This Row],[First_Name]], Table13[[#This Row],[Last_Name]]))</f>
        <v>Daviddavis</v>
      </c>
      <c r="N698" s="3" t="str">
        <f t="shared" si="10"/>
        <v>Jan</v>
      </c>
      <c r="O698" s="3" t="str">
        <f>TEXT(Table13[[#This Row],[Join_Date]],"yyyy")</f>
        <v>2024</v>
      </c>
      <c r="P698" s="3" t="str">
        <f>LEFT('Main Project Raw Data'!E698,FIND("-",'Main Project Raw Data'!E698)-1)</f>
        <v>DevOps</v>
      </c>
      <c r="Q698" s="3" t="str">
        <f>RIGHT('Main Project Raw Data'!E698,LEN('Main Project Raw Data'!E698)-FIND("-",'Main Project Raw Data'!E698))</f>
        <v>Florida</v>
      </c>
    </row>
    <row r="699" spans="1:17" x14ac:dyDescent="0.3">
      <c r="A699" s="3" t="str">
        <f>TRIM(Table1[[#This Row],[Employee_ID]])</f>
        <v>EMP1697</v>
      </c>
      <c r="B699" s="3" t="str">
        <f>TRIM(Table1[[#This Row],[First_Name]])</f>
        <v>Heidi</v>
      </c>
      <c r="C699" s="3" t="str">
        <f>TRIM(Table1[[#This Row],[Last_Name]])</f>
        <v>Johnson</v>
      </c>
      <c r="D699" s="3">
        <f>IF(Table1[[#This Row],[Age]]="",AVERAGE(Table1[Age]),Table1[[#This Row],[Age]])</f>
        <v>40</v>
      </c>
      <c r="E699" s="3" t="s">
        <v>177</v>
      </c>
      <c r="F699" s="3" t="s">
        <v>28</v>
      </c>
      <c r="G699" s="5">
        <f>IF(ISNUMBER('Main Project Raw Data'!G699),'Main Project Raw Data'!G699,IF(ISNUMBER(SEARCH("/",'Main Project Raw Data'!G699)),DATE(RIGHT('Main Project Raw Data'!G699,4),LEFT('Main Project Raw Data'!G699,FIND("/",'Main Project Raw Data'!G699)-1),MID('Main Project Raw Data'!G699,FIND("/",'Main Project Raw Data'!G699)+1,2)),DATE(RIGHT('Main Project Raw Data'!G699,4),MID('Main Project Raw Data'!G699,4,2),LEFT('Main Project Raw Data'!G699,2))))</f>
        <v>45258</v>
      </c>
      <c r="H699" s="3">
        <f>IF(Table1[[#This Row],[Salary]]="",AVERAGE(Table1[Salary]),Table1[[#This Row],[Salary]])</f>
        <v>84306.44</v>
      </c>
      <c r="I699" s="3" t="s">
        <v>113</v>
      </c>
      <c r="J699" s="3">
        <f>ABS(Table1[[#This Row],[Phone]])</f>
        <v>4381199536</v>
      </c>
      <c r="K699" s="3" t="str">
        <f>PROPER(TRIM(Table1[[#This Row],[Performance_Score]]))</f>
        <v>Average</v>
      </c>
      <c r="L699" s="3" t="b">
        <f>Table1[[#This Row],[Remote_Work]]</f>
        <v>0</v>
      </c>
      <c r="M699" s="3" t="str">
        <f>PROPER(CONCATENATE(Table13[[#This Row],[First_Name]], Table13[[#This Row],[Last_Name]]))</f>
        <v>Heidijohnson</v>
      </c>
      <c r="N699" s="3" t="str">
        <f t="shared" si="10"/>
        <v>Nov</v>
      </c>
      <c r="O699" s="3" t="str">
        <f>TEXT(Table13[[#This Row],[Join_Date]],"yyyy")</f>
        <v>2023</v>
      </c>
      <c r="P699" s="3" t="str">
        <f>LEFT('Main Project Raw Data'!E699,FIND("-",'Main Project Raw Data'!E699)-1)</f>
        <v>Sales</v>
      </c>
      <c r="Q699" s="3" t="str">
        <f>RIGHT('Main Project Raw Data'!E699,LEN('Main Project Raw Data'!E699)-FIND("-",'Main Project Raw Data'!E699))</f>
        <v>California</v>
      </c>
    </row>
    <row r="700" spans="1:17" x14ac:dyDescent="0.3">
      <c r="A700" s="3" t="str">
        <f>TRIM(Table1[[#This Row],[Employee_ID]])</f>
        <v>EMP1698</v>
      </c>
      <c r="B700" s="3" t="str">
        <f>TRIM(Table1[[#This Row],[First_Name]])</f>
        <v>Frank</v>
      </c>
      <c r="C700" s="3" t="str">
        <f>TRIM(Table1[[#This Row],[Last_Name]])</f>
        <v>Johnson</v>
      </c>
      <c r="D700" s="3">
        <f>IF(Table1[[#This Row],[Age]]="",AVERAGE(Table1[Age]),Table1[[#This Row],[Age]])</f>
        <v>35</v>
      </c>
      <c r="E700" s="3" t="s">
        <v>230</v>
      </c>
      <c r="F700" s="3" t="s">
        <v>33</v>
      </c>
      <c r="G700" s="5">
        <f>IF(ISNUMBER('Main Project Raw Data'!G700),'Main Project Raw Data'!G700,IF(ISNUMBER(SEARCH("/",'Main Project Raw Data'!G700)),DATE(RIGHT('Main Project Raw Data'!G700,4),LEFT('Main Project Raw Data'!G700,FIND("/",'Main Project Raw Data'!G700)-1),MID('Main Project Raw Data'!G700,FIND("/",'Main Project Raw Data'!G700)+1,2)),DATE(RIGHT('Main Project Raw Data'!G700,4),MID('Main Project Raw Data'!G700,4,2),LEFT('Main Project Raw Data'!G700,2))))</f>
        <v>45607</v>
      </c>
      <c r="H700" s="3">
        <f>IF(Table1[[#This Row],[Salary]]="",AVERAGE(Table1[Salary]),Table1[[#This Row],[Salary]])</f>
        <v>108194.47</v>
      </c>
      <c r="I700" s="3" t="s">
        <v>271</v>
      </c>
      <c r="J700" s="3">
        <f>ABS(Table1[[#This Row],[Phone]])</f>
        <v>6601444855</v>
      </c>
      <c r="K700" s="3" t="str">
        <f>PROPER(TRIM(Table1[[#This Row],[Performance_Score]]))</f>
        <v>Good</v>
      </c>
      <c r="L700" s="3" t="b">
        <f>Table1[[#This Row],[Remote_Work]]</f>
        <v>0</v>
      </c>
      <c r="M700" s="3" t="str">
        <f>PROPER(CONCATENATE(Table13[[#This Row],[First_Name]], Table13[[#This Row],[Last_Name]]))</f>
        <v>Frankjohnson</v>
      </c>
      <c r="N700" s="3" t="str">
        <f t="shared" si="10"/>
        <v>Nov</v>
      </c>
      <c r="O700" s="3" t="str">
        <f>TEXT(Table13[[#This Row],[Join_Date]],"yyyy")</f>
        <v>2024</v>
      </c>
      <c r="P700" s="3" t="str">
        <f>LEFT('Main Project Raw Data'!E700,FIND("-",'Main Project Raw Data'!E700)-1)</f>
        <v>DevOps</v>
      </c>
      <c r="Q700" s="3" t="str">
        <f>RIGHT('Main Project Raw Data'!E700,LEN('Main Project Raw Data'!E700)-FIND("-",'Main Project Raw Data'!E700))</f>
        <v>Florida</v>
      </c>
    </row>
    <row r="701" spans="1:17" x14ac:dyDescent="0.3">
      <c r="A701" s="3" t="str">
        <f>TRIM(Table1[[#This Row],[Employee_ID]])</f>
        <v>EMP1699</v>
      </c>
      <c r="B701" s="3" t="str">
        <f>TRIM(Table1[[#This Row],[First_Name]])</f>
        <v>Charlie</v>
      </c>
      <c r="C701" s="3" t="str">
        <f>TRIM(Table1[[#This Row],[Last_Name]])</f>
        <v>Williams</v>
      </c>
      <c r="D701" s="3">
        <f>IF(Table1[[#This Row],[Age]]="",AVERAGE(Table1[Age]),Table1[[#This Row],[Age]])</f>
        <v>25</v>
      </c>
      <c r="E701" s="3" t="s">
        <v>109</v>
      </c>
      <c r="F701" s="3" t="s">
        <v>33</v>
      </c>
      <c r="G701" s="5">
        <f>IF(ISNUMBER('Main Project Raw Data'!G701),'Main Project Raw Data'!G701,IF(ISNUMBER(SEARCH("/",'Main Project Raw Data'!G701)),DATE(RIGHT('Main Project Raw Data'!G701,4),LEFT('Main Project Raw Data'!G701,FIND("/",'Main Project Raw Data'!G701)-1),MID('Main Project Raw Data'!G701,FIND("/",'Main Project Raw Data'!G701)+1,2)),DATE(RIGHT('Main Project Raw Data'!G701,4),MID('Main Project Raw Data'!G701,4,2),LEFT('Main Project Raw Data'!G701,2))))</f>
        <v>44436</v>
      </c>
      <c r="H701" s="3">
        <f>IF(Table1[[#This Row],[Salary]]="",AVERAGE(Table1[Salary]),Table1[[#This Row],[Salary]])</f>
        <v>107359.3</v>
      </c>
      <c r="I701" s="3" t="s">
        <v>90</v>
      </c>
      <c r="J701" s="3">
        <f>ABS(Table1[[#This Row],[Phone]])</f>
        <v>4510173972</v>
      </c>
      <c r="K701" s="3" t="str">
        <f>PROPER(TRIM(Table1[[#This Row],[Performance_Score]]))</f>
        <v>Excellent</v>
      </c>
      <c r="L701" s="3" t="b">
        <f>Table1[[#This Row],[Remote_Work]]</f>
        <v>0</v>
      </c>
      <c r="M701" s="3" t="str">
        <f>PROPER(CONCATENATE(Table13[[#This Row],[First_Name]], Table13[[#This Row],[Last_Name]]))</f>
        <v>Charliewilliams</v>
      </c>
      <c r="N701" s="3" t="str">
        <f t="shared" si="10"/>
        <v>Aug</v>
      </c>
      <c r="O701" s="3" t="str">
        <f>TEXT(Table13[[#This Row],[Join_Date]],"yyyy")</f>
        <v>2021</v>
      </c>
      <c r="P701" s="3" t="str">
        <f>LEFT('Main Project Raw Data'!E701,FIND("-",'Main Project Raw Data'!E701)-1)</f>
        <v>Sales</v>
      </c>
      <c r="Q701" s="3" t="str">
        <f>RIGHT('Main Project Raw Data'!E701,LEN('Main Project Raw Data'!E701)-FIND("-",'Main Project Raw Data'!E701))</f>
        <v>New York</v>
      </c>
    </row>
    <row r="702" spans="1:17" x14ac:dyDescent="0.3">
      <c r="A702" s="3" t="str">
        <f>TRIM(Table1[[#This Row],[Employee_ID]])</f>
        <v>EMP1700</v>
      </c>
      <c r="B702" s="3" t="str">
        <f>TRIM(Table1[[#This Row],[First_Name]])</f>
        <v>Heidi</v>
      </c>
      <c r="C702" s="3" t="str">
        <f>TRIM(Table1[[#This Row],[Last_Name]])</f>
        <v>Johnson</v>
      </c>
      <c r="D702" s="3">
        <f>IF(Table1[[#This Row],[Age]]="",AVERAGE(Table1[Age]),Table1[[#This Row],[Age]])</f>
        <v>25</v>
      </c>
      <c r="E702" s="3" t="s">
        <v>78</v>
      </c>
      <c r="F702" s="3" t="s">
        <v>33</v>
      </c>
      <c r="G702" s="5">
        <f>IF(ISNUMBER('Main Project Raw Data'!G702),'Main Project Raw Data'!G702,IF(ISNUMBER(SEARCH("/",'Main Project Raw Data'!G702)),DATE(RIGHT('Main Project Raw Data'!G702,4),LEFT('Main Project Raw Data'!G702,FIND("/",'Main Project Raw Data'!G702)-1),MID('Main Project Raw Data'!G702,FIND("/",'Main Project Raw Data'!G702)+1,2)),DATE(RIGHT('Main Project Raw Data'!G702,4),MID('Main Project Raw Data'!G702,4,2),LEFT('Main Project Raw Data'!G702,2))))</f>
        <v>45598</v>
      </c>
      <c r="H702" s="3">
        <f>IF(Table1[[#This Row],[Salary]]="",AVERAGE(Table1[Salary]),Table1[[#This Row],[Salary]])</f>
        <v>85155.056395582287</v>
      </c>
      <c r="I702" s="3" t="s">
        <v>113</v>
      </c>
      <c r="J702" s="3">
        <f>ABS(Table1[[#This Row],[Phone]])</f>
        <v>9641789968</v>
      </c>
      <c r="K702" s="3" t="str">
        <f>PROPER(TRIM(Table1[[#This Row],[Performance_Score]]))</f>
        <v>Good</v>
      </c>
      <c r="L702" s="3" t="b">
        <f>Table1[[#This Row],[Remote_Work]]</f>
        <v>0</v>
      </c>
      <c r="M702" s="3" t="str">
        <f>PROPER(CONCATENATE(Table13[[#This Row],[First_Name]], Table13[[#This Row],[Last_Name]]))</f>
        <v>Heidijohnson</v>
      </c>
      <c r="N702" s="3" t="str">
        <f t="shared" si="10"/>
        <v>Nov</v>
      </c>
      <c r="O702" s="3" t="str">
        <f>TEXT(Table13[[#This Row],[Join_Date]],"yyyy")</f>
        <v>2024</v>
      </c>
      <c r="P702" s="3" t="str">
        <f>LEFT('Main Project Raw Data'!E702,FIND("-",'Main Project Raw Data'!E702)-1)</f>
        <v>DevOps</v>
      </c>
      <c r="Q702" s="3" t="str">
        <f>RIGHT('Main Project Raw Data'!E702,LEN('Main Project Raw Data'!E702)-FIND("-",'Main Project Raw Data'!E702))</f>
        <v>Illinois</v>
      </c>
    </row>
    <row r="703" spans="1:17" x14ac:dyDescent="0.3">
      <c r="A703" s="3" t="str">
        <f>TRIM(Table1[[#This Row],[Employee_ID]])</f>
        <v>EMP1701</v>
      </c>
      <c r="B703" s="3" t="str">
        <f>TRIM(Table1[[#This Row],[First_Name]])</f>
        <v>Frank</v>
      </c>
      <c r="C703" s="3" t="str">
        <f>TRIM(Table1[[#This Row],[Last_Name]])</f>
        <v>Garcia</v>
      </c>
      <c r="D703" s="3">
        <f>IF(Table1[[#This Row],[Age]]="",AVERAGE(Table1[Age]),Table1[[#This Row],[Age]])</f>
        <v>32.484548825710753</v>
      </c>
      <c r="E703" s="3" t="s">
        <v>118</v>
      </c>
      <c r="F703" s="3" t="s">
        <v>28</v>
      </c>
      <c r="G703" s="5">
        <f>IF(ISNUMBER('Main Project Raw Data'!G703),'Main Project Raw Data'!G703,IF(ISNUMBER(SEARCH("/",'Main Project Raw Data'!G703)),DATE(RIGHT('Main Project Raw Data'!G703,4),LEFT('Main Project Raw Data'!G703,FIND("/",'Main Project Raw Data'!G703)-1),MID('Main Project Raw Data'!G703,FIND("/",'Main Project Raw Data'!G703)+1,2)),DATE(RIGHT('Main Project Raw Data'!G703,4),MID('Main Project Raw Data'!G703,4,2),LEFT('Main Project Raw Data'!G703,2))))</f>
        <v>44079</v>
      </c>
      <c r="H703" s="3">
        <f>IF(Table1[[#This Row],[Salary]]="",AVERAGE(Table1[Salary]),Table1[[#This Row],[Salary]])</f>
        <v>96080.26</v>
      </c>
      <c r="I703" s="3" t="s">
        <v>180</v>
      </c>
      <c r="J703" s="3">
        <f>ABS(Table1[[#This Row],[Phone]])</f>
        <v>8609191910</v>
      </c>
      <c r="K703" s="3" t="str">
        <f>PROPER(TRIM(Table1[[#This Row],[Performance_Score]]))</f>
        <v>Average</v>
      </c>
      <c r="L703" s="3" t="b">
        <f>Table1[[#This Row],[Remote_Work]]</f>
        <v>0</v>
      </c>
      <c r="M703" s="3" t="str">
        <f>PROPER(CONCATENATE(Table13[[#This Row],[First_Name]], Table13[[#This Row],[Last_Name]]))</f>
        <v>Frankgarcia</v>
      </c>
      <c r="N703" s="3" t="str">
        <f t="shared" si="10"/>
        <v>Sep</v>
      </c>
      <c r="O703" s="3" t="str">
        <f>TEXT(Table13[[#This Row],[Join_Date]],"yyyy")</f>
        <v>2020</v>
      </c>
      <c r="P703" s="3" t="str">
        <f>LEFT('Main Project Raw Data'!E703,FIND("-",'Main Project Raw Data'!E703)-1)</f>
        <v>Admin</v>
      </c>
      <c r="Q703" s="3" t="str">
        <f>RIGHT('Main Project Raw Data'!E703,LEN('Main Project Raw Data'!E703)-FIND("-",'Main Project Raw Data'!E703))</f>
        <v>California</v>
      </c>
    </row>
    <row r="704" spans="1:17" x14ac:dyDescent="0.3">
      <c r="A704" s="3" t="str">
        <f>TRIM(Table1[[#This Row],[Employee_ID]])</f>
        <v>EMP1702</v>
      </c>
      <c r="B704" s="3" t="str">
        <f>TRIM(Table1[[#This Row],[First_Name]])</f>
        <v>Grace</v>
      </c>
      <c r="C704" s="3" t="str">
        <f>TRIM(Table1[[#This Row],[Last_Name]])</f>
        <v>Smith</v>
      </c>
      <c r="D704" s="3">
        <f>IF(Table1[[#This Row],[Age]]="",AVERAGE(Table1[Age]),Table1[[#This Row],[Age]])</f>
        <v>30</v>
      </c>
      <c r="E704" s="3" t="s">
        <v>219</v>
      </c>
      <c r="F704" s="3" t="s">
        <v>33</v>
      </c>
      <c r="G704" s="5">
        <f>IF(ISNUMBER('Main Project Raw Data'!G704),'Main Project Raw Data'!G704,IF(ISNUMBER(SEARCH("/",'Main Project Raw Data'!G704)),DATE(RIGHT('Main Project Raw Data'!G704,4),LEFT('Main Project Raw Data'!G704,FIND("/",'Main Project Raw Data'!G704)-1),MID('Main Project Raw Data'!G704,FIND("/",'Main Project Raw Data'!G704)+1,2)),DATE(RIGHT('Main Project Raw Data'!G704,4),MID('Main Project Raw Data'!G704,4,2),LEFT('Main Project Raw Data'!G704,2))))</f>
        <v>45399</v>
      </c>
      <c r="H704" s="3">
        <f>IF(Table1[[#This Row],[Salary]]="",AVERAGE(Table1[Salary]),Table1[[#This Row],[Salary]])</f>
        <v>88602.75</v>
      </c>
      <c r="I704" s="3" t="s">
        <v>135</v>
      </c>
      <c r="J704" s="3">
        <f>ABS(Table1[[#This Row],[Phone]])</f>
        <v>3599660576</v>
      </c>
      <c r="K704" s="3" t="str">
        <f>PROPER(TRIM(Table1[[#This Row],[Performance_Score]]))</f>
        <v>Average</v>
      </c>
      <c r="L704" s="3" t="b">
        <f>Table1[[#This Row],[Remote_Work]]</f>
        <v>1</v>
      </c>
      <c r="M704" s="3" t="str">
        <f>PROPER(CONCATENATE(Table13[[#This Row],[First_Name]], Table13[[#This Row],[Last_Name]]))</f>
        <v>Gracesmith</v>
      </c>
      <c r="N704" s="3" t="str">
        <f t="shared" si="10"/>
        <v>Apr</v>
      </c>
      <c r="O704" s="3" t="str">
        <f>TEXT(Table13[[#This Row],[Join_Date]],"yyyy")</f>
        <v>2024</v>
      </c>
      <c r="P704" s="3" t="str">
        <f>LEFT('Main Project Raw Data'!E704,FIND("-",'Main Project Raw Data'!E704)-1)</f>
        <v>Sales</v>
      </c>
      <c r="Q704" s="3" t="str">
        <f>RIGHT('Main Project Raw Data'!E704,LEN('Main Project Raw Data'!E704)-FIND("-",'Main Project Raw Data'!E704))</f>
        <v>Nevada</v>
      </c>
    </row>
    <row r="705" spans="1:17" x14ac:dyDescent="0.3">
      <c r="A705" s="3" t="str">
        <f>TRIM(Table1[[#This Row],[Employee_ID]])</f>
        <v>EMP1703</v>
      </c>
      <c r="B705" s="3" t="str">
        <f>TRIM(Table1[[#This Row],[First_Name]])</f>
        <v>Frank</v>
      </c>
      <c r="C705" s="3" t="str">
        <f>TRIM(Table1[[#This Row],[Last_Name]])</f>
        <v>Garcia</v>
      </c>
      <c r="D705" s="3">
        <f>IF(Table1[[#This Row],[Age]]="",AVERAGE(Table1[Age]),Table1[[#This Row],[Age]])</f>
        <v>40</v>
      </c>
      <c r="E705" s="3" t="s">
        <v>15</v>
      </c>
      <c r="F705" s="3" t="s">
        <v>16</v>
      </c>
      <c r="G705" s="5">
        <f>IF(ISNUMBER('Main Project Raw Data'!G705),'Main Project Raw Data'!G705,IF(ISNUMBER(SEARCH("/",'Main Project Raw Data'!G705)),DATE(RIGHT('Main Project Raw Data'!G705,4),LEFT('Main Project Raw Data'!G705,FIND("/",'Main Project Raw Data'!G705)-1),MID('Main Project Raw Data'!G705,FIND("/",'Main Project Raw Data'!G705)+1,2)),DATE(RIGHT('Main Project Raw Data'!G705,4),MID('Main Project Raw Data'!G705,4,2),LEFT('Main Project Raw Data'!G705,2))))</f>
        <v>44028</v>
      </c>
      <c r="H705" s="3">
        <f>IF(Table1[[#This Row],[Salary]]="",AVERAGE(Table1[Salary]),Table1[[#This Row],[Salary]])</f>
        <v>86624.04</v>
      </c>
      <c r="I705" s="3" t="s">
        <v>180</v>
      </c>
      <c r="J705" s="3">
        <f>ABS(Table1[[#This Row],[Phone]])</f>
        <v>9806603919</v>
      </c>
      <c r="K705" s="3" t="str">
        <f>PROPER(TRIM(Table1[[#This Row],[Performance_Score]]))</f>
        <v>Good</v>
      </c>
      <c r="L705" s="3" t="b">
        <f>Table1[[#This Row],[Remote_Work]]</f>
        <v>1</v>
      </c>
      <c r="M705" s="3" t="str">
        <f>PROPER(CONCATENATE(Table13[[#This Row],[First_Name]], Table13[[#This Row],[Last_Name]]))</f>
        <v>Frankgarcia</v>
      </c>
      <c r="N705" s="3" t="str">
        <f t="shared" si="10"/>
        <v>Jul</v>
      </c>
      <c r="O705" s="3" t="str">
        <f>TEXT(Table13[[#This Row],[Join_Date]],"yyyy")</f>
        <v>2020</v>
      </c>
      <c r="P705" s="3" t="str">
        <f>LEFT('Main Project Raw Data'!E705,FIND("-",'Main Project Raw Data'!E705)-1)</f>
        <v>DevOps</v>
      </c>
      <c r="Q705" s="3" t="str">
        <f>RIGHT('Main Project Raw Data'!E705,LEN('Main Project Raw Data'!E705)-FIND("-",'Main Project Raw Data'!E705))</f>
        <v>California</v>
      </c>
    </row>
    <row r="706" spans="1:17" x14ac:dyDescent="0.3">
      <c r="A706" s="3" t="str">
        <f>TRIM(Table1[[#This Row],[Employee_ID]])</f>
        <v>EMP1704</v>
      </c>
      <c r="B706" s="3" t="str">
        <f>TRIM(Table1[[#This Row],[First_Name]])</f>
        <v>Charlie</v>
      </c>
      <c r="C706" s="3" t="str">
        <f>TRIM(Table1[[#This Row],[Last_Name]])</f>
        <v>Jones</v>
      </c>
      <c r="D706" s="3">
        <f>IF(Table1[[#This Row],[Age]]="",AVERAGE(Table1[Age]),Table1[[#This Row],[Age]])</f>
        <v>30</v>
      </c>
      <c r="E706" s="3" t="s">
        <v>60</v>
      </c>
      <c r="F706" s="3" t="s">
        <v>16</v>
      </c>
      <c r="G706" s="5">
        <f>IF(ISNUMBER('Main Project Raw Data'!G706),'Main Project Raw Data'!G706,IF(ISNUMBER(SEARCH("/",'Main Project Raw Data'!G706)),DATE(RIGHT('Main Project Raw Data'!G706,4),LEFT('Main Project Raw Data'!G706,FIND("/",'Main Project Raw Data'!G706)-1),MID('Main Project Raw Data'!G706,FIND("/",'Main Project Raw Data'!G706)+1,2)),DATE(RIGHT('Main Project Raw Data'!G706,4),MID('Main Project Raw Data'!G706,4,2),LEFT('Main Project Raw Data'!G706,2))))</f>
        <v>44825</v>
      </c>
      <c r="H706" s="3">
        <f>IF(Table1[[#This Row],[Salary]]="",AVERAGE(Table1[Salary]),Table1[[#This Row],[Salary]])</f>
        <v>63413.16</v>
      </c>
      <c r="I706" s="3" t="s">
        <v>120</v>
      </c>
      <c r="J706" s="3">
        <f>ABS(Table1[[#This Row],[Phone]])</f>
        <v>5146074554</v>
      </c>
      <c r="K706" s="3" t="str">
        <f>PROPER(TRIM(Table1[[#This Row],[Performance_Score]]))</f>
        <v>Good</v>
      </c>
      <c r="L706" s="3" t="b">
        <f>Table1[[#This Row],[Remote_Work]]</f>
        <v>1</v>
      </c>
      <c r="M706" s="3" t="str">
        <f>PROPER(CONCATENATE(Table13[[#This Row],[First_Name]], Table13[[#This Row],[Last_Name]]))</f>
        <v>Charliejones</v>
      </c>
      <c r="N706" s="3" t="str">
        <f t="shared" ref="N706:N769" si="11">TEXT(G706,"mmm")</f>
        <v>Sep</v>
      </c>
      <c r="O706" s="3" t="str">
        <f>TEXT(Table13[[#This Row],[Join_Date]],"yyyy")</f>
        <v>2022</v>
      </c>
      <c r="P706" s="3" t="str">
        <f>LEFT('Main Project Raw Data'!E706,FIND("-",'Main Project Raw Data'!E706)-1)</f>
        <v>Cloud Tech</v>
      </c>
      <c r="Q706" s="3" t="str">
        <f>RIGHT('Main Project Raw Data'!E706,LEN('Main Project Raw Data'!E706)-FIND("-",'Main Project Raw Data'!E706))</f>
        <v>New York</v>
      </c>
    </row>
    <row r="707" spans="1:17" x14ac:dyDescent="0.3">
      <c r="A707" s="3" t="str">
        <f>TRIM(Table1[[#This Row],[Employee_ID]])</f>
        <v>EMP1705</v>
      </c>
      <c r="B707" s="3" t="str">
        <f>TRIM(Table1[[#This Row],[First_Name]])</f>
        <v>Grace</v>
      </c>
      <c r="C707" s="3" t="str">
        <f>TRIM(Table1[[#This Row],[Last_Name]])</f>
        <v>Jones</v>
      </c>
      <c r="D707" s="3">
        <f>IF(Table1[[#This Row],[Age]]="",AVERAGE(Table1[Age]),Table1[[#This Row],[Age]])</f>
        <v>40</v>
      </c>
      <c r="E707" s="3" t="s">
        <v>98</v>
      </c>
      <c r="F707" s="3" t="s">
        <v>28</v>
      </c>
      <c r="G707" s="5">
        <f>IF(ISNUMBER('Main Project Raw Data'!G707),'Main Project Raw Data'!G707,IF(ISNUMBER(SEARCH("/",'Main Project Raw Data'!G707)),DATE(RIGHT('Main Project Raw Data'!G707,4),LEFT('Main Project Raw Data'!G707,FIND("/",'Main Project Raw Data'!G707)-1),MID('Main Project Raw Data'!G707,FIND("/",'Main Project Raw Data'!G707)+1,2)),DATE(RIGHT('Main Project Raw Data'!G707,4),MID('Main Project Raw Data'!G707,4,2),LEFT('Main Project Raw Data'!G707,2))))</f>
        <v>45039</v>
      </c>
      <c r="H707" s="3">
        <f>IF(Table1[[#This Row],[Salary]]="",AVERAGE(Table1[Salary]),Table1[[#This Row],[Salary]])</f>
        <v>67915.7</v>
      </c>
      <c r="I707" s="3" t="s">
        <v>76</v>
      </c>
      <c r="J707" s="3">
        <f>ABS(Table1[[#This Row],[Phone]])</f>
        <v>3470574237</v>
      </c>
      <c r="K707" s="3" t="str">
        <f>PROPER(TRIM(Table1[[#This Row],[Performance_Score]]))</f>
        <v>Good</v>
      </c>
      <c r="L707" s="3" t="b">
        <f>Table1[[#This Row],[Remote_Work]]</f>
        <v>0</v>
      </c>
      <c r="M707" s="3" t="str">
        <f>PROPER(CONCATENATE(Table13[[#This Row],[First_Name]], Table13[[#This Row],[Last_Name]]))</f>
        <v>Gracejones</v>
      </c>
      <c r="N707" s="3" t="str">
        <f t="shared" si="11"/>
        <v>Apr</v>
      </c>
      <c r="O707" s="3" t="str">
        <f>TEXT(Table13[[#This Row],[Join_Date]],"yyyy")</f>
        <v>2023</v>
      </c>
      <c r="P707" s="3" t="str">
        <f>LEFT('Main Project Raw Data'!E707,FIND("-",'Main Project Raw Data'!E707)-1)</f>
        <v>Sales</v>
      </c>
      <c r="Q707" s="3" t="str">
        <f>RIGHT('Main Project Raw Data'!E707,LEN('Main Project Raw Data'!E707)-FIND("-",'Main Project Raw Data'!E707))</f>
        <v>Illinois</v>
      </c>
    </row>
    <row r="708" spans="1:17" x14ac:dyDescent="0.3">
      <c r="A708" s="3" t="str">
        <f>TRIM(Table1[[#This Row],[Employee_ID]])</f>
        <v>EMP1706</v>
      </c>
      <c r="B708" s="3" t="str">
        <f>TRIM(Table1[[#This Row],[First_Name]])</f>
        <v>Bob</v>
      </c>
      <c r="C708" s="3" t="str">
        <f>TRIM(Table1[[#This Row],[Last_Name]])</f>
        <v>Brown</v>
      </c>
      <c r="D708" s="3">
        <f>IF(Table1[[#This Row],[Age]]="",AVERAGE(Table1[Age]),Table1[[#This Row],[Age]])</f>
        <v>25</v>
      </c>
      <c r="E708" s="3" t="s">
        <v>27</v>
      </c>
      <c r="F708" s="3" t="s">
        <v>33</v>
      </c>
      <c r="G708" s="5">
        <f>IF(ISNUMBER('Main Project Raw Data'!G708),'Main Project Raw Data'!G708,IF(ISNUMBER(SEARCH("/",'Main Project Raw Data'!G708)),DATE(RIGHT('Main Project Raw Data'!G708,4),LEFT('Main Project Raw Data'!G708,FIND("/",'Main Project Raw Data'!G708)-1),MID('Main Project Raw Data'!G708,FIND("/",'Main Project Raw Data'!G708)+1,2)),DATE(RIGHT('Main Project Raw Data'!G708,4),MID('Main Project Raw Data'!G708,4,2),LEFT('Main Project Raw Data'!G708,2))))</f>
        <v>45653</v>
      </c>
      <c r="H708" s="3">
        <f>IF(Table1[[#This Row],[Salary]]="",AVERAGE(Table1[Salary]),Table1[[#This Row],[Salary]])</f>
        <v>108245.44</v>
      </c>
      <c r="I708" s="3" t="s">
        <v>22</v>
      </c>
      <c r="J708" s="3">
        <f>ABS(Table1[[#This Row],[Phone]])</f>
        <v>8565271558</v>
      </c>
      <c r="K708" s="3" t="str">
        <f>PROPER(TRIM(Table1[[#This Row],[Performance_Score]]))</f>
        <v>Poor</v>
      </c>
      <c r="L708" s="3" t="b">
        <f>Table1[[#This Row],[Remote_Work]]</f>
        <v>1</v>
      </c>
      <c r="M708" s="3" t="str">
        <f>PROPER(CONCATENATE(Table13[[#This Row],[First_Name]], Table13[[#This Row],[Last_Name]]))</f>
        <v>Bobbrown</v>
      </c>
      <c r="N708" s="3" t="str">
        <f t="shared" si="11"/>
        <v>Dec</v>
      </c>
      <c r="O708" s="3" t="str">
        <f>TEXT(Table13[[#This Row],[Join_Date]],"yyyy")</f>
        <v>2024</v>
      </c>
      <c r="P708" s="3" t="str">
        <f>LEFT('Main Project Raw Data'!E708,FIND("-",'Main Project Raw Data'!E708)-1)</f>
        <v>Admin</v>
      </c>
      <c r="Q708" s="3" t="str">
        <f>RIGHT('Main Project Raw Data'!E708,LEN('Main Project Raw Data'!E708)-FIND("-",'Main Project Raw Data'!E708))</f>
        <v>Nevada</v>
      </c>
    </row>
    <row r="709" spans="1:17" x14ac:dyDescent="0.3">
      <c r="A709" s="3" t="str">
        <f>TRIM(Table1[[#This Row],[Employee_ID]])</f>
        <v>EMP1707</v>
      </c>
      <c r="B709" s="3" t="str">
        <f>TRIM(Table1[[#This Row],[First_Name]])</f>
        <v>Alice</v>
      </c>
      <c r="C709" s="3" t="str">
        <f>TRIM(Table1[[#This Row],[Last_Name]])</f>
        <v>Garcia</v>
      </c>
      <c r="D709" s="3">
        <f>IF(Table1[[#This Row],[Age]]="",AVERAGE(Table1[Age]),Table1[[#This Row],[Age]])</f>
        <v>35</v>
      </c>
      <c r="E709" s="3" t="s">
        <v>219</v>
      </c>
      <c r="F709" s="3" t="s">
        <v>33</v>
      </c>
      <c r="G709" s="5">
        <f>IF(ISNUMBER('Main Project Raw Data'!G709),'Main Project Raw Data'!G709,IF(ISNUMBER(SEARCH("/",'Main Project Raw Data'!G709)),DATE(RIGHT('Main Project Raw Data'!G709,4),LEFT('Main Project Raw Data'!G709,FIND("/",'Main Project Raw Data'!G709)-1),MID('Main Project Raw Data'!G709,FIND("/",'Main Project Raw Data'!G709)+1,2)),DATE(RIGHT('Main Project Raw Data'!G709,4),MID('Main Project Raw Data'!G709,4,2),LEFT('Main Project Raw Data'!G709,2))))</f>
        <v>45573</v>
      </c>
      <c r="H709" s="3">
        <f>IF(Table1[[#This Row],[Salary]]="",AVERAGE(Table1[Salary]),Table1[[#This Row],[Salary]])</f>
        <v>75834.81</v>
      </c>
      <c r="I709" s="3" t="s">
        <v>45</v>
      </c>
      <c r="J709" s="3">
        <f>ABS(Table1[[#This Row],[Phone]])</f>
        <v>8354116596</v>
      </c>
      <c r="K709" s="3" t="str">
        <f>PROPER(TRIM(Table1[[#This Row],[Performance_Score]]))</f>
        <v>Excellent</v>
      </c>
      <c r="L709" s="3" t="b">
        <f>Table1[[#This Row],[Remote_Work]]</f>
        <v>1</v>
      </c>
      <c r="M709" s="3" t="str">
        <f>PROPER(CONCATENATE(Table13[[#This Row],[First_Name]], Table13[[#This Row],[Last_Name]]))</f>
        <v>Alicegarcia</v>
      </c>
      <c r="N709" s="3" t="str">
        <f t="shared" si="11"/>
        <v>Oct</v>
      </c>
      <c r="O709" s="3" t="str">
        <f>TEXT(Table13[[#This Row],[Join_Date]],"yyyy")</f>
        <v>2024</v>
      </c>
      <c r="P709" s="3" t="str">
        <f>LEFT('Main Project Raw Data'!E709,FIND("-",'Main Project Raw Data'!E709)-1)</f>
        <v>Sales</v>
      </c>
      <c r="Q709" s="3" t="str">
        <f>RIGHT('Main Project Raw Data'!E709,LEN('Main Project Raw Data'!E709)-FIND("-",'Main Project Raw Data'!E709))</f>
        <v>Nevada</v>
      </c>
    </row>
    <row r="710" spans="1:17" x14ac:dyDescent="0.3">
      <c r="A710" s="3" t="str">
        <f>TRIM(Table1[[#This Row],[Employee_ID]])</f>
        <v>EMP1708</v>
      </c>
      <c r="B710" s="3" t="str">
        <f>TRIM(Table1[[#This Row],[First_Name]])</f>
        <v>Eva</v>
      </c>
      <c r="C710" s="3" t="str">
        <f>TRIM(Table1[[#This Row],[Last_Name]])</f>
        <v>Garcia</v>
      </c>
      <c r="D710" s="3">
        <f>IF(Table1[[#This Row],[Age]]="",AVERAGE(Table1[Age]),Table1[[#This Row],[Age]])</f>
        <v>32.484548825710753</v>
      </c>
      <c r="E710" s="3" t="s">
        <v>85</v>
      </c>
      <c r="F710" s="3" t="s">
        <v>16</v>
      </c>
      <c r="G710" s="5">
        <f>IF(ISNUMBER('Main Project Raw Data'!G710),'Main Project Raw Data'!G710,IF(ISNUMBER(SEARCH("/",'Main Project Raw Data'!G710)),DATE(RIGHT('Main Project Raw Data'!G710,4),LEFT('Main Project Raw Data'!G710,FIND("/",'Main Project Raw Data'!G710)-1),MID('Main Project Raw Data'!G710,FIND("/",'Main Project Raw Data'!G710)+1,2)),DATE(RIGHT('Main Project Raw Data'!G710,4),MID('Main Project Raw Data'!G710,4,2),LEFT('Main Project Raw Data'!G710,2))))</f>
        <v>45391</v>
      </c>
      <c r="H710" s="3">
        <f>IF(Table1[[#This Row],[Salary]]="",AVERAGE(Table1[Salary]),Table1[[#This Row],[Salary]])</f>
        <v>71273.320000000007</v>
      </c>
      <c r="I710" s="3" t="s">
        <v>296</v>
      </c>
      <c r="J710" s="3">
        <f>ABS(Table1[[#This Row],[Phone]])</f>
        <v>2634755751</v>
      </c>
      <c r="K710" s="3" t="str">
        <f>PROPER(TRIM(Table1[[#This Row],[Performance_Score]]))</f>
        <v>Good</v>
      </c>
      <c r="L710" s="3" t="b">
        <f>Table1[[#This Row],[Remote_Work]]</f>
        <v>0</v>
      </c>
      <c r="M710" s="3" t="str">
        <f>PROPER(CONCATENATE(Table13[[#This Row],[First_Name]], Table13[[#This Row],[Last_Name]]))</f>
        <v>Evagarcia</v>
      </c>
      <c r="N710" s="3" t="str">
        <f t="shared" si="11"/>
        <v>Apr</v>
      </c>
      <c r="O710" s="3" t="str">
        <f>TEXT(Table13[[#This Row],[Join_Date]],"yyyy")</f>
        <v>2024</v>
      </c>
      <c r="P710" s="3" t="str">
        <f>LEFT('Main Project Raw Data'!E710,FIND("-",'Main Project Raw Data'!E710)-1)</f>
        <v>Cloud Tech</v>
      </c>
      <c r="Q710" s="3" t="str">
        <f>RIGHT('Main Project Raw Data'!E710,LEN('Main Project Raw Data'!E710)-FIND("-",'Main Project Raw Data'!E710))</f>
        <v>Nevada</v>
      </c>
    </row>
    <row r="711" spans="1:17" x14ac:dyDescent="0.3">
      <c r="A711" s="3" t="str">
        <f>TRIM(Table1[[#This Row],[Employee_ID]])</f>
        <v>EMP1709</v>
      </c>
      <c r="B711" s="3" t="str">
        <f>TRIM(Table1[[#This Row],[First_Name]])</f>
        <v>Bob</v>
      </c>
      <c r="C711" s="3" t="str">
        <f>TRIM(Table1[[#This Row],[Last_Name]])</f>
        <v>Garcia</v>
      </c>
      <c r="D711" s="3">
        <f>IF(Table1[[#This Row],[Age]]="",AVERAGE(Table1[Age]),Table1[[#This Row],[Age]])</f>
        <v>25</v>
      </c>
      <c r="E711" s="3" t="s">
        <v>56</v>
      </c>
      <c r="F711" s="3" t="s">
        <v>28</v>
      </c>
      <c r="G711" s="5">
        <f>IF(ISNUMBER('Main Project Raw Data'!G711),'Main Project Raw Data'!G711,IF(ISNUMBER(SEARCH("/",'Main Project Raw Data'!G711)),DATE(RIGHT('Main Project Raw Data'!G711,4),LEFT('Main Project Raw Data'!G711,FIND("/",'Main Project Raw Data'!G711)-1),MID('Main Project Raw Data'!G711,FIND("/",'Main Project Raw Data'!G711)+1,2)),DATE(RIGHT('Main Project Raw Data'!G711,4),MID('Main Project Raw Data'!G711,4,2),LEFT('Main Project Raw Data'!G711,2))))</f>
        <v>44620</v>
      </c>
      <c r="H711" s="3">
        <f>IF(Table1[[#This Row],[Salary]]="",AVERAGE(Table1[Salary]),Table1[[#This Row],[Salary]])</f>
        <v>63262.23</v>
      </c>
      <c r="I711" s="3" t="s">
        <v>153</v>
      </c>
      <c r="J711" s="3">
        <f>ABS(Table1[[#This Row],[Phone]])</f>
        <v>2501394883</v>
      </c>
      <c r="K711" s="3" t="str">
        <f>PROPER(TRIM(Table1[[#This Row],[Performance_Score]]))</f>
        <v>Good</v>
      </c>
      <c r="L711" s="3" t="b">
        <f>Table1[[#This Row],[Remote_Work]]</f>
        <v>0</v>
      </c>
      <c r="M711" s="3" t="str">
        <f>PROPER(CONCATENATE(Table13[[#This Row],[First_Name]], Table13[[#This Row],[Last_Name]]))</f>
        <v>Bobgarcia</v>
      </c>
      <c r="N711" s="3" t="str">
        <f t="shared" si="11"/>
        <v>Feb</v>
      </c>
      <c r="O711" s="3" t="str">
        <f>TEXT(Table13[[#This Row],[Join_Date]],"yyyy")</f>
        <v>2022</v>
      </c>
      <c r="P711" s="3" t="str">
        <f>LEFT('Main Project Raw Data'!E711,FIND("-",'Main Project Raw Data'!E711)-1)</f>
        <v>DevOps</v>
      </c>
      <c r="Q711" s="3" t="str">
        <f>RIGHT('Main Project Raw Data'!E711,LEN('Main Project Raw Data'!E711)-FIND("-",'Main Project Raw Data'!E711))</f>
        <v>New York</v>
      </c>
    </row>
    <row r="712" spans="1:17" x14ac:dyDescent="0.3">
      <c r="A712" s="3" t="str">
        <f>TRIM(Table1[[#This Row],[Employee_ID]])</f>
        <v>EMP1710</v>
      </c>
      <c r="B712" s="3" t="str">
        <f>TRIM(Table1[[#This Row],[First_Name]])</f>
        <v>David</v>
      </c>
      <c r="C712" s="3" t="str">
        <f>TRIM(Table1[[#This Row],[Last_Name]])</f>
        <v>Davis</v>
      </c>
      <c r="D712" s="3">
        <f>IF(Table1[[#This Row],[Age]]="",AVERAGE(Table1[Age]),Table1[[#This Row],[Age]])</f>
        <v>32.484548825710753</v>
      </c>
      <c r="E712" s="3" t="s">
        <v>56</v>
      </c>
      <c r="F712" s="3" t="s">
        <v>28</v>
      </c>
      <c r="G712" s="5">
        <f>IF(ISNUMBER('Main Project Raw Data'!G712),'Main Project Raw Data'!G712,IF(ISNUMBER(SEARCH("/",'Main Project Raw Data'!G712)),DATE(RIGHT('Main Project Raw Data'!G712,4),LEFT('Main Project Raw Data'!G712,FIND("/",'Main Project Raw Data'!G712)-1),MID('Main Project Raw Data'!G712,FIND("/",'Main Project Raw Data'!G712)+1,2)),DATE(RIGHT('Main Project Raw Data'!G712,4),MID('Main Project Raw Data'!G712,4,2),LEFT('Main Project Raw Data'!G712,2))))</f>
        <v>45365</v>
      </c>
      <c r="H712" s="3">
        <f>IF(Table1[[#This Row],[Salary]]="",AVERAGE(Table1[Salary]),Table1[[#This Row],[Salary]])</f>
        <v>89069.91</v>
      </c>
      <c r="I712" s="3" t="s">
        <v>63</v>
      </c>
      <c r="J712" s="3">
        <f>ABS(Table1[[#This Row],[Phone]])</f>
        <v>8826913118</v>
      </c>
      <c r="K712" s="3" t="str">
        <f>PROPER(TRIM(Table1[[#This Row],[Performance_Score]]))</f>
        <v>Good</v>
      </c>
      <c r="L712" s="3" t="b">
        <f>Table1[[#This Row],[Remote_Work]]</f>
        <v>0</v>
      </c>
      <c r="M712" s="3" t="str">
        <f>PROPER(CONCATENATE(Table13[[#This Row],[First_Name]], Table13[[#This Row],[Last_Name]]))</f>
        <v>Daviddavis</v>
      </c>
      <c r="N712" s="3" t="str">
        <f t="shared" si="11"/>
        <v>Mar</v>
      </c>
      <c r="O712" s="3" t="str">
        <f>TEXT(Table13[[#This Row],[Join_Date]],"yyyy")</f>
        <v>2024</v>
      </c>
      <c r="P712" s="3" t="str">
        <f>LEFT('Main Project Raw Data'!E712,FIND("-",'Main Project Raw Data'!E712)-1)</f>
        <v>DevOps</v>
      </c>
      <c r="Q712" s="3" t="str">
        <f>RIGHT('Main Project Raw Data'!E712,LEN('Main Project Raw Data'!E712)-FIND("-",'Main Project Raw Data'!E712))</f>
        <v>New York</v>
      </c>
    </row>
    <row r="713" spans="1:17" x14ac:dyDescent="0.3">
      <c r="A713" s="3" t="str">
        <f>TRIM(Table1[[#This Row],[Employee_ID]])</f>
        <v>EMP1711</v>
      </c>
      <c r="B713" s="3" t="str">
        <f>TRIM(Table1[[#This Row],[First_Name]])</f>
        <v>Frank</v>
      </c>
      <c r="C713" s="3" t="str">
        <f>TRIM(Table1[[#This Row],[Last_Name]])</f>
        <v>Johnson</v>
      </c>
      <c r="D713" s="3">
        <f>IF(Table1[[#This Row],[Age]]="",AVERAGE(Table1[Age]),Table1[[#This Row],[Age]])</f>
        <v>40</v>
      </c>
      <c r="E713" s="3" t="s">
        <v>328</v>
      </c>
      <c r="F713" s="3" t="s">
        <v>33</v>
      </c>
      <c r="G713" s="5">
        <f>IF(ISNUMBER('Main Project Raw Data'!G713),'Main Project Raw Data'!G713,IF(ISNUMBER(SEARCH("/",'Main Project Raw Data'!G713)),DATE(RIGHT('Main Project Raw Data'!G713,4),LEFT('Main Project Raw Data'!G713,FIND("/",'Main Project Raw Data'!G713)-1),MID('Main Project Raw Data'!G713,FIND("/",'Main Project Raw Data'!G713)+1,2)),DATE(RIGHT('Main Project Raw Data'!G713,4),MID('Main Project Raw Data'!G713,4,2),LEFT('Main Project Raw Data'!G713,2))))</f>
        <v>45639</v>
      </c>
      <c r="H713" s="3">
        <f>IF(Table1[[#This Row],[Salary]]="",AVERAGE(Table1[Salary]),Table1[[#This Row],[Salary]])</f>
        <v>57287.17</v>
      </c>
      <c r="I713" s="3" t="s">
        <v>271</v>
      </c>
      <c r="J713" s="3">
        <f>ABS(Table1[[#This Row],[Phone]])</f>
        <v>6425856260</v>
      </c>
      <c r="K713" s="3" t="str">
        <f>PROPER(TRIM(Table1[[#This Row],[Performance_Score]]))</f>
        <v>Average</v>
      </c>
      <c r="L713" s="3" t="b">
        <f>Table1[[#This Row],[Remote_Work]]</f>
        <v>1</v>
      </c>
      <c r="M713" s="3" t="str">
        <f>PROPER(CONCATENATE(Table13[[#This Row],[First_Name]], Table13[[#This Row],[Last_Name]]))</f>
        <v>Frankjohnson</v>
      </c>
      <c r="N713" s="3" t="str">
        <f t="shared" si="11"/>
        <v>Dec</v>
      </c>
      <c r="O713" s="3" t="str">
        <f>TEXT(Table13[[#This Row],[Join_Date]],"yyyy")</f>
        <v>2024</v>
      </c>
      <c r="P713" s="3" t="str">
        <f>LEFT('Main Project Raw Data'!E713,FIND("-",'Main Project Raw Data'!E713)-1)</f>
        <v>DevOps</v>
      </c>
      <c r="Q713" s="3" t="str">
        <f>RIGHT('Main Project Raw Data'!E713,LEN('Main Project Raw Data'!E713)-FIND("-",'Main Project Raw Data'!E713))</f>
        <v>Nevada</v>
      </c>
    </row>
    <row r="714" spans="1:17" x14ac:dyDescent="0.3">
      <c r="A714" s="3" t="str">
        <f>TRIM(Table1[[#This Row],[Employee_ID]])</f>
        <v>EMP1712</v>
      </c>
      <c r="B714" s="3" t="str">
        <f>TRIM(Table1[[#This Row],[First_Name]])</f>
        <v>Grace</v>
      </c>
      <c r="C714" s="3" t="str">
        <f>TRIM(Table1[[#This Row],[Last_Name]])</f>
        <v>Smith</v>
      </c>
      <c r="D714" s="3">
        <f>IF(Table1[[#This Row],[Age]]="",AVERAGE(Table1[Age]),Table1[[#This Row],[Age]])</f>
        <v>32.484548825710753</v>
      </c>
      <c r="E714" s="3" t="s">
        <v>149</v>
      </c>
      <c r="F714" s="3" t="s">
        <v>16</v>
      </c>
      <c r="G714" s="5">
        <f>IF(ISNUMBER('Main Project Raw Data'!G714),'Main Project Raw Data'!G714,IF(ISNUMBER(SEARCH("/",'Main Project Raw Data'!G714)),DATE(RIGHT('Main Project Raw Data'!G714,4),LEFT('Main Project Raw Data'!G714,FIND("/",'Main Project Raw Data'!G714)-1),MID('Main Project Raw Data'!G714,FIND("/",'Main Project Raw Data'!G714)+1,2)),DATE(RIGHT('Main Project Raw Data'!G714,4),MID('Main Project Raw Data'!G714,4,2),LEFT('Main Project Raw Data'!G714,2))))</f>
        <v>44924</v>
      </c>
      <c r="H714" s="3">
        <f>IF(Table1[[#This Row],[Salary]]="",AVERAGE(Table1[Salary]),Table1[[#This Row],[Salary]])</f>
        <v>119890.35</v>
      </c>
      <c r="I714" s="3" t="s">
        <v>135</v>
      </c>
      <c r="J714" s="3">
        <f>ABS(Table1[[#This Row],[Phone]])</f>
        <v>4991537037</v>
      </c>
      <c r="K714" s="3" t="str">
        <f>PROPER(TRIM(Table1[[#This Row],[Performance_Score]]))</f>
        <v>Average</v>
      </c>
      <c r="L714" s="3" t="b">
        <f>Table1[[#This Row],[Remote_Work]]</f>
        <v>1</v>
      </c>
      <c r="M714" s="3" t="str">
        <f>PROPER(CONCATENATE(Table13[[#This Row],[First_Name]], Table13[[#This Row],[Last_Name]]))</f>
        <v>Gracesmith</v>
      </c>
      <c r="N714" s="3" t="str">
        <f t="shared" si="11"/>
        <v>Dec</v>
      </c>
      <c r="O714" s="3" t="str">
        <f>TEXT(Table13[[#This Row],[Join_Date]],"yyyy")</f>
        <v>2022</v>
      </c>
      <c r="P714" s="3" t="str">
        <f>LEFT('Main Project Raw Data'!E714,FIND("-",'Main Project Raw Data'!E714)-1)</f>
        <v>HR</v>
      </c>
      <c r="Q714" s="3" t="str">
        <f>RIGHT('Main Project Raw Data'!E714,LEN('Main Project Raw Data'!E714)-FIND("-",'Main Project Raw Data'!E714))</f>
        <v>Nevada</v>
      </c>
    </row>
    <row r="715" spans="1:17" x14ac:dyDescent="0.3">
      <c r="A715" s="3" t="str">
        <f>TRIM(Table1[[#This Row],[Employee_ID]])</f>
        <v>EMP1713</v>
      </c>
      <c r="B715" s="3" t="str">
        <f>TRIM(Table1[[#This Row],[First_Name]])</f>
        <v>Frank</v>
      </c>
      <c r="C715" s="3" t="str">
        <f>TRIM(Table1[[#This Row],[Last_Name]])</f>
        <v>Brown</v>
      </c>
      <c r="D715" s="3">
        <f>IF(Table1[[#This Row],[Age]]="",AVERAGE(Table1[Age]),Table1[[#This Row],[Age]])</f>
        <v>35</v>
      </c>
      <c r="E715" s="3" t="s">
        <v>177</v>
      </c>
      <c r="F715" s="3" t="s">
        <v>33</v>
      </c>
      <c r="G715" s="5">
        <f>IF(ISNUMBER('Main Project Raw Data'!G715),'Main Project Raw Data'!G715,IF(ISNUMBER(SEARCH("/",'Main Project Raw Data'!G715)),DATE(RIGHT('Main Project Raw Data'!G715,4),LEFT('Main Project Raw Data'!G715,FIND("/",'Main Project Raw Data'!G715)-1),MID('Main Project Raw Data'!G715,FIND("/",'Main Project Raw Data'!G715)+1,2)),DATE(RIGHT('Main Project Raw Data'!G715,4),MID('Main Project Raw Data'!G715,4,2),LEFT('Main Project Raw Data'!G715,2))))</f>
        <v>44675</v>
      </c>
      <c r="H715" s="3">
        <f>IF(Table1[[#This Row],[Salary]]="",AVERAGE(Table1[Salary]),Table1[[#This Row],[Salary]])</f>
        <v>103492.91</v>
      </c>
      <c r="I715" s="3" t="s">
        <v>239</v>
      </c>
      <c r="J715" s="3">
        <f>ABS(Table1[[#This Row],[Phone]])</f>
        <v>2407333372</v>
      </c>
      <c r="K715" s="3" t="str">
        <f>PROPER(TRIM(Table1[[#This Row],[Performance_Score]]))</f>
        <v>Poor</v>
      </c>
      <c r="L715" s="3" t="b">
        <f>Table1[[#This Row],[Remote_Work]]</f>
        <v>0</v>
      </c>
      <c r="M715" s="3" t="str">
        <f>PROPER(CONCATENATE(Table13[[#This Row],[First_Name]], Table13[[#This Row],[Last_Name]]))</f>
        <v>Frankbrown</v>
      </c>
      <c r="N715" s="3" t="str">
        <f t="shared" si="11"/>
        <v>Apr</v>
      </c>
      <c r="O715" s="3" t="str">
        <f>TEXT(Table13[[#This Row],[Join_Date]],"yyyy")</f>
        <v>2022</v>
      </c>
      <c r="P715" s="3" t="str">
        <f>LEFT('Main Project Raw Data'!E715,FIND("-",'Main Project Raw Data'!E715)-1)</f>
        <v>Sales</v>
      </c>
      <c r="Q715" s="3" t="str">
        <f>RIGHT('Main Project Raw Data'!E715,LEN('Main Project Raw Data'!E715)-FIND("-",'Main Project Raw Data'!E715))</f>
        <v>California</v>
      </c>
    </row>
    <row r="716" spans="1:17" x14ac:dyDescent="0.3">
      <c r="A716" s="3" t="str">
        <f>TRIM(Table1[[#This Row],[Employee_ID]])</f>
        <v>EMP1714</v>
      </c>
      <c r="B716" s="3" t="str">
        <f>TRIM(Table1[[#This Row],[First_Name]])</f>
        <v>Frank</v>
      </c>
      <c r="C716" s="3" t="str">
        <f>TRIM(Table1[[#This Row],[Last_Name]])</f>
        <v>Garcia</v>
      </c>
      <c r="D716" s="3">
        <f>IF(Table1[[#This Row],[Age]]="",AVERAGE(Table1[Age]),Table1[[#This Row],[Age]])</f>
        <v>32.484548825710753</v>
      </c>
      <c r="E716" s="3" t="s">
        <v>89</v>
      </c>
      <c r="F716" s="3" t="s">
        <v>28</v>
      </c>
      <c r="G716" s="5">
        <f>IF(ISNUMBER('Main Project Raw Data'!G716),'Main Project Raw Data'!G716,IF(ISNUMBER(SEARCH("/",'Main Project Raw Data'!G716)),DATE(RIGHT('Main Project Raw Data'!G716,4),LEFT('Main Project Raw Data'!G716,FIND("/",'Main Project Raw Data'!G716)-1),MID('Main Project Raw Data'!G716,FIND("/",'Main Project Raw Data'!G716)+1,2)),DATE(RIGHT('Main Project Raw Data'!G716,4),MID('Main Project Raw Data'!G716,4,2),LEFT('Main Project Raw Data'!G716,2))))</f>
        <v>44269</v>
      </c>
      <c r="H716" s="3">
        <f>IF(Table1[[#This Row],[Salary]]="",AVERAGE(Table1[Salary]),Table1[[#This Row],[Salary]])</f>
        <v>76254.42</v>
      </c>
      <c r="I716" s="3" t="s">
        <v>180</v>
      </c>
      <c r="J716" s="3">
        <f>ABS(Table1[[#This Row],[Phone]])</f>
        <v>2043097767</v>
      </c>
      <c r="K716" s="3" t="str">
        <f>PROPER(TRIM(Table1[[#This Row],[Performance_Score]]))</f>
        <v>Excellent</v>
      </c>
      <c r="L716" s="3" t="b">
        <f>Table1[[#This Row],[Remote_Work]]</f>
        <v>0</v>
      </c>
      <c r="M716" s="3" t="str">
        <f>PROPER(CONCATENATE(Table13[[#This Row],[First_Name]], Table13[[#This Row],[Last_Name]]))</f>
        <v>Frankgarcia</v>
      </c>
      <c r="N716" s="3" t="str">
        <f t="shared" si="11"/>
        <v>Mar</v>
      </c>
      <c r="O716" s="3" t="str">
        <f>TEXT(Table13[[#This Row],[Join_Date]],"yyyy")</f>
        <v>2021</v>
      </c>
      <c r="P716" s="3" t="str">
        <f>LEFT('Main Project Raw Data'!E716,FIND("-",'Main Project Raw Data'!E716)-1)</f>
        <v>Admin</v>
      </c>
      <c r="Q716" s="3" t="str">
        <f>RIGHT('Main Project Raw Data'!E716,LEN('Main Project Raw Data'!E716)-FIND("-",'Main Project Raw Data'!E716))</f>
        <v>Illinois</v>
      </c>
    </row>
    <row r="717" spans="1:17" x14ac:dyDescent="0.3">
      <c r="A717" s="3" t="str">
        <f>TRIM(Table1[[#This Row],[Employee_ID]])</f>
        <v>EMP1715</v>
      </c>
      <c r="B717" s="3" t="str">
        <f>TRIM(Table1[[#This Row],[First_Name]])</f>
        <v>Eva</v>
      </c>
      <c r="C717" s="3" t="str">
        <f>TRIM(Table1[[#This Row],[Last_Name]])</f>
        <v>Garcia</v>
      </c>
      <c r="D717" s="3">
        <f>IF(Table1[[#This Row],[Age]]="",AVERAGE(Table1[Age]),Table1[[#This Row],[Age]])</f>
        <v>35</v>
      </c>
      <c r="E717" s="3" t="s">
        <v>112</v>
      </c>
      <c r="F717" s="3" t="s">
        <v>33</v>
      </c>
      <c r="G717" s="5">
        <f>IF(ISNUMBER('Main Project Raw Data'!G717),'Main Project Raw Data'!G717,IF(ISNUMBER(SEARCH("/",'Main Project Raw Data'!G717)),DATE(RIGHT('Main Project Raw Data'!G717,4),LEFT('Main Project Raw Data'!G717,FIND("/",'Main Project Raw Data'!G717)-1),MID('Main Project Raw Data'!G717,FIND("/",'Main Project Raw Data'!G717)+1,2)),DATE(RIGHT('Main Project Raw Data'!G717,4),MID('Main Project Raw Data'!G717,4,2),LEFT('Main Project Raw Data'!G717,2))))</f>
        <v>43831</v>
      </c>
      <c r="H717" s="3">
        <f>IF(Table1[[#This Row],[Salary]]="",AVERAGE(Table1[Salary]),Table1[[#This Row],[Salary]])</f>
        <v>100841.93</v>
      </c>
      <c r="I717" s="3" t="s">
        <v>296</v>
      </c>
      <c r="J717" s="3">
        <f>ABS(Table1[[#This Row],[Phone]])</f>
        <v>8936289695</v>
      </c>
      <c r="K717" s="3" t="str">
        <f>PROPER(TRIM(Table1[[#This Row],[Performance_Score]]))</f>
        <v>Poor</v>
      </c>
      <c r="L717" s="3" t="b">
        <f>Table1[[#This Row],[Remote_Work]]</f>
        <v>1</v>
      </c>
      <c r="M717" s="3" t="str">
        <f>PROPER(CONCATENATE(Table13[[#This Row],[First_Name]], Table13[[#This Row],[Last_Name]]))</f>
        <v>Evagarcia</v>
      </c>
      <c r="N717" s="3" t="str">
        <f t="shared" si="11"/>
        <v>Jan</v>
      </c>
      <c r="O717" s="3" t="str">
        <f>TEXT(Table13[[#This Row],[Join_Date]],"yyyy")</f>
        <v>2020</v>
      </c>
      <c r="P717" s="3" t="str">
        <f>LEFT('Main Project Raw Data'!E717,FIND("-",'Main Project Raw Data'!E717)-1)</f>
        <v>Finance</v>
      </c>
      <c r="Q717" s="3" t="str">
        <f>RIGHT('Main Project Raw Data'!E717,LEN('Main Project Raw Data'!E717)-FIND("-",'Main Project Raw Data'!E717))</f>
        <v>Florida</v>
      </c>
    </row>
    <row r="718" spans="1:17" x14ac:dyDescent="0.3">
      <c r="A718" s="3" t="str">
        <f>TRIM(Table1[[#This Row],[Employee_ID]])</f>
        <v>EMP1716</v>
      </c>
      <c r="B718" s="3" t="str">
        <f>TRIM(Table1[[#This Row],[First_Name]])</f>
        <v>Alice</v>
      </c>
      <c r="C718" s="3" t="str">
        <f>TRIM(Table1[[#This Row],[Last_Name]])</f>
        <v>Williams</v>
      </c>
      <c r="D718" s="3">
        <f>IF(Table1[[#This Row],[Age]]="",AVERAGE(Table1[Age]),Table1[[#This Row],[Age]])</f>
        <v>32.484548825710753</v>
      </c>
      <c r="E718" s="3" t="s">
        <v>118</v>
      </c>
      <c r="F718" s="3" t="s">
        <v>16</v>
      </c>
      <c r="G718" s="5">
        <f>IF(ISNUMBER('Main Project Raw Data'!G718),'Main Project Raw Data'!G718,IF(ISNUMBER(SEARCH("/",'Main Project Raw Data'!G718)),DATE(RIGHT('Main Project Raw Data'!G718,4),LEFT('Main Project Raw Data'!G718,FIND("/",'Main Project Raw Data'!G718)-1),MID('Main Project Raw Data'!G718,FIND("/",'Main Project Raw Data'!G718)+1,2)),DATE(RIGHT('Main Project Raw Data'!G718,4),MID('Main Project Raw Data'!G718,4,2),LEFT('Main Project Raw Data'!G718,2))))</f>
        <v>44386</v>
      </c>
      <c r="H718" s="3">
        <f>IF(Table1[[#This Row],[Salary]]="",AVERAGE(Table1[Salary]),Table1[[#This Row],[Salary]])</f>
        <v>118907.61</v>
      </c>
      <c r="I718" s="3" t="s">
        <v>362</v>
      </c>
      <c r="J718" s="3">
        <f>ABS(Table1[[#This Row],[Phone]])</f>
        <v>4546553584</v>
      </c>
      <c r="K718" s="3" t="str">
        <f>PROPER(TRIM(Table1[[#This Row],[Performance_Score]]))</f>
        <v>Excellent</v>
      </c>
      <c r="L718" s="3" t="b">
        <f>Table1[[#This Row],[Remote_Work]]</f>
        <v>1</v>
      </c>
      <c r="M718" s="3" t="str">
        <f>PROPER(CONCATENATE(Table13[[#This Row],[First_Name]], Table13[[#This Row],[Last_Name]]))</f>
        <v>Alicewilliams</v>
      </c>
      <c r="N718" s="3" t="str">
        <f t="shared" si="11"/>
        <v>Jul</v>
      </c>
      <c r="O718" s="3" t="str">
        <f>TEXT(Table13[[#This Row],[Join_Date]],"yyyy")</f>
        <v>2021</v>
      </c>
      <c r="P718" s="3" t="str">
        <f>LEFT('Main Project Raw Data'!E718,FIND("-",'Main Project Raw Data'!E718)-1)</f>
        <v>Admin</v>
      </c>
      <c r="Q718" s="3" t="str">
        <f>RIGHT('Main Project Raw Data'!E718,LEN('Main Project Raw Data'!E718)-FIND("-",'Main Project Raw Data'!E718))</f>
        <v>California</v>
      </c>
    </row>
    <row r="719" spans="1:17" x14ac:dyDescent="0.3">
      <c r="A719" s="3" t="str">
        <f>TRIM(Table1[[#This Row],[Employee_ID]])</f>
        <v>EMP1717</v>
      </c>
      <c r="B719" s="3" t="str">
        <f>TRIM(Table1[[#This Row],[First_Name]])</f>
        <v>Frank</v>
      </c>
      <c r="C719" s="3" t="str">
        <f>TRIM(Table1[[#This Row],[Last_Name]])</f>
        <v>Brown</v>
      </c>
      <c r="D719" s="3">
        <f>IF(Table1[[#This Row],[Age]]="",AVERAGE(Table1[Age]),Table1[[#This Row],[Age]])</f>
        <v>25</v>
      </c>
      <c r="E719" s="3" t="s">
        <v>15</v>
      </c>
      <c r="F719" s="3" t="s">
        <v>28</v>
      </c>
      <c r="G719" s="5">
        <f>IF(ISNUMBER('Main Project Raw Data'!G719),'Main Project Raw Data'!G719,IF(ISNUMBER(SEARCH("/",'Main Project Raw Data'!G719)),DATE(RIGHT('Main Project Raw Data'!G719,4),LEFT('Main Project Raw Data'!G719,FIND("/",'Main Project Raw Data'!G719)-1),MID('Main Project Raw Data'!G719,FIND("/",'Main Project Raw Data'!G719)+1,2)),DATE(RIGHT('Main Project Raw Data'!G719,4),MID('Main Project Raw Data'!G719,4,2),LEFT('Main Project Raw Data'!G719,2))))</f>
        <v>44878</v>
      </c>
      <c r="H719" s="3">
        <f>IF(Table1[[#This Row],[Salary]]="",AVERAGE(Table1[Salary]),Table1[[#This Row],[Salary]])</f>
        <v>88942.62</v>
      </c>
      <c r="I719" s="3" t="s">
        <v>239</v>
      </c>
      <c r="J719" s="3">
        <f>ABS(Table1[[#This Row],[Phone]])</f>
        <v>1253892186</v>
      </c>
      <c r="K719" s="3" t="str">
        <f>PROPER(TRIM(Table1[[#This Row],[Performance_Score]]))</f>
        <v>Average</v>
      </c>
      <c r="L719" s="3" t="b">
        <f>Table1[[#This Row],[Remote_Work]]</f>
        <v>0</v>
      </c>
      <c r="M719" s="3" t="str">
        <f>PROPER(CONCATENATE(Table13[[#This Row],[First_Name]], Table13[[#This Row],[Last_Name]]))</f>
        <v>Frankbrown</v>
      </c>
      <c r="N719" s="3" t="str">
        <f t="shared" si="11"/>
        <v>Nov</v>
      </c>
      <c r="O719" s="3" t="str">
        <f>TEXT(Table13[[#This Row],[Join_Date]],"yyyy")</f>
        <v>2022</v>
      </c>
      <c r="P719" s="3" t="str">
        <f>LEFT('Main Project Raw Data'!E719,FIND("-",'Main Project Raw Data'!E719)-1)</f>
        <v>DevOps</v>
      </c>
      <c r="Q719" s="3" t="str">
        <f>RIGHT('Main Project Raw Data'!E719,LEN('Main Project Raw Data'!E719)-FIND("-",'Main Project Raw Data'!E719))</f>
        <v>California</v>
      </c>
    </row>
    <row r="720" spans="1:17" x14ac:dyDescent="0.3">
      <c r="A720" s="3" t="str">
        <f>TRIM(Table1[[#This Row],[Employee_ID]])</f>
        <v>EMP1718</v>
      </c>
      <c r="B720" s="3" t="str">
        <f>TRIM(Table1[[#This Row],[First_Name]])</f>
        <v>Charlie</v>
      </c>
      <c r="C720" s="3" t="str">
        <f>TRIM(Table1[[#This Row],[Last_Name]])</f>
        <v>Garcia</v>
      </c>
      <c r="D720" s="3">
        <f>IF(Table1[[#This Row],[Age]]="",AVERAGE(Table1[Age]),Table1[[#This Row],[Age]])</f>
        <v>25</v>
      </c>
      <c r="E720" s="3" t="s">
        <v>39</v>
      </c>
      <c r="F720" s="3" t="s">
        <v>33</v>
      </c>
      <c r="G720" s="5">
        <f>IF(ISNUMBER('Main Project Raw Data'!G720),'Main Project Raw Data'!G720,IF(ISNUMBER(SEARCH("/",'Main Project Raw Data'!G720)),DATE(RIGHT('Main Project Raw Data'!G720,4),LEFT('Main Project Raw Data'!G720,FIND("/",'Main Project Raw Data'!G720)-1),MID('Main Project Raw Data'!G720,FIND("/",'Main Project Raw Data'!G720)+1,2)),DATE(RIGHT('Main Project Raw Data'!G720,4),MID('Main Project Raw Data'!G720,4,2),LEFT('Main Project Raw Data'!G720,2))))</f>
        <v>44150</v>
      </c>
      <c r="H720" s="3">
        <f>IF(Table1[[#This Row],[Salary]]="",AVERAGE(Table1[Salary]),Table1[[#This Row],[Salary]])</f>
        <v>59688.57</v>
      </c>
      <c r="I720" s="3" t="s">
        <v>87</v>
      </c>
      <c r="J720" s="3">
        <f>ABS(Table1[[#This Row],[Phone]])</f>
        <v>8519358373</v>
      </c>
      <c r="K720" s="3" t="str">
        <f>PROPER(TRIM(Table1[[#This Row],[Performance_Score]]))</f>
        <v>Average</v>
      </c>
      <c r="L720" s="3" t="b">
        <f>Table1[[#This Row],[Remote_Work]]</f>
        <v>0</v>
      </c>
      <c r="M720" s="3" t="str">
        <f>PROPER(CONCATENATE(Table13[[#This Row],[First_Name]], Table13[[#This Row],[Last_Name]]))</f>
        <v>Charliegarcia</v>
      </c>
      <c r="N720" s="3" t="str">
        <f t="shared" si="11"/>
        <v>Nov</v>
      </c>
      <c r="O720" s="3" t="str">
        <f>TEXT(Table13[[#This Row],[Join_Date]],"yyyy")</f>
        <v>2020</v>
      </c>
      <c r="P720" s="3" t="str">
        <f>LEFT('Main Project Raw Data'!E720,FIND("-",'Main Project Raw Data'!E720)-1)</f>
        <v>Cloud Tech</v>
      </c>
      <c r="Q720" s="3" t="str">
        <f>RIGHT('Main Project Raw Data'!E720,LEN('Main Project Raw Data'!E720)-FIND("-",'Main Project Raw Data'!E720))</f>
        <v>Florida</v>
      </c>
    </row>
    <row r="721" spans="1:17" x14ac:dyDescent="0.3">
      <c r="A721" s="3" t="str">
        <f>TRIM(Table1[[#This Row],[Employee_ID]])</f>
        <v>EMP1719</v>
      </c>
      <c r="B721" s="3" t="str">
        <f>TRIM(Table1[[#This Row],[First_Name]])</f>
        <v>David</v>
      </c>
      <c r="C721" s="3" t="str">
        <f>TRIM(Table1[[#This Row],[Last_Name]])</f>
        <v>Brown</v>
      </c>
      <c r="D721" s="3">
        <f>IF(Table1[[#This Row],[Age]]="",AVERAGE(Table1[Age]),Table1[[#This Row],[Age]])</f>
        <v>30</v>
      </c>
      <c r="E721" s="3" t="s">
        <v>146</v>
      </c>
      <c r="F721" s="3" t="s">
        <v>16</v>
      </c>
      <c r="G721" s="5">
        <f>IF(ISNUMBER('Main Project Raw Data'!G721),'Main Project Raw Data'!G721,IF(ISNUMBER(SEARCH("/",'Main Project Raw Data'!G721)),DATE(RIGHT('Main Project Raw Data'!G721,4),LEFT('Main Project Raw Data'!G721,FIND("/",'Main Project Raw Data'!G721)-1),MID('Main Project Raw Data'!G721,FIND("/",'Main Project Raw Data'!G721)+1,2)),DATE(RIGHT('Main Project Raw Data'!G721,4),MID('Main Project Raw Data'!G721,4,2),LEFT('Main Project Raw Data'!G721,2))))</f>
        <v>44999</v>
      </c>
      <c r="H721" s="3">
        <f>IF(Table1[[#This Row],[Salary]]="",AVERAGE(Table1[Salary]),Table1[[#This Row],[Salary]])</f>
        <v>77985.88</v>
      </c>
      <c r="I721" s="3" t="s">
        <v>225</v>
      </c>
      <c r="J721" s="3">
        <f>ABS(Table1[[#This Row],[Phone]])</f>
        <v>9079779611</v>
      </c>
      <c r="K721" s="3" t="str">
        <f>PROPER(TRIM(Table1[[#This Row],[Performance_Score]]))</f>
        <v>Average</v>
      </c>
      <c r="L721" s="3" t="b">
        <f>Table1[[#This Row],[Remote_Work]]</f>
        <v>1</v>
      </c>
      <c r="M721" s="3" t="str">
        <f>PROPER(CONCATENATE(Table13[[#This Row],[First_Name]], Table13[[#This Row],[Last_Name]]))</f>
        <v>Davidbrown</v>
      </c>
      <c r="N721" s="3" t="str">
        <f t="shared" si="11"/>
        <v>Mar</v>
      </c>
      <c r="O721" s="3" t="str">
        <f>TEXT(Table13[[#This Row],[Join_Date]],"yyyy")</f>
        <v>2023</v>
      </c>
      <c r="P721" s="3" t="str">
        <f>LEFT('Main Project Raw Data'!E721,FIND("-",'Main Project Raw Data'!E721)-1)</f>
        <v>HR</v>
      </c>
      <c r="Q721" s="3" t="str">
        <f>RIGHT('Main Project Raw Data'!E721,LEN('Main Project Raw Data'!E721)-FIND("-",'Main Project Raw Data'!E721))</f>
        <v>California</v>
      </c>
    </row>
    <row r="722" spans="1:17" x14ac:dyDescent="0.3">
      <c r="A722" s="3" t="str">
        <f>TRIM(Table1[[#This Row],[Employee_ID]])</f>
        <v>EMP1720</v>
      </c>
      <c r="B722" s="3" t="str">
        <f>TRIM(Table1[[#This Row],[First_Name]])</f>
        <v>Bob</v>
      </c>
      <c r="C722" s="3" t="str">
        <f>TRIM(Table1[[#This Row],[Last_Name]])</f>
        <v>Johnson</v>
      </c>
      <c r="D722" s="3">
        <f>IF(Table1[[#This Row],[Age]]="",AVERAGE(Table1[Age]),Table1[[#This Row],[Age]])</f>
        <v>35</v>
      </c>
      <c r="E722" s="3" t="s">
        <v>227</v>
      </c>
      <c r="F722" s="3" t="s">
        <v>33</v>
      </c>
      <c r="G722" s="5">
        <f>IF(ISNUMBER('Main Project Raw Data'!G722),'Main Project Raw Data'!G722,IF(ISNUMBER(SEARCH("/",'Main Project Raw Data'!G722)),DATE(RIGHT('Main Project Raw Data'!G722,4),LEFT('Main Project Raw Data'!G722,FIND("/",'Main Project Raw Data'!G722)-1),MID('Main Project Raw Data'!G722,FIND("/",'Main Project Raw Data'!G722)+1,2)),DATE(RIGHT('Main Project Raw Data'!G722,4),MID('Main Project Raw Data'!G722,4,2),LEFT('Main Project Raw Data'!G722,2))))</f>
        <v>45522</v>
      </c>
      <c r="H722" s="3">
        <f>IF(Table1[[#This Row],[Salary]]="",AVERAGE(Table1[Salary]),Table1[[#This Row],[Salary]])</f>
        <v>112931.69</v>
      </c>
      <c r="I722" s="3" t="s">
        <v>199</v>
      </c>
      <c r="J722" s="3">
        <f>ABS(Table1[[#This Row],[Phone]])</f>
        <v>878057214</v>
      </c>
      <c r="K722" s="3" t="str">
        <f>PROPER(TRIM(Table1[[#This Row],[Performance_Score]]))</f>
        <v>Poor</v>
      </c>
      <c r="L722" s="3" t="b">
        <f>Table1[[#This Row],[Remote_Work]]</f>
        <v>0</v>
      </c>
      <c r="M722" s="3" t="str">
        <f>PROPER(CONCATENATE(Table13[[#This Row],[First_Name]], Table13[[#This Row],[Last_Name]]))</f>
        <v>Bobjohnson</v>
      </c>
      <c r="N722" s="3" t="str">
        <f t="shared" si="11"/>
        <v>Aug</v>
      </c>
      <c r="O722" s="3" t="str">
        <f>TEXT(Table13[[#This Row],[Join_Date]],"yyyy")</f>
        <v>2024</v>
      </c>
      <c r="P722" s="3" t="str">
        <f>LEFT('Main Project Raw Data'!E722,FIND("-",'Main Project Raw Data'!E722)-1)</f>
        <v>Finance</v>
      </c>
      <c r="Q722" s="3" t="str">
        <f>RIGHT('Main Project Raw Data'!E722,LEN('Main Project Raw Data'!E722)-FIND("-",'Main Project Raw Data'!E722))</f>
        <v>New York</v>
      </c>
    </row>
    <row r="723" spans="1:17" x14ac:dyDescent="0.3">
      <c r="A723" s="3" t="str">
        <f>TRIM(Table1[[#This Row],[Employee_ID]])</f>
        <v>EMP1721</v>
      </c>
      <c r="B723" s="3" t="str">
        <f>TRIM(Table1[[#This Row],[First_Name]])</f>
        <v>Bob</v>
      </c>
      <c r="C723" s="3" t="str">
        <f>TRIM(Table1[[#This Row],[Last_Name]])</f>
        <v>Williams</v>
      </c>
      <c r="D723" s="3">
        <f>IF(Table1[[#This Row],[Age]]="",AVERAGE(Table1[Age]),Table1[[#This Row],[Age]])</f>
        <v>32.484548825710753</v>
      </c>
      <c r="E723" s="3" t="s">
        <v>15</v>
      </c>
      <c r="F723" s="3" t="s">
        <v>16</v>
      </c>
      <c r="G723" s="5">
        <f>IF(ISNUMBER('Main Project Raw Data'!G723),'Main Project Raw Data'!G723,IF(ISNUMBER(SEARCH("/",'Main Project Raw Data'!G723)),DATE(RIGHT('Main Project Raw Data'!G723,4),LEFT('Main Project Raw Data'!G723,FIND("/",'Main Project Raw Data'!G723)-1),MID('Main Project Raw Data'!G723,FIND("/",'Main Project Raw Data'!G723)+1,2)),DATE(RIGHT('Main Project Raw Data'!G723,4),MID('Main Project Raw Data'!G723,4,2),LEFT('Main Project Raw Data'!G723,2))))</f>
        <v>45414</v>
      </c>
      <c r="H723" s="3">
        <f>IF(Table1[[#This Row],[Salary]]="",AVERAGE(Table1[Salary]),Table1[[#This Row],[Salary]])</f>
        <v>106583.88</v>
      </c>
      <c r="I723" s="3" t="s">
        <v>144</v>
      </c>
      <c r="J723" s="3">
        <f>ABS(Table1[[#This Row],[Phone]])</f>
        <v>1494097625</v>
      </c>
      <c r="K723" s="3" t="str">
        <f>PROPER(TRIM(Table1[[#This Row],[Performance_Score]]))</f>
        <v>Good</v>
      </c>
      <c r="L723" s="3" t="b">
        <f>Table1[[#This Row],[Remote_Work]]</f>
        <v>1</v>
      </c>
      <c r="M723" s="3" t="str">
        <f>PROPER(CONCATENATE(Table13[[#This Row],[First_Name]], Table13[[#This Row],[Last_Name]]))</f>
        <v>Bobwilliams</v>
      </c>
      <c r="N723" s="3" t="str">
        <f t="shared" si="11"/>
        <v>May</v>
      </c>
      <c r="O723" s="3" t="str">
        <f>TEXT(Table13[[#This Row],[Join_Date]],"yyyy")</f>
        <v>2024</v>
      </c>
      <c r="P723" s="3" t="str">
        <f>LEFT('Main Project Raw Data'!E723,FIND("-",'Main Project Raw Data'!E723)-1)</f>
        <v>DevOps</v>
      </c>
      <c r="Q723" s="3" t="str">
        <f>RIGHT('Main Project Raw Data'!E723,LEN('Main Project Raw Data'!E723)-FIND("-",'Main Project Raw Data'!E723))</f>
        <v>California</v>
      </c>
    </row>
    <row r="724" spans="1:17" x14ac:dyDescent="0.3">
      <c r="A724" s="3" t="str">
        <f>TRIM(Table1[[#This Row],[Employee_ID]])</f>
        <v>EMP1722</v>
      </c>
      <c r="B724" s="3" t="str">
        <f>TRIM(Table1[[#This Row],[First_Name]])</f>
        <v>Alice</v>
      </c>
      <c r="C724" s="3" t="str">
        <f>TRIM(Table1[[#This Row],[Last_Name]])</f>
        <v>Brown</v>
      </c>
      <c r="D724" s="3">
        <f>IF(Table1[[#This Row],[Age]]="",AVERAGE(Table1[Age]),Table1[[#This Row],[Age]])</f>
        <v>35</v>
      </c>
      <c r="E724" s="3" t="s">
        <v>212</v>
      </c>
      <c r="F724" s="3" t="s">
        <v>33</v>
      </c>
      <c r="G724" s="5">
        <f>IF(ISNUMBER('Main Project Raw Data'!G724),'Main Project Raw Data'!G724,IF(ISNUMBER(SEARCH("/",'Main Project Raw Data'!G724)),DATE(RIGHT('Main Project Raw Data'!G724,4),LEFT('Main Project Raw Data'!G724,FIND("/",'Main Project Raw Data'!G724)-1),MID('Main Project Raw Data'!G724,FIND("/",'Main Project Raw Data'!G724)+1,2)),DATE(RIGHT('Main Project Raw Data'!G724,4),MID('Main Project Raw Data'!G724,4,2),LEFT('Main Project Raw Data'!G724,2))))</f>
        <v>45637</v>
      </c>
      <c r="H724" s="3">
        <f>IF(Table1[[#This Row],[Salary]]="",AVERAGE(Table1[Salary]),Table1[[#This Row],[Salary]])</f>
        <v>58437.84</v>
      </c>
      <c r="I724" s="3" t="s">
        <v>80</v>
      </c>
      <c r="J724" s="3">
        <f>ABS(Table1[[#This Row],[Phone]])</f>
        <v>3748453985</v>
      </c>
      <c r="K724" s="3" t="str">
        <f>PROPER(TRIM(Table1[[#This Row],[Performance_Score]]))</f>
        <v>Good</v>
      </c>
      <c r="L724" s="3" t="b">
        <f>Table1[[#This Row],[Remote_Work]]</f>
        <v>1</v>
      </c>
      <c r="M724" s="3" t="str">
        <f>PROPER(CONCATENATE(Table13[[#This Row],[First_Name]], Table13[[#This Row],[Last_Name]]))</f>
        <v>Alicebrown</v>
      </c>
      <c r="N724" s="3" t="str">
        <f t="shared" si="11"/>
        <v>Dec</v>
      </c>
      <c r="O724" s="3" t="str">
        <f>TEXT(Table13[[#This Row],[Join_Date]],"yyyy")</f>
        <v>2024</v>
      </c>
      <c r="P724" s="3" t="str">
        <f>LEFT('Main Project Raw Data'!E724,FIND("-",'Main Project Raw Data'!E724)-1)</f>
        <v>HR</v>
      </c>
      <c r="Q724" s="3" t="str">
        <f>RIGHT('Main Project Raw Data'!E724,LEN('Main Project Raw Data'!E724)-FIND("-",'Main Project Raw Data'!E724))</f>
        <v>Florida</v>
      </c>
    </row>
    <row r="725" spans="1:17" x14ac:dyDescent="0.3">
      <c r="A725" s="3" t="str">
        <f>TRIM(Table1[[#This Row],[Employee_ID]])</f>
        <v>EMP1723</v>
      </c>
      <c r="B725" s="3" t="str">
        <f>TRIM(Table1[[#This Row],[First_Name]])</f>
        <v>Alice</v>
      </c>
      <c r="C725" s="3" t="str">
        <f>TRIM(Table1[[#This Row],[Last_Name]])</f>
        <v>Smith</v>
      </c>
      <c r="D725" s="3">
        <f>IF(Table1[[#This Row],[Age]]="",AVERAGE(Table1[Age]),Table1[[#This Row],[Age]])</f>
        <v>40</v>
      </c>
      <c r="E725" s="3" t="s">
        <v>268</v>
      </c>
      <c r="F725" s="3" t="s">
        <v>28</v>
      </c>
      <c r="G725" s="5">
        <f>IF(ISNUMBER('Main Project Raw Data'!G725),'Main Project Raw Data'!G725,IF(ISNUMBER(SEARCH("/",'Main Project Raw Data'!G725)),DATE(RIGHT('Main Project Raw Data'!G725,4),LEFT('Main Project Raw Data'!G725,FIND("/",'Main Project Raw Data'!G725)-1),MID('Main Project Raw Data'!G725,FIND("/",'Main Project Raw Data'!G725)+1,2)),DATE(RIGHT('Main Project Raw Data'!G725,4),MID('Main Project Raw Data'!G725,4,2),LEFT('Main Project Raw Data'!G725,2))))</f>
        <v>43915</v>
      </c>
      <c r="H725" s="3">
        <f>IF(Table1[[#This Row],[Salary]]="",AVERAGE(Table1[Salary]),Table1[[#This Row],[Salary]])</f>
        <v>72352.160000000003</v>
      </c>
      <c r="I725" s="3" t="s">
        <v>182</v>
      </c>
      <c r="J725" s="3">
        <f>ABS(Table1[[#This Row],[Phone]])</f>
        <v>2895090590</v>
      </c>
      <c r="K725" s="3" t="str">
        <f>PROPER(TRIM(Table1[[#This Row],[Performance_Score]]))</f>
        <v>Average</v>
      </c>
      <c r="L725" s="3" t="b">
        <f>Table1[[#This Row],[Remote_Work]]</f>
        <v>1</v>
      </c>
      <c r="M725" s="3" t="str">
        <f>PROPER(CONCATENATE(Table13[[#This Row],[First_Name]], Table13[[#This Row],[Last_Name]]))</f>
        <v>Alicesmith</v>
      </c>
      <c r="N725" s="3" t="str">
        <f t="shared" si="11"/>
        <v>Mar</v>
      </c>
      <c r="O725" s="3" t="str">
        <f>TEXT(Table13[[#This Row],[Join_Date]],"yyyy")</f>
        <v>2020</v>
      </c>
      <c r="P725" s="3" t="str">
        <f>LEFT('Main Project Raw Data'!E725,FIND("-",'Main Project Raw Data'!E725)-1)</f>
        <v>Cloud Tech</v>
      </c>
      <c r="Q725" s="3" t="str">
        <f>RIGHT('Main Project Raw Data'!E725,LEN('Main Project Raw Data'!E725)-FIND("-",'Main Project Raw Data'!E725))</f>
        <v>California</v>
      </c>
    </row>
    <row r="726" spans="1:17" x14ac:dyDescent="0.3">
      <c r="A726" s="3" t="str">
        <f>TRIM(Table1[[#This Row],[Employee_ID]])</f>
        <v>EMP1724</v>
      </c>
      <c r="B726" s="3" t="str">
        <f>TRIM(Table1[[#This Row],[First_Name]])</f>
        <v>Frank</v>
      </c>
      <c r="C726" s="3" t="str">
        <f>TRIM(Table1[[#This Row],[Last_Name]])</f>
        <v>Smith</v>
      </c>
      <c r="D726" s="3">
        <f>IF(Table1[[#This Row],[Age]]="",AVERAGE(Table1[Age]),Table1[[#This Row],[Age]])</f>
        <v>32.484548825710753</v>
      </c>
      <c r="E726" s="3" t="s">
        <v>56</v>
      </c>
      <c r="F726" s="3" t="s">
        <v>16</v>
      </c>
      <c r="G726" s="5">
        <f>IF(ISNUMBER('Main Project Raw Data'!G726),'Main Project Raw Data'!G726,IF(ISNUMBER(SEARCH("/",'Main Project Raw Data'!G726)),DATE(RIGHT('Main Project Raw Data'!G726,4),LEFT('Main Project Raw Data'!G726,FIND("/",'Main Project Raw Data'!G726)-1),MID('Main Project Raw Data'!G726,FIND("/",'Main Project Raw Data'!G726)+1,2)),DATE(RIGHT('Main Project Raw Data'!G726,4),MID('Main Project Raw Data'!G726,4,2),LEFT('Main Project Raw Data'!G726,2))))</f>
        <v>43934</v>
      </c>
      <c r="H726" s="3">
        <f>IF(Table1[[#This Row],[Salary]]="",AVERAGE(Table1[Salary]),Table1[[#This Row],[Salary]])</f>
        <v>97154.47</v>
      </c>
      <c r="I726" s="3" t="s">
        <v>137</v>
      </c>
      <c r="J726" s="3">
        <f>ABS(Table1[[#This Row],[Phone]])</f>
        <v>1918623391</v>
      </c>
      <c r="K726" s="3" t="str">
        <f>PROPER(TRIM(Table1[[#This Row],[Performance_Score]]))</f>
        <v>Good</v>
      </c>
      <c r="L726" s="3" t="b">
        <f>Table1[[#This Row],[Remote_Work]]</f>
        <v>1</v>
      </c>
      <c r="M726" s="3" t="str">
        <f>PROPER(CONCATENATE(Table13[[#This Row],[First_Name]], Table13[[#This Row],[Last_Name]]))</f>
        <v>Franksmith</v>
      </c>
      <c r="N726" s="3" t="str">
        <f t="shared" si="11"/>
        <v>Apr</v>
      </c>
      <c r="O726" s="3" t="str">
        <f>TEXT(Table13[[#This Row],[Join_Date]],"yyyy")</f>
        <v>2020</v>
      </c>
      <c r="P726" s="3" t="str">
        <f>LEFT('Main Project Raw Data'!E726,FIND("-",'Main Project Raw Data'!E726)-1)</f>
        <v>DevOps</v>
      </c>
      <c r="Q726" s="3" t="str">
        <f>RIGHT('Main Project Raw Data'!E726,LEN('Main Project Raw Data'!E726)-FIND("-",'Main Project Raw Data'!E726))</f>
        <v>New York</v>
      </c>
    </row>
    <row r="727" spans="1:17" x14ac:dyDescent="0.3">
      <c r="A727" s="3" t="str">
        <f>TRIM(Table1[[#This Row],[Employee_ID]])</f>
        <v>EMP1725</v>
      </c>
      <c r="B727" s="3" t="str">
        <f>TRIM(Table1[[#This Row],[First_Name]])</f>
        <v>Heidi</v>
      </c>
      <c r="C727" s="3" t="str">
        <f>TRIM(Table1[[#This Row],[Last_Name]])</f>
        <v>Jones</v>
      </c>
      <c r="D727" s="3">
        <f>IF(Table1[[#This Row],[Age]]="",AVERAGE(Table1[Age]),Table1[[#This Row],[Age]])</f>
        <v>32.484548825710753</v>
      </c>
      <c r="E727" s="3" t="s">
        <v>98</v>
      </c>
      <c r="F727" s="3" t="s">
        <v>16</v>
      </c>
      <c r="G727" s="5">
        <f>IF(ISNUMBER('Main Project Raw Data'!G727),'Main Project Raw Data'!G727,IF(ISNUMBER(SEARCH("/",'Main Project Raw Data'!G727)),DATE(RIGHT('Main Project Raw Data'!G727,4),LEFT('Main Project Raw Data'!G727,FIND("/",'Main Project Raw Data'!G727)-1),MID('Main Project Raw Data'!G727,FIND("/",'Main Project Raw Data'!G727)+1,2)),DATE(RIGHT('Main Project Raw Data'!G727,4),MID('Main Project Raw Data'!G727,4,2),LEFT('Main Project Raw Data'!G727,2))))</f>
        <v>44285</v>
      </c>
      <c r="H727" s="3">
        <f>IF(Table1[[#This Row],[Salary]]="",AVERAGE(Table1[Salary]),Table1[[#This Row],[Salary]])</f>
        <v>80235.5</v>
      </c>
      <c r="I727" s="3" t="s">
        <v>319</v>
      </c>
      <c r="J727" s="3">
        <f>ABS(Table1[[#This Row],[Phone]])</f>
        <v>2071511695</v>
      </c>
      <c r="K727" s="3" t="str">
        <f>PROPER(TRIM(Table1[[#This Row],[Performance_Score]]))</f>
        <v>Good</v>
      </c>
      <c r="L727" s="3" t="b">
        <f>Table1[[#This Row],[Remote_Work]]</f>
        <v>0</v>
      </c>
      <c r="M727" s="3" t="str">
        <f>PROPER(CONCATENATE(Table13[[#This Row],[First_Name]], Table13[[#This Row],[Last_Name]]))</f>
        <v>Heidijones</v>
      </c>
      <c r="N727" s="3" t="str">
        <f t="shared" si="11"/>
        <v>Mar</v>
      </c>
      <c r="O727" s="3" t="str">
        <f>TEXT(Table13[[#This Row],[Join_Date]],"yyyy")</f>
        <v>2021</v>
      </c>
      <c r="P727" s="3" t="str">
        <f>LEFT('Main Project Raw Data'!E727,FIND("-",'Main Project Raw Data'!E727)-1)</f>
        <v>Sales</v>
      </c>
      <c r="Q727" s="3" t="str">
        <f>RIGHT('Main Project Raw Data'!E727,LEN('Main Project Raw Data'!E727)-FIND("-",'Main Project Raw Data'!E727))</f>
        <v>Illinois</v>
      </c>
    </row>
    <row r="728" spans="1:17" x14ac:dyDescent="0.3">
      <c r="A728" s="3" t="str">
        <f>TRIM(Table1[[#This Row],[Employee_ID]])</f>
        <v>EMP1726</v>
      </c>
      <c r="B728" s="3" t="str">
        <f>TRIM(Table1[[#This Row],[First_Name]])</f>
        <v>Charlie</v>
      </c>
      <c r="C728" s="3" t="str">
        <f>TRIM(Table1[[#This Row],[Last_Name]])</f>
        <v>Williams</v>
      </c>
      <c r="D728" s="3">
        <f>IF(Table1[[#This Row],[Age]]="",AVERAGE(Table1[Age]),Table1[[#This Row],[Age]])</f>
        <v>30</v>
      </c>
      <c r="E728" s="3" t="s">
        <v>139</v>
      </c>
      <c r="F728" s="3" t="s">
        <v>33</v>
      </c>
      <c r="G728" s="5">
        <f>IF(ISNUMBER('Main Project Raw Data'!G728),'Main Project Raw Data'!G728,IF(ISNUMBER(SEARCH("/",'Main Project Raw Data'!G728)),DATE(RIGHT('Main Project Raw Data'!G728,4),LEFT('Main Project Raw Data'!G728,FIND("/",'Main Project Raw Data'!G728)-1),MID('Main Project Raw Data'!G728,FIND("/",'Main Project Raw Data'!G728)+1,2)),DATE(RIGHT('Main Project Raw Data'!G728,4),MID('Main Project Raw Data'!G728,4,2),LEFT('Main Project Raw Data'!G728,2))))</f>
        <v>45001</v>
      </c>
      <c r="H728" s="3">
        <f>IF(Table1[[#This Row],[Salary]]="",AVERAGE(Table1[Salary]),Table1[[#This Row],[Salary]])</f>
        <v>102172.05</v>
      </c>
      <c r="I728" s="3" t="s">
        <v>90</v>
      </c>
      <c r="J728" s="3">
        <f>ABS(Table1[[#This Row],[Phone]])</f>
        <v>6672521451</v>
      </c>
      <c r="K728" s="3" t="str">
        <f>PROPER(TRIM(Table1[[#This Row],[Performance_Score]]))</f>
        <v>Poor</v>
      </c>
      <c r="L728" s="3" t="b">
        <f>Table1[[#This Row],[Remote_Work]]</f>
        <v>0</v>
      </c>
      <c r="M728" s="3" t="str">
        <f>PROPER(CONCATENATE(Table13[[#This Row],[First_Name]], Table13[[#This Row],[Last_Name]]))</f>
        <v>Charliewilliams</v>
      </c>
      <c r="N728" s="3" t="str">
        <f t="shared" si="11"/>
        <v>Mar</v>
      </c>
      <c r="O728" s="3" t="str">
        <f>TEXT(Table13[[#This Row],[Join_Date]],"yyyy")</f>
        <v>2023</v>
      </c>
      <c r="P728" s="3" t="str">
        <f>LEFT('Main Project Raw Data'!E728,FIND("-",'Main Project Raw Data'!E728)-1)</f>
        <v>HR</v>
      </c>
      <c r="Q728" s="3" t="str">
        <f>RIGHT('Main Project Raw Data'!E728,LEN('Main Project Raw Data'!E728)-FIND("-",'Main Project Raw Data'!E728))</f>
        <v>Texas</v>
      </c>
    </row>
    <row r="729" spans="1:17" x14ac:dyDescent="0.3">
      <c r="A729" s="3" t="str">
        <f>TRIM(Table1[[#This Row],[Employee_ID]])</f>
        <v>EMP1727</v>
      </c>
      <c r="B729" s="3" t="str">
        <f>TRIM(Table1[[#This Row],[First_Name]])</f>
        <v>Eva</v>
      </c>
      <c r="C729" s="3" t="str">
        <f>TRIM(Table1[[#This Row],[Last_Name]])</f>
        <v>Williams</v>
      </c>
      <c r="D729" s="3">
        <f>IF(Table1[[#This Row],[Age]]="",AVERAGE(Table1[Age]),Table1[[#This Row],[Age]])</f>
        <v>25</v>
      </c>
      <c r="E729" s="3" t="s">
        <v>265</v>
      </c>
      <c r="F729" s="3" t="s">
        <v>33</v>
      </c>
      <c r="G729" s="5">
        <f>IF(ISNUMBER('Main Project Raw Data'!G729),'Main Project Raw Data'!G729,IF(ISNUMBER(SEARCH("/",'Main Project Raw Data'!G729)),DATE(RIGHT('Main Project Raw Data'!G729,4),LEFT('Main Project Raw Data'!G729,FIND("/",'Main Project Raw Data'!G729)-1),MID('Main Project Raw Data'!G729,FIND("/",'Main Project Raw Data'!G729)+1,2)),DATE(RIGHT('Main Project Raw Data'!G729,4),MID('Main Project Raw Data'!G729,4,2),LEFT('Main Project Raw Data'!G729,2))))</f>
        <v>45356</v>
      </c>
      <c r="H729" s="3">
        <f>IF(Table1[[#This Row],[Salary]]="",AVERAGE(Table1[Salary]),Table1[[#This Row],[Salary]])</f>
        <v>98850.94</v>
      </c>
      <c r="I729" s="3" t="s">
        <v>141</v>
      </c>
      <c r="J729" s="3">
        <f>ABS(Table1[[#This Row],[Phone]])</f>
        <v>6471246334</v>
      </c>
      <c r="K729" s="3" t="str">
        <f>PROPER(TRIM(Table1[[#This Row],[Performance_Score]]))</f>
        <v>Excellent</v>
      </c>
      <c r="L729" s="3" t="b">
        <f>Table1[[#This Row],[Remote_Work]]</f>
        <v>1</v>
      </c>
      <c r="M729" s="3" t="str">
        <f>PROPER(CONCATENATE(Table13[[#This Row],[First_Name]], Table13[[#This Row],[Last_Name]]))</f>
        <v>Evawilliams</v>
      </c>
      <c r="N729" s="3" t="str">
        <f t="shared" si="11"/>
        <v>Mar</v>
      </c>
      <c r="O729" s="3" t="str">
        <f>TEXT(Table13[[#This Row],[Join_Date]],"yyyy")</f>
        <v>2024</v>
      </c>
      <c r="P729" s="3" t="str">
        <f>LEFT('Main Project Raw Data'!E729,FIND("-",'Main Project Raw Data'!E729)-1)</f>
        <v>Finance</v>
      </c>
      <c r="Q729" s="3" t="str">
        <f>RIGHT('Main Project Raw Data'!E729,LEN('Main Project Raw Data'!E729)-FIND("-",'Main Project Raw Data'!E729))</f>
        <v>Illinois</v>
      </c>
    </row>
    <row r="730" spans="1:17" x14ac:dyDescent="0.3">
      <c r="A730" s="3" t="str">
        <f>TRIM(Table1[[#This Row],[Employee_ID]])</f>
        <v>EMP1728</v>
      </c>
      <c r="B730" s="3" t="str">
        <f>TRIM(Table1[[#This Row],[First_Name]])</f>
        <v>Heidi</v>
      </c>
      <c r="C730" s="3" t="str">
        <f>TRIM(Table1[[#This Row],[Last_Name]])</f>
        <v>Jones</v>
      </c>
      <c r="D730" s="3">
        <f>IF(Table1[[#This Row],[Age]]="",AVERAGE(Table1[Age]),Table1[[#This Row],[Age]])</f>
        <v>32.484548825710753</v>
      </c>
      <c r="E730" s="3" t="s">
        <v>205</v>
      </c>
      <c r="F730" s="3" t="s">
        <v>33</v>
      </c>
      <c r="G730" s="5">
        <f>IF(ISNUMBER('Main Project Raw Data'!G730),'Main Project Raw Data'!G730,IF(ISNUMBER(SEARCH("/",'Main Project Raw Data'!G730)),DATE(RIGHT('Main Project Raw Data'!G730,4),LEFT('Main Project Raw Data'!G730,FIND("/",'Main Project Raw Data'!G730)-1),MID('Main Project Raw Data'!G730,FIND("/",'Main Project Raw Data'!G730)+1,2)),DATE(RIGHT('Main Project Raw Data'!G730,4),MID('Main Project Raw Data'!G730,4,2),LEFT('Main Project Raw Data'!G730,2))))</f>
        <v>45166</v>
      </c>
      <c r="H730" s="3">
        <f>IF(Table1[[#This Row],[Salary]]="",AVERAGE(Table1[Salary]),Table1[[#This Row],[Salary]])</f>
        <v>89993.15</v>
      </c>
      <c r="I730" s="3" t="s">
        <v>319</v>
      </c>
      <c r="J730" s="3">
        <f>ABS(Table1[[#This Row],[Phone]])</f>
        <v>1571840907</v>
      </c>
      <c r="K730" s="3" t="str">
        <f>PROPER(TRIM(Table1[[#This Row],[Performance_Score]]))</f>
        <v>Average</v>
      </c>
      <c r="L730" s="3" t="b">
        <f>Table1[[#This Row],[Remote_Work]]</f>
        <v>1</v>
      </c>
      <c r="M730" s="3" t="str">
        <f>PROPER(CONCATENATE(Table13[[#This Row],[First_Name]], Table13[[#This Row],[Last_Name]]))</f>
        <v>Heidijones</v>
      </c>
      <c r="N730" s="3" t="str">
        <f t="shared" si="11"/>
        <v>Aug</v>
      </c>
      <c r="O730" s="3" t="str">
        <f>TEXT(Table13[[#This Row],[Join_Date]],"yyyy")</f>
        <v>2023</v>
      </c>
      <c r="P730" s="3" t="str">
        <f>LEFT('Main Project Raw Data'!E730,FIND("-",'Main Project Raw Data'!E730)-1)</f>
        <v>Admin</v>
      </c>
      <c r="Q730" s="3" t="str">
        <f>RIGHT('Main Project Raw Data'!E730,LEN('Main Project Raw Data'!E730)-FIND("-",'Main Project Raw Data'!E730))</f>
        <v>Florida</v>
      </c>
    </row>
    <row r="731" spans="1:17" x14ac:dyDescent="0.3">
      <c r="A731" s="3" t="str">
        <f>TRIM(Table1[[#This Row],[Employee_ID]])</f>
        <v>EMP1729</v>
      </c>
      <c r="B731" s="3" t="str">
        <f>TRIM(Table1[[#This Row],[First_Name]])</f>
        <v>David</v>
      </c>
      <c r="C731" s="3" t="str">
        <f>TRIM(Table1[[#This Row],[Last_Name]])</f>
        <v>Brown</v>
      </c>
      <c r="D731" s="3">
        <f>IF(Table1[[#This Row],[Age]]="",AVERAGE(Table1[Age]),Table1[[#This Row],[Age]])</f>
        <v>30</v>
      </c>
      <c r="E731" s="3" t="s">
        <v>268</v>
      </c>
      <c r="F731" s="3" t="s">
        <v>33</v>
      </c>
      <c r="G731" s="5">
        <f>IF(ISNUMBER('Main Project Raw Data'!G731),'Main Project Raw Data'!G731,IF(ISNUMBER(SEARCH("/",'Main Project Raw Data'!G731)),DATE(RIGHT('Main Project Raw Data'!G731,4),LEFT('Main Project Raw Data'!G731,FIND("/",'Main Project Raw Data'!G731)-1),MID('Main Project Raw Data'!G731,FIND("/",'Main Project Raw Data'!G731)+1,2)),DATE(RIGHT('Main Project Raw Data'!G731,4),MID('Main Project Raw Data'!G731,4,2),LEFT('Main Project Raw Data'!G731,2))))</f>
        <v>44493</v>
      </c>
      <c r="H731" s="3">
        <f>IF(Table1[[#This Row],[Salary]]="",AVERAGE(Table1[Salary]),Table1[[#This Row],[Salary]])</f>
        <v>97931.66</v>
      </c>
      <c r="I731" s="3" t="s">
        <v>225</v>
      </c>
      <c r="J731" s="3">
        <f>ABS(Table1[[#This Row],[Phone]])</f>
        <v>512080055</v>
      </c>
      <c r="K731" s="3" t="str">
        <f>PROPER(TRIM(Table1[[#This Row],[Performance_Score]]))</f>
        <v>Average</v>
      </c>
      <c r="L731" s="3" t="b">
        <f>Table1[[#This Row],[Remote_Work]]</f>
        <v>1</v>
      </c>
      <c r="M731" s="3" t="str">
        <f>PROPER(CONCATENATE(Table13[[#This Row],[First_Name]], Table13[[#This Row],[Last_Name]]))</f>
        <v>Davidbrown</v>
      </c>
      <c r="N731" s="3" t="str">
        <f t="shared" si="11"/>
        <v>Oct</v>
      </c>
      <c r="O731" s="3" t="str">
        <f>TEXT(Table13[[#This Row],[Join_Date]],"yyyy")</f>
        <v>2021</v>
      </c>
      <c r="P731" s="3" t="str">
        <f>LEFT('Main Project Raw Data'!E731,FIND("-",'Main Project Raw Data'!E731)-1)</f>
        <v>Cloud Tech</v>
      </c>
      <c r="Q731" s="3" t="str">
        <f>RIGHT('Main Project Raw Data'!E731,LEN('Main Project Raw Data'!E731)-FIND("-",'Main Project Raw Data'!E731))</f>
        <v>California</v>
      </c>
    </row>
    <row r="732" spans="1:17" x14ac:dyDescent="0.3">
      <c r="A732" s="3" t="str">
        <f>TRIM(Table1[[#This Row],[Employee_ID]])</f>
        <v>EMP1730</v>
      </c>
      <c r="B732" s="3" t="str">
        <f>TRIM(Table1[[#This Row],[First_Name]])</f>
        <v>Bob</v>
      </c>
      <c r="C732" s="3" t="str">
        <f>TRIM(Table1[[#This Row],[Last_Name]])</f>
        <v>Williams</v>
      </c>
      <c r="D732" s="3">
        <f>IF(Table1[[#This Row],[Age]]="",AVERAGE(Table1[Age]),Table1[[#This Row],[Age]])</f>
        <v>40</v>
      </c>
      <c r="E732" s="3" t="s">
        <v>70</v>
      </c>
      <c r="F732" s="3" t="s">
        <v>33</v>
      </c>
      <c r="G732" s="5">
        <f>IF(ISNUMBER('Main Project Raw Data'!G732),'Main Project Raw Data'!G732,IF(ISNUMBER(SEARCH("/",'Main Project Raw Data'!G732)),DATE(RIGHT('Main Project Raw Data'!G732,4),LEFT('Main Project Raw Data'!G732,FIND("/",'Main Project Raw Data'!G732)-1),MID('Main Project Raw Data'!G732,FIND("/",'Main Project Raw Data'!G732)+1,2)),DATE(RIGHT('Main Project Raw Data'!G732,4),MID('Main Project Raw Data'!G732,4,2),LEFT('Main Project Raw Data'!G732,2))))</f>
        <v>44221</v>
      </c>
      <c r="H732" s="3">
        <f>IF(Table1[[#This Row],[Salary]]="",AVERAGE(Table1[Salary]),Table1[[#This Row],[Salary]])</f>
        <v>72451.69</v>
      </c>
      <c r="I732" s="3" t="s">
        <v>144</v>
      </c>
      <c r="J732" s="3">
        <f>ABS(Table1[[#This Row],[Phone]])</f>
        <v>4099512396</v>
      </c>
      <c r="K732" s="3" t="str">
        <f>PROPER(TRIM(Table1[[#This Row],[Performance_Score]]))</f>
        <v>Poor</v>
      </c>
      <c r="L732" s="3" t="b">
        <f>Table1[[#This Row],[Remote_Work]]</f>
        <v>1</v>
      </c>
      <c r="M732" s="3" t="str">
        <f>PROPER(CONCATENATE(Table13[[#This Row],[First_Name]], Table13[[#This Row],[Last_Name]]))</f>
        <v>Bobwilliams</v>
      </c>
      <c r="N732" s="3" t="str">
        <f t="shared" si="11"/>
        <v>Jan</v>
      </c>
      <c r="O732" s="3" t="str">
        <f>TEXT(Table13[[#This Row],[Join_Date]],"yyyy")</f>
        <v>2021</v>
      </c>
      <c r="P732" s="3" t="str">
        <f>LEFT('Main Project Raw Data'!E732,FIND("-",'Main Project Raw Data'!E732)-1)</f>
        <v>Finance</v>
      </c>
      <c r="Q732" s="3" t="str">
        <f>RIGHT('Main Project Raw Data'!E732,LEN('Main Project Raw Data'!E732)-FIND("-",'Main Project Raw Data'!E732))</f>
        <v>California</v>
      </c>
    </row>
    <row r="733" spans="1:17" x14ac:dyDescent="0.3">
      <c r="A733" s="3" t="str">
        <f>TRIM(Table1[[#This Row],[Employee_ID]])</f>
        <v>EMP1731</v>
      </c>
      <c r="B733" s="3" t="str">
        <f>TRIM(Table1[[#This Row],[First_Name]])</f>
        <v>Alice</v>
      </c>
      <c r="C733" s="3" t="str">
        <f>TRIM(Table1[[#This Row],[Last_Name]])</f>
        <v>Smith</v>
      </c>
      <c r="D733" s="3">
        <f>IF(Table1[[#This Row],[Age]]="",AVERAGE(Table1[Age]),Table1[[#This Row],[Age]])</f>
        <v>35</v>
      </c>
      <c r="E733" s="3" t="s">
        <v>118</v>
      </c>
      <c r="F733" s="3" t="s">
        <v>28</v>
      </c>
      <c r="G733" s="5">
        <f>IF(ISNUMBER('Main Project Raw Data'!G733),'Main Project Raw Data'!G733,IF(ISNUMBER(SEARCH("/",'Main Project Raw Data'!G733)),DATE(RIGHT('Main Project Raw Data'!G733,4),LEFT('Main Project Raw Data'!G733,FIND("/",'Main Project Raw Data'!G733)-1),MID('Main Project Raw Data'!G733,FIND("/",'Main Project Raw Data'!G733)+1,2)),DATE(RIGHT('Main Project Raw Data'!G733,4),MID('Main Project Raw Data'!G733,4,2),LEFT('Main Project Raw Data'!G733,2))))</f>
        <v>45543</v>
      </c>
      <c r="H733" s="3">
        <f>IF(Table1[[#This Row],[Salary]]="",AVERAGE(Table1[Salary]),Table1[[#This Row],[Salary]])</f>
        <v>119311.14</v>
      </c>
      <c r="I733" s="3" t="s">
        <v>182</v>
      </c>
      <c r="J733" s="3">
        <f>ABS(Table1[[#This Row],[Phone]])</f>
        <v>2835129591</v>
      </c>
      <c r="K733" s="3" t="str">
        <f>PROPER(TRIM(Table1[[#This Row],[Performance_Score]]))</f>
        <v>Poor</v>
      </c>
      <c r="L733" s="3" t="b">
        <f>Table1[[#This Row],[Remote_Work]]</f>
        <v>1</v>
      </c>
      <c r="M733" s="3" t="str">
        <f>PROPER(CONCATENATE(Table13[[#This Row],[First_Name]], Table13[[#This Row],[Last_Name]]))</f>
        <v>Alicesmith</v>
      </c>
      <c r="N733" s="3" t="str">
        <f t="shared" si="11"/>
        <v>Sep</v>
      </c>
      <c r="O733" s="3" t="str">
        <f>TEXT(Table13[[#This Row],[Join_Date]],"yyyy")</f>
        <v>2024</v>
      </c>
      <c r="P733" s="3" t="str">
        <f>LEFT('Main Project Raw Data'!E733,FIND("-",'Main Project Raw Data'!E733)-1)</f>
        <v>Admin</v>
      </c>
      <c r="Q733" s="3" t="str">
        <f>RIGHT('Main Project Raw Data'!E733,LEN('Main Project Raw Data'!E733)-FIND("-",'Main Project Raw Data'!E733))</f>
        <v>California</v>
      </c>
    </row>
    <row r="734" spans="1:17" x14ac:dyDescent="0.3">
      <c r="A734" s="3" t="str">
        <f>TRIM(Table1[[#This Row],[Employee_ID]])</f>
        <v>EMP1732</v>
      </c>
      <c r="B734" s="3" t="str">
        <f>TRIM(Table1[[#This Row],[First_Name]])</f>
        <v>Charlie</v>
      </c>
      <c r="C734" s="3" t="str">
        <f>TRIM(Table1[[#This Row],[Last_Name]])</f>
        <v>Smith</v>
      </c>
      <c r="D734" s="3">
        <f>IF(Table1[[#This Row],[Age]]="",AVERAGE(Table1[Age]),Table1[[#This Row],[Age]])</f>
        <v>40</v>
      </c>
      <c r="E734" s="3" t="s">
        <v>60</v>
      </c>
      <c r="F734" s="3" t="s">
        <v>16</v>
      </c>
      <c r="G734" s="5">
        <f>IF(ISNUMBER('Main Project Raw Data'!G734),'Main Project Raw Data'!G734,IF(ISNUMBER(SEARCH("/",'Main Project Raw Data'!G734)),DATE(RIGHT('Main Project Raw Data'!G734,4),LEFT('Main Project Raw Data'!G734,FIND("/",'Main Project Raw Data'!G734)-1),MID('Main Project Raw Data'!G734,FIND("/",'Main Project Raw Data'!G734)+1,2)),DATE(RIGHT('Main Project Raw Data'!G734,4),MID('Main Project Raw Data'!G734,4,2),LEFT('Main Project Raw Data'!G734,2))))</f>
        <v>45027</v>
      </c>
      <c r="H734" s="3">
        <f>IF(Table1[[#This Row],[Salary]]="",AVERAGE(Table1[Salary]),Table1[[#This Row],[Salary]])</f>
        <v>76167.460000000006</v>
      </c>
      <c r="I734" s="3" t="s">
        <v>194</v>
      </c>
      <c r="J734" s="3">
        <f>ABS(Table1[[#This Row],[Phone]])</f>
        <v>7282709080</v>
      </c>
      <c r="K734" s="3" t="str">
        <f>PROPER(TRIM(Table1[[#This Row],[Performance_Score]]))</f>
        <v>Good</v>
      </c>
      <c r="L734" s="3" t="b">
        <f>Table1[[#This Row],[Remote_Work]]</f>
        <v>0</v>
      </c>
      <c r="M734" s="3" t="str">
        <f>PROPER(CONCATENATE(Table13[[#This Row],[First_Name]], Table13[[#This Row],[Last_Name]]))</f>
        <v>Charliesmith</v>
      </c>
      <c r="N734" s="3" t="str">
        <f t="shared" si="11"/>
        <v>Apr</v>
      </c>
      <c r="O734" s="3" t="str">
        <f>TEXT(Table13[[#This Row],[Join_Date]],"yyyy")</f>
        <v>2023</v>
      </c>
      <c r="P734" s="3" t="str">
        <f>LEFT('Main Project Raw Data'!E734,FIND("-",'Main Project Raw Data'!E734)-1)</f>
        <v>Cloud Tech</v>
      </c>
      <c r="Q734" s="3" t="str">
        <f>RIGHT('Main Project Raw Data'!E734,LEN('Main Project Raw Data'!E734)-FIND("-",'Main Project Raw Data'!E734))</f>
        <v>New York</v>
      </c>
    </row>
    <row r="735" spans="1:17" x14ac:dyDescent="0.3">
      <c r="A735" s="3" t="str">
        <f>TRIM(Table1[[#This Row],[Employee_ID]])</f>
        <v>EMP1733</v>
      </c>
      <c r="B735" s="3" t="str">
        <f>TRIM(Table1[[#This Row],[First_Name]])</f>
        <v>Bob</v>
      </c>
      <c r="C735" s="3" t="str">
        <f>TRIM(Table1[[#This Row],[Last_Name]])</f>
        <v>Garcia</v>
      </c>
      <c r="D735" s="3">
        <f>IF(Table1[[#This Row],[Age]]="",AVERAGE(Table1[Age]),Table1[[#This Row],[Age]])</f>
        <v>25</v>
      </c>
      <c r="E735" s="3" t="s">
        <v>237</v>
      </c>
      <c r="F735" s="3" t="s">
        <v>16</v>
      </c>
      <c r="G735" s="5">
        <f>IF(ISNUMBER('Main Project Raw Data'!G735),'Main Project Raw Data'!G735,IF(ISNUMBER(SEARCH("/",'Main Project Raw Data'!G735)),DATE(RIGHT('Main Project Raw Data'!G735,4),LEFT('Main Project Raw Data'!G735,FIND("/",'Main Project Raw Data'!G735)-1),MID('Main Project Raw Data'!G735,FIND("/",'Main Project Raw Data'!G735)+1,2)),DATE(RIGHT('Main Project Raw Data'!G735,4),MID('Main Project Raw Data'!G735,4,2),LEFT('Main Project Raw Data'!G735,2))))</f>
        <v>45102</v>
      </c>
      <c r="H735" s="3">
        <f>IF(Table1[[#This Row],[Salary]]="",AVERAGE(Table1[Salary]),Table1[[#This Row],[Salary]])</f>
        <v>114871.08</v>
      </c>
      <c r="I735" s="3" t="s">
        <v>153</v>
      </c>
      <c r="J735" s="3">
        <f>ABS(Table1[[#This Row],[Phone]])</f>
        <v>4415298216</v>
      </c>
      <c r="K735" s="3" t="str">
        <f>PROPER(TRIM(Table1[[#This Row],[Performance_Score]]))</f>
        <v>Average</v>
      </c>
      <c r="L735" s="3" t="b">
        <f>Table1[[#This Row],[Remote_Work]]</f>
        <v>0</v>
      </c>
      <c r="M735" s="3" t="str">
        <f>PROPER(CONCATENATE(Table13[[#This Row],[First_Name]], Table13[[#This Row],[Last_Name]]))</f>
        <v>Bobgarcia</v>
      </c>
      <c r="N735" s="3" t="str">
        <f t="shared" si="11"/>
        <v>Jun</v>
      </c>
      <c r="O735" s="3" t="str">
        <f>TEXT(Table13[[#This Row],[Join_Date]],"yyyy")</f>
        <v>2023</v>
      </c>
      <c r="P735" s="3" t="str">
        <f>LEFT('Main Project Raw Data'!E735,FIND("-",'Main Project Raw Data'!E735)-1)</f>
        <v>DevOps</v>
      </c>
      <c r="Q735" s="3" t="str">
        <f>RIGHT('Main Project Raw Data'!E735,LEN('Main Project Raw Data'!E735)-FIND("-",'Main Project Raw Data'!E735))</f>
        <v>Texas</v>
      </c>
    </row>
    <row r="736" spans="1:17" x14ac:dyDescent="0.3">
      <c r="A736" s="3" t="str">
        <f>TRIM(Table1[[#This Row],[Employee_ID]])</f>
        <v>EMP1734</v>
      </c>
      <c r="B736" s="3" t="str">
        <f>TRIM(Table1[[#This Row],[First_Name]])</f>
        <v>Eva</v>
      </c>
      <c r="C736" s="3" t="str">
        <f>TRIM(Table1[[#This Row],[Last_Name]])</f>
        <v>Johnson</v>
      </c>
      <c r="D736" s="3">
        <f>IF(Table1[[#This Row],[Age]]="",AVERAGE(Table1[Age]),Table1[[#This Row],[Age]])</f>
        <v>25</v>
      </c>
      <c r="E736" s="3" t="s">
        <v>149</v>
      </c>
      <c r="F736" s="3" t="s">
        <v>16</v>
      </c>
      <c r="G736" s="5">
        <f>IF(ISNUMBER('Main Project Raw Data'!G736),'Main Project Raw Data'!G736,IF(ISNUMBER(SEARCH("/",'Main Project Raw Data'!G736)),DATE(RIGHT('Main Project Raw Data'!G736,4),LEFT('Main Project Raw Data'!G736,FIND("/",'Main Project Raw Data'!G736)-1),MID('Main Project Raw Data'!G736,FIND("/",'Main Project Raw Data'!G736)+1,2)),DATE(RIGHT('Main Project Raw Data'!G736,4),MID('Main Project Raw Data'!G736,4,2),LEFT('Main Project Raw Data'!G736,2))))</f>
        <v>44455</v>
      </c>
      <c r="H736" s="3">
        <f>IF(Table1[[#This Row],[Salary]]="",AVERAGE(Table1[Salary]),Table1[[#This Row],[Salary]])</f>
        <v>81504.31</v>
      </c>
      <c r="I736" s="3" t="s">
        <v>322</v>
      </c>
      <c r="J736" s="3">
        <f>ABS(Table1[[#This Row],[Phone]])</f>
        <v>3929578670</v>
      </c>
      <c r="K736" s="3" t="str">
        <f>PROPER(TRIM(Table1[[#This Row],[Performance_Score]]))</f>
        <v>Excellent</v>
      </c>
      <c r="L736" s="3" t="b">
        <f>Table1[[#This Row],[Remote_Work]]</f>
        <v>0</v>
      </c>
      <c r="M736" s="3" t="str">
        <f>PROPER(CONCATENATE(Table13[[#This Row],[First_Name]], Table13[[#This Row],[Last_Name]]))</f>
        <v>Evajohnson</v>
      </c>
      <c r="N736" s="3" t="str">
        <f t="shared" si="11"/>
        <v>Sep</v>
      </c>
      <c r="O736" s="3" t="str">
        <f>TEXT(Table13[[#This Row],[Join_Date]],"yyyy")</f>
        <v>2021</v>
      </c>
      <c r="P736" s="3" t="str">
        <f>LEFT('Main Project Raw Data'!E736,FIND("-",'Main Project Raw Data'!E736)-1)</f>
        <v>HR</v>
      </c>
      <c r="Q736" s="3" t="str">
        <f>RIGHT('Main Project Raw Data'!E736,LEN('Main Project Raw Data'!E736)-FIND("-",'Main Project Raw Data'!E736))</f>
        <v>Nevada</v>
      </c>
    </row>
    <row r="737" spans="1:17" x14ac:dyDescent="0.3">
      <c r="A737" s="3" t="str">
        <f>TRIM(Table1[[#This Row],[Employee_ID]])</f>
        <v>EMP1735</v>
      </c>
      <c r="B737" s="3" t="str">
        <f>TRIM(Table1[[#This Row],[First_Name]])</f>
        <v>David</v>
      </c>
      <c r="C737" s="3" t="str">
        <f>TRIM(Table1[[#This Row],[Last_Name]])</f>
        <v>Williams</v>
      </c>
      <c r="D737" s="3">
        <f>IF(Table1[[#This Row],[Age]]="",AVERAGE(Table1[Age]),Table1[[#This Row],[Age]])</f>
        <v>32.484548825710753</v>
      </c>
      <c r="E737" s="3" t="s">
        <v>196</v>
      </c>
      <c r="F737" s="3" t="s">
        <v>28</v>
      </c>
      <c r="G737" s="5">
        <f>IF(ISNUMBER('Main Project Raw Data'!G737),'Main Project Raw Data'!G737,IF(ISNUMBER(SEARCH("/",'Main Project Raw Data'!G737)),DATE(RIGHT('Main Project Raw Data'!G737,4),LEFT('Main Project Raw Data'!G737,FIND("/",'Main Project Raw Data'!G737)-1),MID('Main Project Raw Data'!G737,FIND("/",'Main Project Raw Data'!G737)+1,2)),DATE(RIGHT('Main Project Raw Data'!G737,4),MID('Main Project Raw Data'!G737,4,2),LEFT('Main Project Raw Data'!G737,2))))</f>
        <v>44754</v>
      </c>
      <c r="H737" s="3">
        <f>IF(Table1[[#This Row],[Salary]]="",AVERAGE(Table1[Salary]),Table1[[#This Row],[Salary]])</f>
        <v>102524.86</v>
      </c>
      <c r="I737" s="3" t="s">
        <v>61</v>
      </c>
      <c r="J737" s="3">
        <f>ABS(Table1[[#This Row],[Phone]])</f>
        <v>8153523735</v>
      </c>
      <c r="K737" s="3" t="str">
        <f>PROPER(TRIM(Table1[[#This Row],[Performance_Score]]))</f>
        <v>Poor</v>
      </c>
      <c r="L737" s="3" t="b">
        <f>Table1[[#This Row],[Remote_Work]]</f>
        <v>0</v>
      </c>
      <c r="M737" s="3" t="str">
        <f>PROPER(CONCATENATE(Table13[[#This Row],[First_Name]], Table13[[#This Row],[Last_Name]]))</f>
        <v>Davidwilliams</v>
      </c>
      <c r="N737" s="3" t="str">
        <f t="shared" si="11"/>
        <v>Jul</v>
      </c>
      <c r="O737" s="3" t="str">
        <f>TEXT(Table13[[#This Row],[Join_Date]],"yyyy")</f>
        <v>2022</v>
      </c>
      <c r="P737" s="3" t="str">
        <f>LEFT('Main Project Raw Data'!E737,FIND("-",'Main Project Raw Data'!E737)-1)</f>
        <v>Admin</v>
      </c>
      <c r="Q737" s="3" t="str">
        <f>RIGHT('Main Project Raw Data'!E737,LEN('Main Project Raw Data'!E737)-FIND("-",'Main Project Raw Data'!E737))</f>
        <v>New York</v>
      </c>
    </row>
    <row r="738" spans="1:17" x14ac:dyDescent="0.3">
      <c r="A738" s="3" t="str">
        <f>TRIM(Table1[[#This Row],[Employee_ID]])</f>
        <v>EMP1736</v>
      </c>
      <c r="B738" s="3" t="str">
        <f>TRIM(Table1[[#This Row],[First_Name]])</f>
        <v>Charlie</v>
      </c>
      <c r="C738" s="3" t="str">
        <f>TRIM(Table1[[#This Row],[Last_Name]])</f>
        <v>Brown</v>
      </c>
      <c r="D738" s="3">
        <f>IF(Table1[[#This Row],[Age]]="",AVERAGE(Table1[Age]),Table1[[#This Row],[Age]])</f>
        <v>25</v>
      </c>
      <c r="E738" s="3" t="s">
        <v>265</v>
      </c>
      <c r="F738" s="3" t="s">
        <v>28</v>
      </c>
      <c r="G738" s="5">
        <f>IF(ISNUMBER('Main Project Raw Data'!G738),'Main Project Raw Data'!G738,IF(ISNUMBER(SEARCH("/",'Main Project Raw Data'!G738)),DATE(RIGHT('Main Project Raw Data'!G738,4),LEFT('Main Project Raw Data'!G738,FIND("/",'Main Project Raw Data'!G738)-1),MID('Main Project Raw Data'!G738,FIND("/",'Main Project Raw Data'!G738)+1,2)),DATE(RIGHT('Main Project Raw Data'!G738,4),MID('Main Project Raw Data'!G738,4,2),LEFT('Main Project Raw Data'!G738,2))))</f>
        <v>44909</v>
      </c>
      <c r="H738" s="3">
        <f>IF(Table1[[#This Row],[Salary]]="",AVERAGE(Table1[Salary]),Table1[[#This Row],[Salary]])</f>
        <v>53043.74</v>
      </c>
      <c r="I738" s="3" t="s">
        <v>125</v>
      </c>
      <c r="J738" s="3">
        <f>ABS(Table1[[#This Row],[Phone]])</f>
        <v>507918157</v>
      </c>
      <c r="K738" s="3" t="str">
        <f>PROPER(TRIM(Table1[[#This Row],[Performance_Score]]))</f>
        <v>Excellent</v>
      </c>
      <c r="L738" s="3" t="b">
        <f>Table1[[#This Row],[Remote_Work]]</f>
        <v>1</v>
      </c>
      <c r="M738" s="3" t="str">
        <f>PROPER(CONCATENATE(Table13[[#This Row],[First_Name]], Table13[[#This Row],[Last_Name]]))</f>
        <v>Charliebrown</v>
      </c>
      <c r="N738" s="3" t="str">
        <f t="shared" si="11"/>
        <v>Dec</v>
      </c>
      <c r="O738" s="3" t="str">
        <f>TEXT(Table13[[#This Row],[Join_Date]],"yyyy")</f>
        <v>2022</v>
      </c>
      <c r="P738" s="3" t="str">
        <f>LEFT('Main Project Raw Data'!E738,FIND("-",'Main Project Raw Data'!E738)-1)</f>
        <v>Finance</v>
      </c>
      <c r="Q738" s="3" t="str">
        <f>RIGHT('Main Project Raw Data'!E738,LEN('Main Project Raw Data'!E738)-FIND("-",'Main Project Raw Data'!E738))</f>
        <v>Illinois</v>
      </c>
    </row>
    <row r="739" spans="1:17" x14ac:dyDescent="0.3">
      <c r="A739" s="3" t="str">
        <f>TRIM(Table1[[#This Row],[Employee_ID]])</f>
        <v>EMP1737</v>
      </c>
      <c r="B739" s="3" t="str">
        <f>TRIM(Table1[[#This Row],[First_Name]])</f>
        <v>Eva</v>
      </c>
      <c r="C739" s="3" t="str">
        <f>TRIM(Table1[[#This Row],[Last_Name]])</f>
        <v>Jones</v>
      </c>
      <c r="D739" s="3">
        <f>IF(Table1[[#This Row],[Age]]="",AVERAGE(Table1[Age]),Table1[[#This Row],[Age]])</f>
        <v>30</v>
      </c>
      <c r="E739" s="3" t="s">
        <v>78</v>
      </c>
      <c r="F739" s="3" t="s">
        <v>33</v>
      </c>
      <c r="G739" s="5">
        <f>IF(ISNUMBER('Main Project Raw Data'!G739),'Main Project Raw Data'!G739,IF(ISNUMBER(SEARCH("/",'Main Project Raw Data'!G739)),DATE(RIGHT('Main Project Raw Data'!G739,4),LEFT('Main Project Raw Data'!G739,FIND("/",'Main Project Raw Data'!G739)-1),MID('Main Project Raw Data'!G739,FIND("/",'Main Project Raw Data'!G739)+1,2)),DATE(RIGHT('Main Project Raw Data'!G739,4),MID('Main Project Raw Data'!G739,4,2),LEFT('Main Project Raw Data'!G739,2))))</f>
        <v>43939</v>
      </c>
      <c r="H739" s="3">
        <f>IF(Table1[[#This Row],[Salary]]="",AVERAGE(Table1[Salary]),Table1[[#This Row],[Salary]])</f>
        <v>82547.259999999995</v>
      </c>
      <c r="I739" s="3" t="s">
        <v>277</v>
      </c>
      <c r="J739" s="3">
        <f>ABS(Table1[[#This Row],[Phone]])</f>
        <v>9988683451</v>
      </c>
      <c r="K739" s="3" t="str">
        <f>PROPER(TRIM(Table1[[#This Row],[Performance_Score]]))</f>
        <v>Excellent</v>
      </c>
      <c r="L739" s="3" t="b">
        <f>Table1[[#This Row],[Remote_Work]]</f>
        <v>1</v>
      </c>
      <c r="M739" s="3" t="str">
        <f>PROPER(CONCATENATE(Table13[[#This Row],[First_Name]], Table13[[#This Row],[Last_Name]]))</f>
        <v>Evajones</v>
      </c>
      <c r="N739" s="3" t="str">
        <f t="shared" si="11"/>
        <v>Apr</v>
      </c>
      <c r="O739" s="3" t="str">
        <f>TEXT(Table13[[#This Row],[Join_Date]],"yyyy")</f>
        <v>2020</v>
      </c>
      <c r="P739" s="3" t="str">
        <f>LEFT('Main Project Raw Data'!E739,FIND("-",'Main Project Raw Data'!E739)-1)</f>
        <v>DevOps</v>
      </c>
      <c r="Q739" s="3" t="str">
        <f>RIGHT('Main Project Raw Data'!E739,LEN('Main Project Raw Data'!E739)-FIND("-",'Main Project Raw Data'!E739))</f>
        <v>Illinois</v>
      </c>
    </row>
    <row r="740" spans="1:17" x14ac:dyDescent="0.3">
      <c r="A740" s="3" t="str">
        <f>TRIM(Table1[[#This Row],[Employee_ID]])</f>
        <v>EMP1738</v>
      </c>
      <c r="B740" s="3" t="str">
        <f>TRIM(Table1[[#This Row],[First_Name]])</f>
        <v>Bob</v>
      </c>
      <c r="C740" s="3" t="str">
        <f>TRIM(Table1[[#This Row],[Last_Name]])</f>
        <v>Jones</v>
      </c>
      <c r="D740" s="3">
        <f>IF(Table1[[#This Row],[Age]]="",AVERAGE(Table1[Age]),Table1[[#This Row],[Age]])</f>
        <v>40</v>
      </c>
      <c r="E740" s="3" t="s">
        <v>15</v>
      </c>
      <c r="F740" s="3" t="s">
        <v>28</v>
      </c>
      <c r="G740" s="5">
        <f>IF(ISNUMBER('Main Project Raw Data'!G740),'Main Project Raw Data'!G740,IF(ISNUMBER(SEARCH("/",'Main Project Raw Data'!G740)),DATE(RIGHT('Main Project Raw Data'!G740,4),LEFT('Main Project Raw Data'!G740,FIND("/",'Main Project Raw Data'!G740)-1),MID('Main Project Raw Data'!G740,FIND("/",'Main Project Raw Data'!G740)+1,2)),DATE(RIGHT('Main Project Raw Data'!G740,4),MID('Main Project Raw Data'!G740,4,2),LEFT('Main Project Raw Data'!G740,2))))</f>
        <v>45606</v>
      </c>
      <c r="H740" s="3">
        <f>IF(Table1[[#This Row],[Salary]]="",AVERAGE(Table1[Salary]),Table1[[#This Row],[Salary]])</f>
        <v>113900.81</v>
      </c>
      <c r="I740" s="3" t="s">
        <v>50</v>
      </c>
      <c r="J740" s="3">
        <f>ABS(Table1[[#This Row],[Phone]])</f>
        <v>7346666169</v>
      </c>
      <c r="K740" s="3" t="str">
        <f>PROPER(TRIM(Table1[[#This Row],[Performance_Score]]))</f>
        <v>Average</v>
      </c>
      <c r="L740" s="3" t="b">
        <f>Table1[[#This Row],[Remote_Work]]</f>
        <v>1</v>
      </c>
      <c r="M740" s="3" t="str">
        <f>PROPER(CONCATENATE(Table13[[#This Row],[First_Name]], Table13[[#This Row],[Last_Name]]))</f>
        <v>Bobjones</v>
      </c>
      <c r="N740" s="3" t="str">
        <f t="shared" si="11"/>
        <v>Nov</v>
      </c>
      <c r="O740" s="3" t="str">
        <f>TEXT(Table13[[#This Row],[Join_Date]],"yyyy")</f>
        <v>2024</v>
      </c>
      <c r="P740" s="3" t="str">
        <f>LEFT('Main Project Raw Data'!E740,FIND("-",'Main Project Raw Data'!E740)-1)</f>
        <v>DevOps</v>
      </c>
      <c r="Q740" s="3" t="str">
        <f>RIGHT('Main Project Raw Data'!E740,LEN('Main Project Raw Data'!E740)-FIND("-",'Main Project Raw Data'!E740))</f>
        <v>California</v>
      </c>
    </row>
    <row r="741" spans="1:17" x14ac:dyDescent="0.3">
      <c r="A741" s="3" t="str">
        <f>TRIM(Table1[[#This Row],[Employee_ID]])</f>
        <v>EMP1739</v>
      </c>
      <c r="B741" s="3" t="str">
        <f>TRIM(Table1[[#This Row],[First_Name]])</f>
        <v>Bob</v>
      </c>
      <c r="C741" s="3" t="str">
        <f>TRIM(Table1[[#This Row],[Last_Name]])</f>
        <v>Brown</v>
      </c>
      <c r="D741" s="3">
        <f>IF(Table1[[#This Row],[Age]]="",AVERAGE(Table1[Age]),Table1[[#This Row],[Age]])</f>
        <v>25</v>
      </c>
      <c r="E741" s="3" t="s">
        <v>149</v>
      </c>
      <c r="F741" s="3" t="s">
        <v>33</v>
      </c>
      <c r="G741" s="5">
        <f>IF(ISNUMBER('Main Project Raw Data'!G741),'Main Project Raw Data'!G741,IF(ISNUMBER(SEARCH("/",'Main Project Raw Data'!G741)),DATE(RIGHT('Main Project Raw Data'!G741,4),LEFT('Main Project Raw Data'!G741,FIND("/",'Main Project Raw Data'!G741)-1),MID('Main Project Raw Data'!G741,FIND("/",'Main Project Raw Data'!G741)+1,2)),DATE(RIGHT('Main Project Raw Data'!G741,4),MID('Main Project Raw Data'!G741,4,2),LEFT('Main Project Raw Data'!G741,2))))</f>
        <v>44304</v>
      </c>
      <c r="H741" s="3">
        <f>IF(Table1[[#This Row],[Salary]]="",AVERAGE(Table1[Salary]),Table1[[#This Row],[Salary]])</f>
        <v>118585.5</v>
      </c>
      <c r="I741" s="3" t="s">
        <v>22</v>
      </c>
      <c r="J741" s="3">
        <f>ABS(Table1[[#This Row],[Phone]])</f>
        <v>7158796473</v>
      </c>
      <c r="K741" s="3" t="str">
        <f>PROPER(TRIM(Table1[[#This Row],[Performance_Score]]))</f>
        <v>Average</v>
      </c>
      <c r="L741" s="3" t="b">
        <f>Table1[[#This Row],[Remote_Work]]</f>
        <v>1</v>
      </c>
      <c r="M741" s="3" t="str">
        <f>PROPER(CONCATENATE(Table13[[#This Row],[First_Name]], Table13[[#This Row],[Last_Name]]))</f>
        <v>Bobbrown</v>
      </c>
      <c r="N741" s="3" t="str">
        <f t="shared" si="11"/>
        <v>Apr</v>
      </c>
      <c r="O741" s="3" t="str">
        <f>TEXT(Table13[[#This Row],[Join_Date]],"yyyy")</f>
        <v>2021</v>
      </c>
      <c r="P741" s="3" t="str">
        <f>LEFT('Main Project Raw Data'!E741,FIND("-",'Main Project Raw Data'!E741)-1)</f>
        <v>HR</v>
      </c>
      <c r="Q741" s="3" t="str">
        <f>RIGHT('Main Project Raw Data'!E741,LEN('Main Project Raw Data'!E741)-FIND("-",'Main Project Raw Data'!E741))</f>
        <v>Nevada</v>
      </c>
    </row>
    <row r="742" spans="1:17" x14ac:dyDescent="0.3">
      <c r="A742" s="3" t="str">
        <f>TRIM(Table1[[#This Row],[Employee_ID]])</f>
        <v>EMP1740</v>
      </c>
      <c r="B742" s="3" t="str">
        <f>TRIM(Table1[[#This Row],[First_Name]])</f>
        <v>Bob</v>
      </c>
      <c r="C742" s="3" t="str">
        <f>TRIM(Table1[[#This Row],[Last_Name]])</f>
        <v>Davis</v>
      </c>
      <c r="D742" s="3">
        <f>IF(Table1[[#This Row],[Age]]="",AVERAGE(Table1[Age]),Table1[[#This Row],[Age]])</f>
        <v>35</v>
      </c>
      <c r="E742" s="3" t="s">
        <v>265</v>
      </c>
      <c r="F742" s="3" t="s">
        <v>28</v>
      </c>
      <c r="G742" s="5">
        <f>IF(ISNUMBER('Main Project Raw Data'!G742),'Main Project Raw Data'!G742,IF(ISNUMBER(SEARCH("/",'Main Project Raw Data'!G742)),DATE(RIGHT('Main Project Raw Data'!G742,4),LEFT('Main Project Raw Data'!G742,FIND("/",'Main Project Raw Data'!G742)-1),MID('Main Project Raw Data'!G742,FIND("/",'Main Project Raw Data'!G742)+1,2)),DATE(RIGHT('Main Project Raw Data'!G742,4),MID('Main Project Raw Data'!G742,4,2),LEFT('Main Project Raw Data'!G742,2))))</f>
        <v>44011</v>
      </c>
      <c r="H742" s="3">
        <f>IF(Table1[[#This Row],[Salary]]="",AVERAGE(Table1[Salary]),Table1[[#This Row],[Salary]])</f>
        <v>63049.22</v>
      </c>
      <c r="I742" s="3" t="s">
        <v>17</v>
      </c>
      <c r="J742" s="3">
        <f>ABS(Table1[[#This Row],[Phone]])</f>
        <v>803149981</v>
      </c>
      <c r="K742" s="3" t="str">
        <f>PROPER(TRIM(Table1[[#This Row],[Performance_Score]]))</f>
        <v>Poor</v>
      </c>
      <c r="L742" s="3" t="b">
        <f>Table1[[#This Row],[Remote_Work]]</f>
        <v>1</v>
      </c>
      <c r="M742" s="3" t="str">
        <f>PROPER(CONCATENATE(Table13[[#This Row],[First_Name]], Table13[[#This Row],[Last_Name]]))</f>
        <v>Bobdavis</v>
      </c>
      <c r="N742" s="3" t="str">
        <f t="shared" si="11"/>
        <v>Jun</v>
      </c>
      <c r="O742" s="3" t="str">
        <f>TEXT(Table13[[#This Row],[Join_Date]],"yyyy")</f>
        <v>2020</v>
      </c>
      <c r="P742" s="3" t="str">
        <f>LEFT('Main Project Raw Data'!E742,FIND("-",'Main Project Raw Data'!E742)-1)</f>
        <v>Finance</v>
      </c>
      <c r="Q742" s="3" t="str">
        <f>RIGHT('Main Project Raw Data'!E742,LEN('Main Project Raw Data'!E742)-FIND("-",'Main Project Raw Data'!E742))</f>
        <v>Illinois</v>
      </c>
    </row>
    <row r="743" spans="1:17" x14ac:dyDescent="0.3">
      <c r="A743" s="3" t="str">
        <f>TRIM(Table1[[#This Row],[Employee_ID]])</f>
        <v>EMP1741</v>
      </c>
      <c r="B743" s="3" t="str">
        <f>TRIM(Table1[[#This Row],[First_Name]])</f>
        <v>Heidi</v>
      </c>
      <c r="C743" s="3" t="str">
        <f>TRIM(Table1[[#This Row],[Last_Name]])</f>
        <v>Miller</v>
      </c>
      <c r="D743" s="3">
        <f>IF(Table1[[#This Row],[Age]]="",AVERAGE(Table1[Age]),Table1[[#This Row],[Age]])</f>
        <v>32.484548825710753</v>
      </c>
      <c r="E743" s="3" t="s">
        <v>237</v>
      </c>
      <c r="F743" s="3" t="s">
        <v>16</v>
      </c>
      <c r="G743" s="5">
        <f>IF(ISNUMBER('Main Project Raw Data'!G743),'Main Project Raw Data'!G743,IF(ISNUMBER(SEARCH("/",'Main Project Raw Data'!G743)),DATE(RIGHT('Main Project Raw Data'!G743,4),LEFT('Main Project Raw Data'!G743,FIND("/",'Main Project Raw Data'!G743)-1),MID('Main Project Raw Data'!G743,FIND("/",'Main Project Raw Data'!G743)+1,2)),DATE(RIGHT('Main Project Raw Data'!G743,4),MID('Main Project Raw Data'!G743,4,2),LEFT('Main Project Raw Data'!G743,2))))</f>
        <v>44337</v>
      </c>
      <c r="H743" s="3">
        <f>IF(Table1[[#This Row],[Salary]]="",AVERAGE(Table1[Salary]),Table1[[#This Row],[Salary]])</f>
        <v>114558.91</v>
      </c>
      <c r="I743" s="3" t="s">
        <v>130</v>
      </c>
      <c r="J743" s="3">
        <f>ABS(Table1[[#This Row],[Phone]])</f>
        <v>5080046357</v>
      </c>
      <c r="K743" s="3" t="str">
        <f>PROPER(TRIM(Table1[[#This Row],[Performance_Score]]))</f>
        <v>Average</v>
      </c>
      <c r="L743" s="3" t="b">
        <f>Table1[[#This Row],[Remote_Work]]</f>
        <v>0</v>
      </c>
      <c r="M743" s="3" t="str">
        <f>PROPER(CONCATENATE(Table13[[#This Row],[First_Name]], Table13[[#This Row],[Last_Name]]))</f>
        <v>Heidimiller</v>
      </c>
      <c r="N743" s="3" t="str">
        <f t="shared" si="11"/>
        <v>May</v>
      </c>
      <c r="O743" s="3" t="str">
        <f>TEXT(Table13[[#This Row],[Join_Date]],"yyyy")</f>
        <v>2021</v>
      </c>
      <c r="P743" s="3" t="str">
        <f>LEFT('Main Project Raw Data'!E743,FIND("-",'Main Project Raw Data'!E743)-1)</f>
        <v>DevOps</v>
      </c>
      <c r="Q743" s="3" t="str">
        <f>RIGHT('Main Project Raw Data'!E743,LEN('Main Project Raw Data'!E743)-FIND("-",'Main Project Raw Data'!E743))</f>
        <v>Texas</v>
      </c>
    </row>
    <row r="744" spans="1:17" x14ac:dyDescent="0.3">
      <c r="A744" s="3" t="str">
        <f>TRIM(Table1[[#This Row],[Employee_ID]])</f>
        <v>EMP1742</v>
      </c>
      <c r="B744" s="3" t="str">
        <f>TRIM(Table1[[#This Row],[First_Name]])</f>
        <v>Heidi</v>
      </c>
      <c r="C744" s="3" t="str">
        <f>TRIM(Table1[[#This Row],[Last_Name]])</f>
        <v>Johnson</v>
      </c>
      <c r="D744" s="3">
        <f>IF(Table1[[#This Row],[Age]]="",AVERAGE(Table1[Age]),Table1[[#This Row],[Age]])</f>
        <v>40</v>
      </c>
      <c r="E744" s="3" t="s">
        <v>56</v>
      </c>
      <c r="F744" s="3" t="s">
        <v>16</v>
      </c>
      <c r="G744" s="5">
        <f>IF(ISNUMBER('Main Project Raw Data'!G744),'Main Project Raw Data'!G744,IF(ISNUMBER(SEARCH("/",'Main Project Raw Data'!G744)),DATE(RIGHT('Main Project Raw Data'!G744,4),LEFT('Main Project Raw Data'!G744,FIND("/",'Main Project Raw Data'!G744)-1),MID('Main Project Raw Data'!G744,FIND("/",'Main Project Raw Data'!G744)+1,2)),DATE(RIGHT('Main Project Raw Data'!G744,4),MID('Main Project Raw Data'!G744,4,2),LEFT('Main Project Raw Data'!G744,2))))</f>
        <v>44512</v>
      </c>
      <c r="H744" s="3">
        <f>IF(Table1[[#This Row],[Salary]]="",AVERAGE(Table1[Salary]),Table1[[#This Row],[Salary]])</f>
        <v>97901.79</v>
      </c>
      <c r="I744" s="3" t="s">
        <v>113</v>
      </c>
      <c r="J744" s="3">
        <f>ABS(Table1[[#This Row],[Phone]])</f>
        <v>688285030</v>
      </c>
      <c r="K744" s="3" t="str">
        <f>PROPER(TRIM(Table1[[#This Row],[Performance_Score]]))</f>
        <v>Average</v>
      </c>
      <c r="L744" s="3" t="b">
        <f>Table1[[#This Row],[Remote_Work]]</f>
        <v>1</v>
      </c>
      <c r="M744" s="3" t="str">
        <f>PROPER(CONCATENATE(Table13[[#This Row],[First_Name]], Table13[[#This Row],[Last_Name]]))</f>
        <v>Heidijohnson</v>
      </c>
      <c r="N744" s="3" t="str">
        <f t="shared" si="11"/>
        <v>Nov</v>
      </c>
      <c r="O744" s="3" t="str">
        <f>TEXT(Table13[[#This Row],[Join_Date]],"yyyy")</f>
        <v>2021</v>
      </c>
      <c r="P744" s="3" t="str">
        <f>LEFT('Main Project Raw Data'!E744,FIND("-",'Main Project Raw Data'!E744)-1)</f>
        <v>DevOps</v>
      </c>
      <c r="Q744" s="3" t="str">
        <f>RIGHT('Main Project Raw Data'!E744,LEN('Main Project Raw Data'!E744)-FIND("-",'Main Project Raw Data'!E744))</f>
        <v>New York</v>
      </c>
    </row>
    <row r="745" spans="1:17" x14ac:dyDescent="0.3">
      <c r="A745" s="3" t="str">
        <f>TRIM(Table1[[#This Row],[Employee_ID]])</f>
        <v>EMP1743</v>
      </c>
      <c r="B745" s="3" t="str">
        <f>TRIM(Table1[[#This Row],[First_Name]])</f>
        <v>Eva</v>
      </c>
      <c r="C745" s="3" t="str">
        <f>TRIM(Table1[[#This Row],[Last_Name]])</f>
        <v>Jones</v>
      </c>
      <c r="D745" s="3">
        <f>IF(Table1[[#This Row],[Age]]="",AVERAGE(Table1[Age]),Table1[[#This Row],[Age]])</f>
        <v>30</v>
      </c>
      <c r="E745" s="3" t="s">
        <v>177</v>
      </c>
      <c r="F745" s="3" t="s">
        <v>16</v>
      </c>
      <c r="G745" s="5">
        <f>IF(ISNUMBER('Main Project Raw Data'!G745),'Main Project Raw Data'!G745,IF(ISNUMBER(SEARCH("/",'Main Project Raw Data'!G745)),DATE(RIGHT('Main Project Raw Data'!G745,4),LEFT('Main Project Raw Data'!G745,FIND("/",'Main Project Raw Data'!G745)-1),MID('Main Project Raw Data'!G745,FIND("/",'Main Project Raw Data'!G745)+1,2)),DATE(RIGHT('Main Project Raw Data'!G745,4),MID('Main Project Raw Data'!G745,4,2),LEFT('Main Project Raw Data'!G745,2))))</f>
        <v>45053</v>
      </c>
      <c r="H745" s="3">
        <f>IF(Table1[[#This Row],[Salary]]="",AVERAGE(Table1[Salary]),Table1[[#This Row],[Salary]])</f>
        <v>68037.56</v>
      </c>
      <c r="I745" s="3" t="s">
        <v>277</v>
      </c>
      <c r="J745" s="3">
        <f>ABS(Table1[[#This Row],[Phone]])</f>
        <v>7235137398</v>
      </c>
      <c r="K745" s="3" t="str">
        <f>PROPER(TRIM(Table1[[#This Row],[Performance_Score]]))</f>
        <v>Average</v>
      </c>
      <c r="L745" s="3" t="b">
        <f>Table1[[#This Row],[Remote_Work]]</f>
        <v>0</v>
      </c>
      <c r="M745" s="3" t="str">
        <f>PROPER(CONCATENATE(Table13[[#This Row],[First_Name]], Table13[[#This Row],[Last_Name]]))</f>
        <v>Evajones</v>
      </c>
      <c r="N745" s="3" t="str">
        <f t="shared" si="11"/>
        <v>May</v>
      </c>
      <c r="O745" s="3" t="str">
        <f>TEXT(Table13[[#This Row],[Join_Date]],"yyyy")</f>
        <v>2023</v>
      </c>
      <c r="P745" s="3" t="str">
        <f>LEFT('Main Project Raw Data'!E745,FIND("-",'Main Project Raw Data'!E745)-1)</f>
        <v>Sales</v>
      </c>
      <c r="Q745" s="3" t="str">
        <f>RIGHT('Main Project Raw Data'!E745,LEN('Main Project Raw Data'!E745)-FIND("-",'Main Project Raw Data'!E745))</f>
        <v>California</v>
      </c>
    </row>
    <row r="746" spans="1:17" x14ac:dyDescent="0.3">
      <c r="A746" s="3" t="str">
        <f>TRIM(Table1[[#This Row],[Employee_ID]])</f>
        <v>EMP1744</v>
      </c>
      <c r="B746" s="3" t="str">
        <f>TRIM(Table1[[#This Row],[First_Name]])</f>
        <v>Alice</v>
      </c>
      <c r="C746" s="3" t="str">
        <f>TRIM(Table1[[#This Row],[Last_Name]])</f>
        <v>Williams</v>
      </c>
      <c r="D746" s="3">
        <f>IF(Table1[[#This Row],[Age]]="",AVERAGE(Table1[Age]),Table1[[#This Row],[Age]])</f>
        <v>32.484548825710753</v>
      </c>
      <c r="E746" s="3" t="s">
        <v>66</v>
      </c>
      <c r="F746" s="3" t="s">
        <v>16</v>
      </c>
      <c r="G746" s="5">
        <f>IF(ISNUMBER('Main Project Raw Data'!G746),'Main Project Raw Data'!G746,IF(ISNUMBER(SEARCH("/",'Main Project Raw Data'!G746)),DATE(RIGHT('Main Project Raw Data'!G746,4),LEFT('Main Project Raw Data'!G746,FIND("/",'Main Project Raw Data'!G746)-1),MID('Main Project Raw Data'!G746,FIND("/",'Main Project Raw Data'!G746)+1,2)),DATE(RIGHT('Main Project Raw Data'!G746,4),MID('Main Project Raw Data'!G746,4,2),LEFT('Main Project Raw Data'!G746,2))))</f>
        <v>44530</v>
      </c>
      <c r="H746" s="3">
        <f>IF(Table1[[#This Row],[Salary]]="",AVERAGE(Table1[Salary]),Table1[[#This Row],[Salary]])</f>
        <v>112802.27</v>
      </c>
      <c r="I746" s="3" t="s">
        <v>362</v>
      </c>
      <c r="J746" s="3">
        <f>ABS(Table1[[#This Row],[Phone]])</f>
        <v>63140351</v>
      </c>
      <c r="K746" s="3" t="str">
        <f>PROPER(TRIM(Table1[[#This Row],[Performance_Score]]))</f>
        <v>Excellent</v>
      </c>
      <c r="L746" s="3" t="b">
        <f>Table1[[#This Row],[Remote_Work]]</f>
        <v>0</v>
      </c>
      <c r="M746" s="3" t="str">
        <f>PROPER(CONCATENATE(Table13[[#This Row],[First_Name]], Table13[[#This Row],[Last_Name]]))</f>
        <v>Alicewilliams</v>
      </c>
      <c r="N746" s="3" t="str">
        <f t="shared" si="11"/>
        <v>Nov</v>
      </c>
      <c r="O746" s="3" t="str">
        <f>TEXT(Table13[[#This Row],[Join_Date]],"yyyy")</f>
        <v>2021</v>
      </c>
      <c r="P746" s="3" t="str">
        <f>LEFT('Main Project Raw Data'!E746,FIND("-",'Main Project Raw Data'!E746)-1)</f>
        <v>HR</v>
      </c>
      <c r="Q746" s="3" t="str">
        <f>RIGHT('Main Project Raw Data'!E746,LEN('Main Project Raw Data'!E746)-FIND("-",'Main Project Raw Data'!E746))</f>
        <v>New York</v>
      </c>
    </row>
    <row r="747" spans="1:17" x14ac:dyDescent="0.3">
      <c r="A747" s="3" t="str">
        <f>TRIM(Table1[[#This Row],[Employee_ID]])</f>
        <v>EMP1745</v>
      </c>
      <c r="B747" s="3" t="str">
        <f>TRIM(Table1[[#This Row],[First_Name]])</f>
        <v>Bob</v>
      </c>
      <c r="C747" s="3" t="str">
        <f>TRIM(Table1[[#This Row],[Last_Name]])</f>
        <v>Johnson</v>
      </c>
      <c r="D747" s="3">
        <f>IF(Table1[[#This Row],[Age]]="",AVERAGE(Table1[Age]),Table1[[#This Row],[Age]])</f>
        <v>40</v>
      </c>
      <c r="E747" s="3" t="s">
        <v>219</v>
      </c>
      <c r="F747" s="3" t="s">
        <v>28</v>
      </c>
      <c r="G747" s="5">
        <f>IF(ISNUMBER('Main Project Raw Data'!G747),'Main Project Raw Data'!G747,IF(ISNUMBER(SEARCH("/",'Main Project Raw Data'!G747)),DATE(RIGHT('Main Project Raw Data'!G747,4),LEFT('Main Project Raw Data'!G747,FIND("/",'Main Project Raw Data'!G747)-1),MID('Main Project Raw Data'!G747,FIND("/",'Main Project Raw Data'!G747)+1,2)),DATE(RIGHT('Main Project Raw Data'!G747,4),MID('Main Project Raw Data'!G747,4,2),LEFT('Main Project Raw Data'!G747,2))))</f>
        <v>45618</v>
      </c>
      <c r="H747" s="3">
        <f>IF(Table1[[#This Row],[Salary]]="",AVERAGE(Table1[Salary]),Table1[[#This Row],[Salary]])</f>
        <v>93786.72</v>
      </c>
      <c r="I747" s="3" t="s">
        <v>199</v>
      </c>
      <c r="J747" s="3">
        <f>ABS(Table1[[#This Row],[Phone]])</f>
        <v>6356022938</v>
      </c>
      <c r="K747" s="3" t="str">
        <f>PROPER(TRIM(Table1[[#This Row],[Performance_Score]]))</f>
        <v>Poor</v>
      </c>
      <c r="L747" s="3" t="b">
        <f>Table1[[#This Row],[Remote_Work]]</f>
        <v>0</v>
      </c>
      <c r="M747" s="3" t="str">
        <f>PROPER(CONCATENATE(Table13[[#This Row],[First_Name]], Table13[[#This Row],[Last_Name]]))</f>
        <v>Bobjohnson</v>
      </c>
      <c r="N747" s="3" t="str">
        <f t="shared" si="11"/>
        <v>Nov</v>
      </c>
      <c r="O747" s="3" t="str">
        <f>TEXT(Table13[[#This Row],[Join_Date]],"yyyy")</f>
        <v>2024</v>
      </c>
      <c r="P747" s="3" t="str">
        <f>LEFT('Main Project Raw Data'!E747,FIND("-",'Main Project Raw Data'!E747)-1)</f>
        <v>Sales</v>
      </c>
      <c r="Q747" s="3" t="str">
        <f>RIGHT('Main Project Raw Data'!E747,LEN('Main Project Raw Data'!E747)-FIND("-",'Main Project Raw Data'!E747))</f>
        <v>Nevada</v>
      </c>
    </row>
    <row r="748" spans="1:17" x14ac:dyDescent="0.3">
      <c r="A748" s="3" t="str">
        <f>TRIM(Table1[[#This Row],[Employee_ID]])</f>
        <v>EMP1746</v>
      </c>
      <c r="B748" s="3" t="str">
        <f>TRIM(Table1[[#This Row],[First_Name]])</f>
        <v>David</v>
      </c>
      <c r="C748" s="3" t="str">
        <f>TRIM(Table1[[#This Row],[Last_Name]])</f>
        <v>Williams</v>
      </c>
      <c r="D748" s="3">
        <f>IF(Table1[[#This Row],[Age]]="",AVERAGE(Table1[Age]),Table1[[#This Row],[Age]])</f>
        <v>32.484548825710753</v>
      </c>
      <c r="E748" s="3" t="s">
        <v>205</v>
      </c>
      <c r="F748" s="3" t="s">
        <v>33</v>
      </c>
      <c r="G748" s="5">
        <f>IF(ISNUMBER('Main Project Raw Data'!G748),'Main Project Raw Data'!G748,IF(ISNUMBER(SEARCH("/",'Main Project Raw Data'!G748)),DATE(RIGHT('Main Project Raw Data'!G748,4),LEFT('Main Project Raw Data'!G748,FIND("/",'Main Project Raw Data'!G748)-1),MID('Main Project Raw Data'!G748,FIND("/",'Main Project Raw Data'!G748)+1,2)),DATE(RIGHT('Main Project Raw Data'!G748,4),MID('Main Project Raw Data'!G748,4,2),LEFT('Main Project Raw Data'!G748,2))))</f>
        <v>45070</v>
      </c>
      <c r="H748" s="3">
        <f>IF(Table1[[#This Row],[Salary]]="",AVERAGE(Table1[Salary]),Table1[[#This Row],[Salary]])</f>
        <v>73049.929999999993</v>
      </c>
      <c r="I748" s="3" t="s">
        <v>61</v>
      </c>
      <c r="J748" s="3">
        <f>ABS(Table1[[#This Row],[Phone]])</f>
        <v>4694346065</v>
      </c>
      <c r="K748" s="3" t="str">
        <f>PROPER(TRIM(Table1[[#This Row],[Performance_Score]]))</f>
        <v>Good</v>
      </c>
      <c r="L748" s="3" t="b">
        <f>Table1[[#This Row],[Remote_Work]]</f>
        <v>0</v>
      </c>
      <c r="M748" s="3" t="str">
        <f>PROPER(CONCATENATE(Table13[[#This Row],[First_Name]], Table13[[#This Row],[Last_Name]]))</f>
        <v>Davidwilliams</v>
      </c>
      <c r="N748" s="3" t="str">
        <f t="shared" si="11"/>
        <v>May</v>
      </c>
      <c r="O748" s="3" t="str">
        <f>TEXT(Table13[[#This Row],[Join_Date]],"yyyy")</f>
        <v>2023</v>
      </c>
      <c r="P748" s="3" t="str">
        <f>LEFT('Main Project Raw Data'!E748,FIND("-",'Main Project Raw Data'!E748)-1)</f>
        <v>Admin</v>
      </c>
      <c r="Q748" s="3" t="str">
        <f>RIGHT('Main Project Raw Data'!E748,LEN('Main Project Raw Data'!E748)-FIND("-",'Main Project Raw Data'!E748))</f>
        <v>Florida</v>
      </c>
    </row>
    <row r="749" spans="1:17" x14ac:dyDescent="0.3">
      <c r="A749" s="3" t="str">
        <f>TRIM(Table1[[#This Row],[Employee_ID]])</f>
        <v>EMP1747</v>
      </c>
      <c r="B749" s="3" t="str">
        <f>TRIM(Table1[[#This Row],[First_Name]])</f>
        <v>David</v>
      </c>
      <c r="C749" s="3" t="str">
        <f>TRIM(Table1[[#This Row],[Last_Name]])</f>
        <v>Davis</v>
      </c>
      <c r="D749" s="3">
        <f>IF(Table1[[#This Row],[Age]]="",AVERAGE(Table1[Age]),Table1[[#This Row],[Age]])</f>
        <v>30</v>
      </c>
      <c r="E749" s="3" t="s">
        <v>98</v>
      </c>
      <c r="F749" s="3" t="s">
        <v>28</v>
      </c>
      <c r="G749" s="5">
        <f>IF(ISNUMBER('Main Project Raw Data'!G749),'Main Project Raw Data'!G749,IF(ISNUMBER(SEARCH("/",'Main Project Raw Data'!G749)),DATE(RIGHT('Main Project Raw Data'!G749,4),LEFT('Main Project Raw Data'!G749,FIND("/",'Main Project Raw Data'!G749)-1),MID('Main Project Raw Data'!G749,FIND("/",'Main Project Raw Data'!G749)+1,2)),DATE(RIGHT('Main Project Raw Data'!G749,4),MID('Main Project Raw Data'!G749,4,2),LEFT('Main Project Raw Data'!G749,2))))</f>
        <v>45469</v>
      </c>
      <c r="H749" s="3">
        <f>IF(Table1[[#This Row],[Salary]]="",AVERAGE(Table1[Salary]),Table1[[#This Row],[Salary]])</f>
        <v>64161.72</v>
      </c>
      <c r="I749" s="3" t="s">
        <v>63</v>
      </c>
      <c r="J749" s="3">
        <f>ABS(Table1[[#This Row],[Phone]])</f>
        <v>6437490606</v>
      </c>
      <c r="K749" s="3" t="str">
        <f>PROPER(TRIM(Table1[[#This Row],[Performance_Score]]))</f>
        <v>Excellent</v>
      </c>
      <c r="L749" s="3" t="b">
        <f>Table1[[#This Row],[Remote_Work]]</f>
        <v>1</v>
      </c>
      <c r="M749" s="3" t="str">
        <f>PROPER(CONCATENATE(Table13[[#This Row],[First_Name]], Table13[[#This Row],[Last_Name]]))</f>
        <v>Daviddavis</v>
      </c>
      <c r="N749" s="3" t="str">
        <f t="shared" si="11"/>
        <v>Jun</v>
      </c>
      <c r="O749" s="3" t="str">
        <f>TEXT(Table13[[#This Row],[Join_Date]],"yyyy")</f>
        <v>2024</v>
      </c>
      <c r="P749" s="3" t="str">
        <f>LEFT('Main Project Raw Data'!E749,FIND("-",'Main Project Raw Data'!E749)-1)</f>
        <v>Sales</v>
      </c>
      <c r="Q749" s="3" t="str">
        <f>RIGHT('Main Project Raw Data'!E749,LEN('Main Project Raw Data'!E749)-FIND("-",'Main Project Raw Data'!E749))</f>
        <v>Illinois</v>
      </c>
    </row>
    <row r="750" spans="1:17" x14ac:dyDescent="0.3">
      <c r="A750" s="3" t="str">
        <f>TRIM(Table1[[#This Row],[Employee_ID]])</f>
        <v>EMP1748</v>
      </c>
      <c r="B750" s="3" t="str">
        <f>TRIM(Table1[[#This Row],[First_Name]])</f>
        <v>Charlie</v>
      </c>
      <c r="C750" s="3" t="str">
        <f>TRIM(Table1[[#This Row],[Last_Name]])</f>
        <v>Smith</v>
      </c>
      <c r="D750" s="3">
        <f>IF(Table1[[#This Row],[Age]]="",AVERAGE(Table1[Age]),Table1[[#This Row],[Age]])</f>
        <v>40</v>
      </c>
      <c r="E750" s="3" t="s">
        <v>27</v>
      </c>
      <c r="F750" s="3" t="s">
        <v>28</v>
      </c>
      <c r="G750" s="5">
        <f>IF(ISNUMBER('Main Project Raw Data'!G750),'Main Project Raw Data'!G750,IF(ISNUMBER(SEARCH("/",'Main Project Raw Data'!G750)),DATE(RIGHT('Main Project Raw Data'!G750,4),LEFT('Main Project Raw Data'!G750,FIND("/",'Main Project Raw Data'!G750)-1),MID('Main Project Raw Data'!G750,FIND("/",'Main Project Raw Data'!G750)+1,2)),DATE(RIGHT('Main Project Raw Data'!G750,4),MID('Main Project Raw Data'!G750,4,2),LEFT('Main Project Raw Data'!G750,2))))</f>
        <v>44154</v>
      </c>
      <c r="H750" s="3">
        <f>IF(Table1[[#This Row],[Salary]]="",AVERAGE(Table1[Salary]),Table1[[#This Row],[Salary]])</f>
        <v>72224.73</v>
      </c>
      <c r="I750" s="3" t="s">
        <v>194</v>
      </c>
      <c r="J750" s="3">
        <f>ABS(Table1[[#This Row],[Phone]])</f>
        <v>2311127127</v>
      </c>
      <c r="K750" s="3" t="str">
        <f>PROPER(TRIM(Table1[[#This Row],[Performance_Score]]))</f>
        <v>Average</v>
      </c>
      <c r="L750" s="3" t="b">
        <f>Table1[[#This Row],[Remote_Work]]</f>
        <v>0</v>
      </c>
      <c r="M750" s="3" t="str">
        <f>PROPER(CONCATENATE(Table13[[#This Row],[First_Name]], Table13[[#This Row],[Last_Name]]))</f>
        <v>Charliesmith</v>
      </c>
      <c r="N750" s="3" t="str">
        <f t="shared" si="11"/>
        <v>Nov</v>
      </c>
      <c r="O750" s="3" t="str">
        <f>TEXT(Table13[[#This Row],[Join_Date]],"yyyy")</f>
        <v>2020</v>
      </c>
      <c r="P750" s="3" t="str">
        <f>LEFT('Main Project Raw Data'!E750,FIND("-",'Main Project Raw Data'!E750)-1)</f>
        <v>Admin</v>
      </c>
      <c r="Q750" s="3" t="str">
        <f>RIGHT('Main Project Raw Data'!E750,LEN('Main Project Raw Data'!E750)-FIND("-",'Main Project Raw Data'!E750))</f>
        <v>Nevada</v>
      </c>
    </row>
    <row r="751" spans="1:17" x14ac:dyDescent="0.3">
      <c r="A751" s="3" t="str">
        <f>TRIM(Table1[[#This Row],[Employee_ID]])</f>
        <v>EMP1749</v>
      </c>
      <c r="B751" s="3" t="str">
        <f>TRIM(Table1[[#This Row],[First_Name]])</f>
        <v>Bob</v>
      </c>
      <c r="C751" s="3" t="str">
        <f>TRIM(Table1[[#This Row],[Last_Name]])</f>
        <v>Johnson</v>
      </c>
      <c r="D751" s="3">
        <f>IF(Table1[[#This Row],[Age]]="",AVERAGE(Table1[Age]),Table1[[#This Row],[Age]])</f>
        <v>30</v>
      </c>
      <c r="E751" s="3" t="s">
        <v>66</v>
      </c>
      <c r="F751" s="3" t="s">
        <v>28</v>
      </c>
      <c r="G751" s="5">
        <f>IF(ISNUMBER('Main Project Raw Data'!G751),'Main Project Raw Data'!G751,IF(ISNUMBER(SEARCH("/",'Main Project Raw Data'!G751)),DATE(RIGHT('Main Project Raw Data'!G751,4),LEFT('Main Project Raw Data'!G751,FIND("/",'Main Project Raw Data'!G751)-1),MID('Main Project Raw Data'!G751,FIND("/",'Main Project Raw Data'!G751)+1,2)),DATE(RIGHT('Main Project Raw Data'!G751,4),MID('Main Project Raw Data'!G751,4,2),LEFT('Main Project Raw Data'!G751,2))))</f>
        <v>43833</v>
      </c>
      <c r="H751" s="3">
        <f>IF(Table1[[#This Row],[Salary]]="",AVERAGE(Table1[Salary]),Table1[[#This Row],[Salary]])</f>
        <v>103580.45</v>
      </c>
      <c r="I751" s="3" t="s">
        <v>199</v>
      </c>
      <c r="J751" s="3">
        <f>ABS(Table1[[#This Row],[Phone]])</f>
        <v>5246484493</v>
      </c>
      <c r="K751" s="3" t="str">
        <f>PROPER(TRIM(Table1[[#This Row],[Performance_Score]]))</f>
        <v>Excellent</v>
      </c>
      <c r="L751" s="3" t="b">
        <f>Table1[[#This Row],[Remote_Work]]</f>
        <v>0</v>
      </c>
      <c r="M751" s="3" t="str">
        <f>PROPER(CONCATENATE(Table13[[#This Row],[First_Name]], Table13[[#This Row],[Last_Name]]))</f>
        <v>Bobjohnson</v>
      </c>
      <c r="N751" s="3" t="str">
        <f t="shared" si="11"/>
        <v>Jan</v>
      </c>
      <c r="O751" s="3" t="str">
        <f>TEXT(Table13[[#This Row],[Join_Date]],"yyyy")</f>
        <v>2020</v>
      </c>
      <c r="P751" s="3" t="str">
        <f>LEFT('Main Project Raw Data'!E751,FIND("-",'Main Project Raw Data'!E751)-1)</f>
        <v>HR</v>
      </c>
      <c r="Q751" s="3" t="str">
        <f>RIGHT('Main Project Raw Data'!E751,LEN('Main Project Raw Data'!E751)-FIND("-",'Main Project Raw Data'!E751))</f>
        <v>New York</v>
      </c>
    </row>
    <row r="752" spans="1:17" x14ac:dyDescent="0.3">
      <c r="A752" s="3" t="str">
        <f>TRIM(Table1[[#This Row],[Employee_ID]])</f>
        <v>EMP1750</v>
      </c>
      <c r="B752" s="3" t="str">
        <f>TRIM(Table1[[#This Row],[First_Name]])</f>
        <v>Grace</v>
      </c>
      <c r="C752" s="3" t="str">
        <f>TRIM(Table1[[#This Row],[Last_Name]])</f>
        <v>Garcia</v>
      </c>
      <c r="D752" s="3">
        <f>IF(Table1[[#This Row],[Age]]="",AVERAGE(Table1[Age]),Table1[[#This Row],[Age]])</f>
        <v>40</v>
      </c>
      <c r="E752" s="3" t="s">
        <v>212</v>
      </c>
      <c r="F752" s="3" t="s">
        <v>28</v>
      </c>
      <c r="G752" s="5">
        <f>IF(ISNUMBER('Main Project Raw Data'!G752),'Main Project Raw Data'!G752,IF(ISNUMBER(SEARCH("/",'Main Project Raw Data'!G752)),DATE(RIGHT('Main Project Raw Data'!G752,4),LEFT('Main Project Raw Data'!G752,FIND("/",'Main Project Raw Data'!G752)-1),MID('Main Project Raw Data'!G752,FIND("/",'Main Project Raw Data'!G752)+1,2)),DATE(RIGHT('Main Project Raw Data'!G752,4),MID('Main Project Raw Data'!G752,4,2),LEFT('Main Project Raw Data'!G752,2))))</f>
        <v>45543</v>
      </c>
      <c r="H752" s="3">
        <f>IF(Table1[[#This Row],[Salary]]="",AVERAGE(Table1[Salary]),Table1[[#This Row],[Salary]])</f>
        <v>112589.11</v>
      </c>
      <c r="I752" s="3" t="s">
        <v>83</v>
      </c>
      <c r="J752" s="3">
        <f>ABS(Table1[[#This Row],[Phone]])</f>
        <v>1163187327</v>
      </c>
      <c r="K752" s="3" t="str">
        <f>PROPER(TRIM(Table1[[#This Row],[Performance_Score]]))</f>
        <v>Average</v>
      </c>
      <c r="L752" s="3" t="b">
        <f>Table1[[#This Row],[Remote_Work]]</f>
        <v>0</v>
      </c>
      <c r="M752" s="3" t="str">
        <f>PROPER(CONCATENATE(Table13[[#This Row],[First_Name]], Table13[[#This Row],[Last_Name]]))</f>
        <v>Gracegarcia</v>
      </c>
      <c r="N752" s="3" t="str">
        <f t="shared" si="11"/>
        <v>Sep</v>
      </c>
      <c r="O752" s="3" t="str">
        <f>TEXT(Table13[[#This Row],[Join_Date]],"yyyy")</f>
        <v>2024</v>
      </c>
      <c r="P752" s="3" t="str">
        <f>LEFT('Main Project Raw Data'!E752,FIND("-",'Main Project Raw Data'!E752)-1)</f>
        <v>HR</v>
      </c>
      <c r="Q752" s="3" t="str">
        <f>RIGHT('Main Project Raw Data'!E752,LEN('Main Project Raw Data'!E752)-FIND("-",'Main Project Raw Data'!E752))</f>
        <v>Florida</v>
      </c>
    </row>
    <row r="753" spans="1:17" x14ac:dyDescent="0.3">
      <c r="A753" s="3" t="str">
        <f>TRIM(Table1[[#This Row],[Employee_ID]])</f>
        <v>EMP1751</v>
      </c>
      <c r="B753" s="3" t="str">
        <f>TRIM(Table1[[#This Row],[First_Name]])</f>
        <v>Eva</v>
      </c>
      <c r="C753" s="3" t="str">
        <f>TRIM(Table1[[#This Row],[Last_Name]])</f>
        <v>Jones</v>
      </c>
      <c r="D753" s="3">
        <f>IF(Table1[[#This Row],[Age]]="",AVERAGE(Table1[Age]),Table1[[#This Row],[Age]])</f>
        <v>30</v>
      </c>
      <c r="E753" s="3" t="s">
        <v>103</v>
      </c>
      <c r="F753" s="3" t="s">
        <v>16</v>
      </c>
      <c r="G753" s="5">
        <f>IF(ISNUMBER('Main Project Raw Data'!G753),'Main Project Raw Data'!G753,IF(ISNUMBER(SEARCH("/",'Main Project Raw Data'!G753)),DATE(RIGHT('Main Project Raw Data'!G753,4),LEFT('Main Project Raw Data'!G753,FIND("/",'Main Project Raw Data'!G753)-1),MID('Main Project Raw Data'!G753,FIND("/",'Main Project Raw Data'!G753)+1,2)),DATE(RIGHT('Main Project Raw Data'!G753,4),MID('Main Project Raw Data'!G753,4,2),LEFT('Main Project Raw Data'!G753,2))))</f>
        <v>44209</v>
      </c>
      <c r="H753" s="3">
        <f>IF(Table1[[#This Row],[Salary]]="",AVERAGE(Table1[Salary]),Table1[[#This Row],[Salary]])</f>
        <v>51833.88</v>
      </c>
      <c r="I753" s="3" t="s">
        <v>277</v>
      </c>
      <c r="J753" s="3">
        <f>ABS(Table1[[#This Row],[Phone]])</f>
        <v>771130620</v>
      </c>
      <c r="K753" s="3" t="str">
        <f>PROPER(TRIM(Table1[[#This Row],[Performance_Score]]))</f>
        <v>Average</v>
      </c>
      <c r="L753" s="3" t="b">
        <f>Table1[[#This Row],[Remote_Work]]</f>
        <v>1</v>
      </c>
      <c r="M753" s="3" t="str">
        <f>PROPER(CONCATENATE(Table13[[#This Row],[First_Name]], Table13[[#This Row],[Last_Name]]))</f>
        <v>Evajones</v>
      </c>
      <c r="N753" s="3" t="str">
        <f t="shared" si="11"/>
        <v>Jan</v>
      </c>
      <c r="O753" s="3" t="str">
        <f>TEXT(Table13[[#This Row],[Join_Date]],"yyyy")</f>
        <v>2021</v>
      </c>
      <c r="P753" s="3" t="str">
        <f>LEFT('Main Project Raw Data'!E753,FIND("-",'Main Project Raw Data'!E753)-1)</f>
        <v>Admin</v>
      </c>
      <c r="Q753" s="3" t="str">
        <f>RIGHT('Main Project Raw Data'!E753,LEN('Main Project Raw Data'!E753)-FIND("-",'Main Project Raw Data'!E753))</f>
        <v>Texas</v>
      </c>
    </row>
    <row r="754" spans="1:17" x14ac:dyDescent="0.3">
      <c r="A754" s="3" t="str">
        <f>TRIM(Table1[[#This Row],[Employee_ID]])</f>
        <v>EMP1752</v>
      </c>
      <c r="B754" s="3" t="str">
        <f>TRIM(Table1[[#This Row],[First_Name]])</f>
        <v>Eva</v>
      </c>
      <c r="C754" s="3" t="str">
        <f>TRIM(Table1[[#This Row],[Last_Name]])</f>
        <v>Johnson</v>
      </c>
      <c r="D754" s="3">
        <f>IF(Table1[[#This Row],[Age]]="",AVERAGE(Table1[Age]),Table1[[#This Row],[Age]])</f>
        <v>32.484548825710753</v>
      </c>
      <c r="E754" s="3" t="s">
        <v>98</v>
      </c>
      <c r="F754" s="3" t="s">
        <v>16</v>
      </c>
      <c r="G754" s="5">
        <f>IF(ISNUMBER('Main Project Raw Data'!G754),'Main Project Raw Data'!G754,IF(ISNUMBER(SEARCH("/",'Main Project Raw Data'!G754)),DATE(RIGHT('Main Project Raw Data'!G754,4),LEFT('Main Project Raw Data'!G754,FIND("/",'Main Project Raw Data'!G754)-1),MID('Main Project Raw Data'!G754,FIND("/",'Main Project Raw Data'!G754)+1,2)),DATE(RIGHT('Main Project Raw Data'!G754,4),MID('Main Project Raw Data'!G754,4,2),LEFT('Main Project Raw Data'!G754,2))))</f>
        <v>45082</v>
      </c>
      <c r="H754" s="3">
        <f>IF(Table1[[#This Row],[Salary]]="",AVERAGE(Table1[Salary]),Table1[[#This Row],[Salary]])</f>
        <v>66252.78</v>
      </c>
      <c r="I754" s="3" t="s">
        <v>322</v>
      </c>
      <c r="J754" s="3">
        <f>ABS(Table1[[#This Row],[Phone]])</f>
        <v>1369572789</v>
      </c>
      <c r="K754" s="3" t="str">
        <f>PROPER(TRIM(Table1[[#This Row],[Performance_Score]]))</f>
        <v>Excellent</v>
      </c>
      <c r="L754" s="3" t="b">
        <f>Table1[[#This Row],[Remote_Work]]</f>
        <v>1</v>
      </c>
      <c r="M754" s="3" t="str">
        <f>PROPER(CONCATENATE(Table13[[#This Row],[First_Name]], Table13[[#This Row],[Last_Name]]))</f>
        <v>Evajohnson</v>
      </c>
      <c r="N754" s="3" t="str">
        <f t="shared" si="11"/>
        <v>Jun</v>
      </c>
      <c r="O754" s="3" t="str">
        <f>TEXT(Table13[[#This Row],[Join_Date]],"yyyy")</f>
        <v>2023</v>
      </c>
      <c r="P754" s="3" t="str">
        <f>LEFT('Main Project Raw Data'!E754,FIND("-",'Main Project Raw Data'!E754)-1)</f>
        <v>Sales</v>
      </c>
      <c r="Q754" s="3" t="str">
        <f>RIGHT('Main Project Raw Data'!E754,LEN('Main Project Raw Data'!E754)-FIND("-",'Main Project Raw Data'!E754))</f>
        <v>Illinois</v>
      </c>
    </row>
    <row r="755" spans="1:17" x14ac:dyDescent="0.3">
      <c r="A755" s="3" t="str">
        <f>TRIM(Table1[[#This Row],[Employee_ID]])</f>
        <v>EMP1753</v>
      </c>
      <c r="B755" s="3" t="str">
        <f>TRIM(Table1[[#This Row],[First_Name]])</f>
        <v>Frank</v>
      </c>
      <c r="C755" s="3" t="str">
        <f>TRIM(Table1[[#This Row],[Last_Name]])</f>
        <v>Johnson</v>
      </c>
      <c r="D755" s="3">
        <f>IF(Table1[[#This Row],[Age]]="",AVERAGE(Table1[Age]),Table1[[#This Row],[Age]])</f>
        <v>25</v>
      </c>
      <c r="E755" s="3" t="s">
        <v>230</v>
      </c>
      <c r="F755" s="3" t="s">
        <v>16</v>
      </c>
      <c r="G755" s="5">
        <f>IF(ISNUMBER('Main Project Raw Data'!G755),'Main Project Raw Data'!G755,IF(ISNUMBER(SEARCH("/",'Main Project Raw Data'!G755)),DATE(RIGHT('Main Project Raw Data'!G755,4),LEFT('Main Project Raw Data'!G755,FIND("/",'Main Project Raw Data'!G755)-1),MID('Main Project Raw Data'!G755,FIND("/",'Main Project Raw Data'!G755)+1,2)),DATE(RIGHT('Main Project Raw Data'!G755,4),MID('Main Project Raw Data'!G755,4,2),LEFT('Main Project Raw Data'!G755,2))))</f>
        <v>44859</v>
      </c>
      <c r="H755" s="3">
        <f>IF(Table1[[#This Row],[Salary]]="",AVERAGE(Table1[Salary]),Table1[[#This Row],[Salary]])</f>
        <v>109229.68</v>
      </c>
      <c r="I755" s="3" t="s">
        <v>271</v>
      </c>
      <c r="J755" s="3">
        <f>ABS(Table1[[#This Row],[Phone]])</f>
        <v>8335090253</v>
      </c>
      <c r="K755" s="3" t="str">
        <f>PROPER(TRIM(Table1[[#This Row],[Performance_Score]]))</f>
        <v>Poor</v>
      </c>
      <c r="L755" s="3" t="b">
        <f>Table1[[#This Row],[Remote_Work]]</f>
        <v>1</v>
      </c>
      <c r="M755" s="3" t="str">
        <f>PROPER(CONCATENATE(Table13[[#This Row],[First_Name]], Table13[[#This Row],[Last_Name]]))</f>
        <v>Frankjohnson</v>
      </c>
      <c r="N755" s="3" t="str">
        <f t="shared" si="11"/>
        <v>Oct</v>
      </c>
      <c r="O755" s="3" t="str">
        <f>TEXT(Table13[[#This Row],[Join_Date]],"yyyy")</f>
        <v>2022</v>
      </c>
      <c r="P755" s="3" t="str">
        <f>LEFT('Main Project Raw Data'!E755,FIND("-",'Main Project Raw Data'!E755)-1)</f>
        <v>DevOps</v>
      </c>
      <c r="Q755" s="3" t="str">
        <f>RIGHT('Main Project Raw Data'!E755,LEN('Main Project Raw Data'!E755)-FIND("-",'Main Project Raw Data'!E755))</f>
        <v>Florida</v>
      </c>
    </row>
    <row r="756" spans="1:17" x14ac:dyDescent="0.3">
      <c r="A756" s="3" t="str">
        <f>TRIM(Table1[[#This Row],[Employee_ID]])</f>
        <v>EMP1754</v>
      </c>
      <c r="B756" s="3" t="str">
        <f>TRIM(Table1[[#This Row],[First_Name]])</f>
        <v>Frank</v>
      </c>
      <c r="C756" s="3" t="str">
        <f>TRIM(Table1[[#This Row],[Last_Name]])</f>
        <v>Johnson</v>
      </c>
      <c r="D756" s="3">
        <f>IF(Table1[[#This Row],[Age]]="",AVERAGE(Table1[Age]),Table1[[#This Row],[Age]])</f>
        <v>30</v>
      </c>
      <c r="E756" s="3" t="s">
        <v>112</v>
      </c>
      <c r="F756" s="3" t="s">
        <v>33</v>
      </c>
      <c r="G756" s="5">
        <f>IF(ISNUMBER('Main Project Raw Data'!G756),'Main Project Raw Data'!G756,IF(ISNUMBER(SEARCH("/",'Main Project Raw Data'!G756)),DATE(RIGHT('Main Project Raw Data'!G756,4),LEFT('Main Project Raw Data'!G756,FIND("/",'Main Project Raw Data'!G756)-1),MID('Main Project Raw Data'!G756,FIND("/",'Main Project Raw Data'!G756)+1,2)),DATE(RIGHT('Main Project Raw Data'!G756,4),MID('Main Project Raw Data'!G756,4,2),LEFT('Main Project Raw Data'!G756,2))))</f>
        <v>44053</v>
      </c>
      <c r="H756" s="3">
        <f>IF(Table1[[#This Row],[Salary]]="",AVERAGE(Table1[Salary]),Table1[[#This Row],[Salary]])</f>
        <v>61465.05</v>
      </c>
      <c r="I756" s="3" t="s">
        <v>271</v>
      </c>
      <c r="J756" s="3">
        <f>ABS(Table1[[#This Row],[Phone]])</f>
        <v>2573066247</v>
      </c>
      <c r="K756" s="3" t="str">
        <f>PROPER(TRIM(Table1[[#This Row],[Performance_Score]]))</f>
        <v>Average</v>
      </c>
      <c r="L756" s="3" t="b">
        <f>Table1[[#This Row],[Remote_Work]]</f>
        <v>0</v>
      </c>
      <c r="M756" s="3" t="str">
        <f>PROPER(CONCATENATE(Table13[[#This Row],[First_Name]], Table13[[#This Row],[Last_Name]]))</f>
        <v>Frankjohnson</v>
      </c>
      <c r="N756" s="3" t="str">
        <f t="shared" si="11"/>
        <v>Aug</v>
      </c>
      <c r="O756" s="3" t="str">
        <f>TEXT(Table13[[#This Row],[Join_Date]],"yyyy")</f>
        <v>2020</v>
      </c>
      <c r="P756" s="3" t="str">
        <f>LEFT('Main Project Raw Data'!E756,FIND("-",'Main Project Raw Data'!E756)-1)</f>
        <v>Finance</v>
      </c>
      <c r="Q756" s="3" t="str">
        <f>RIGHT('Main Project Raw Data'!E756,LEN('Main Project Raw Data'!E756)-FIND("-",'Main Project Raw Data'!E756))</f>
        <v>Florida</v>
      </c>
    </row>
    <row r="757" spans="1:17" x14ac:dyDescent="0.3">
      <c r="A757" s="3" t="str">
        <f>TRIM(Table1[[#This Row],[Employee_ID]])</f>
        <v>EMP1755</v>
      </c>
      <c r="B757" s="3" t="str">
        <f>TRIM(Table1[[#This Row],[First_Name]])</f>
        <v>Grace</v>
      </c>
      <c r="C757" s="3" t="str">
        <f>TRIM(Table1[[#This Row],[Last_Name]])</f>
        <v>Miller</v>
      </c>
      <c r="D757" s="3">
        <f>IF(Table1[[#This Row],[Age]]="",AVERAGE(Table1[Age]),Table1[[#This Row],[Age]])</f>
        <v>25</v>
      </c>
      <c r="E757" s="3" t="s">
        <v>212</v>
      </c>
      <c r="F757" s="3" t="s">
        <v>16</v>
      </c>
      <c r="G757" s="5">
        <f>IF(ISNUMBER('Main Project Raw Data'!G757),'Main Project Raw Data'!G757,IF(ISNUMBER(SEARCH("/",'Main Project Raw Data'!G757)),DATE(RIGHT('Main Project Raw Data'!G757,4),LEFT('Main Project Raw Data'!G757,FIND("/",'Main Project Raw Data'!G757)-1),MID('Main Project Raw Data'!G757,FIND("/",'Main Project Raw Data'!G757)+1,2)),DATE(RIGHT('Main Project Raw Data'!G757,4),MID('Main Project Raw Data'!G757,4,2),LEFT('Main Project Raw Data'!G757,2))))</f>
        <v>45351</v>
      </c>
      <c r="H757" s="3">
        <f>IF(Table1[[#This Row],[Salary]]="",AVERAGE(Table1[Salary]),Table1[[#This Row],[Salary]])</f>
        <v>96993.74</v>
      </c>
      <c r="I757" s="3" t="s">
        <v>168</v>
      </c>
      <c r="J757" s="3">
        <f>ABS(Table1[[#This Row],[Phone]])</f>
        <v>1323570712</v>
      </c>
      <c r="K757" s="3" t="str">
        <f>PROPER(TRIM(Table1[[#This Row],[Performance_Score]]))</f>
        <v>Poor</v>
      </c>
      <c r="L757" s="3" t="b">
        <f>Table1[[#This Row],[Remote_Work]]</f>
        <v>0</v>
      </c>
      <c r="M757" s="3" t="str">
        <f>PROPER(CONCATENATE(Table13[[#This Row],[First_Name]], Table13[[#This Row],[Last_Name]]))</f>
        <v>Gracemiller</v>
      </c>
      <c r="N757" s="3" t="str">
        <f t="shared" si="11"/>
        <v>Feb</v>
      </c>
      <c r="O757" s="3" t="str">
        <f>TEXT(Table13[[#This Row],[Join_Date]],"yyyy")</f>
        <v>2024</v>
      </c>
      <c r="P757" s="3" t="str">
        <f>LEFT('Main Project Raw Data'!E757,FIND("-",'Main Project Raw Data'!E757)-1)</f>
        <v>HR</v>
      </c>
      <c r="Q757" s="3" t="str">
        <f>RIGHT('Main Project Raw Data'!E757,LEN('Main Project Raw Data'!E757)-FIND("-",'Main Project Raw Data'!E757))</f>
        <v>Florida</v>
      </c>
    </row>
    <row r="758" spans="1:17" x14ac:dyDescent="0.3">
      <c r="A758" s="3" t="str">
        <f>TRIM(Table1[[#This Row],[Employee_ID]])</f>
        <v>EMP1756</v>
      </c>
      <c r="B758" s="3" t="str">
        <f>TRIM(Table1[[#This Row],[First_Name]])</f>
        <v>David</v>
      </c>
      <c r="C758" s="3" t="str">
        <f>TRIM(Table1[[#This Row],[Last_Name]])</f>
        <v>Johnson</v>
      </c>
      <c r="D758" s="3">
        <f>IF(Table1[[#This Row],[Age]]="",AVERAGE(Table1[Age]),Table1[[#This Row],[Age]])</f>
        <v>25</v>
      </c>
      <c r="E758" s="3" t="s">
        <v>205</v>
      </c>
      <c r="F758" s="3" t="s">
        <v>28</v>
      </c>
      <c r="G758" s="5">
        <f>IF(ISNUMBER('Main Project Raw Data'!G758),'Main Project Raw Data'!G758,IF(ISNUMBER(SEARCH("/",'Main Project Raw Data'!G758)),DATE(RIGHT('Main Project Raw Data'!G758,4),LEFT('Main Project Raw Data'!G758,FIND("/",'Main Project Raw Data'!G758)-1),MID('Main Project Raw Data'!G758,FIND("/",'Main Project Raw Data'!G758)+1,2)),DATE(RIGHT('Main Project Raw Data'!G758,4),MID('Main Project Raw Data'!G758,4,2),LEFT('Main Project Raw Data'!G758,2))))</f>
        <v>44834</v>
      </c>
      <c r="H758" s="3">
        <f>IF(Table1[[#This Row],[Salary]]="",AVERAGE(Table1[Salary]),Table1[[#This Row],[Salary]])</f>
        <v>98150.39</v>
      </c>
      <c r="I758" s="3" t="s">
        <v>217</v>
      </c>
      <c r="J758" s="3">
        <f>ABS(Table1[[#This Row],[Phone]])</f>
        <v>9848228500</v>
      </c>
      <c r="K758" s="3" t="str">
        <f>PROPER(TRIM(Table1[[#This Row],[Performance_Score]]))</f>
        <v>Good</v>
      </c>
      <c r="L758" s="3" t="b">
        <f>Table1[[#This Row],[Remote_Work]]</f>
        <v>1</v>
      </c>
      <c r="M758" s="3" t="str">
        <f>PROPER(CONCATENATE(Table13[[#This Row],[First_Name]], Table13[[#This Row],[Last_Name]]))</f>
        <v>Davidjohnson</v>
      </c>
      <c r="N758" s="3" t="str">
        <f t="shared" si="11"/>
        <v>Sep</v>
      </c>
      <c r="O758" s="3" t="str">
        <f>TEXT(Table13[[#This Row],[Join_Date]],"yyyy")</f>
        <v>2022</v>
      </c>
      <c r="P758" s="3" t="str">
        <f>LEFT('Main Project Raw Data'!E758,FIND("-",'Main Project Raw Data'!E758)-1)</f>
        <v>Admin</v>
      </c>
      <c r="Q758" s="3" t="str">
        <f>RIGHT('Main Project Raw Data'!E758,LEN('Main Project Raw Data'!E758)-FIND("-",'Main Project Raw Data'!E758))</f>
        <v>Florida</v>
      </c>
    </row>
    <row r="759" spans="1:17" x14ac:dyDescent="0.3">
      <c r="A759" s="3" t="str">
        <f>TRIM(Table1[[#This Row],[Employee_ID]])</f>
        <v>EMP1757</v>
      </c>
      <c r="B759" s="3" t="str">
        <f>TRIM(Table1[[#This Row],[First_Name]])</f>
        <v>David</v>
      </c>
      <c r="C759" s="3" t="str">
        <f>TRIM(Table1[[#This Row],[Last_Name]])</f>
        <v>Williams</v>
      </c>
      <c r="D759" s="3">
        <f>IF(Table1[[#This Row],[Age]]="",AVERAGE(Table1[Age]),Table1[[#This Row],[Age]])</f>
        <v>40</v>
      </c>
      <c r="E759" s="3" t="s">
        <v>21</v>
      </c>
      <c r="F759" s="3" t="s">
        <v>28</v>
      </c>
      <c r="G759" s="5">
        <f>IF(ISNUMBER('Main Project Raw Data'!G759),'Main Project Raw Data'!G759,IF(ISNUMBER(SEARCH("/",'Main Project Raw Data'!G759)),DATE(RIGHT('Main Project Raw Data'!G759,4),LEFT('Main Project Raw Data'!G759,FIND("/",'Main Project Raw Data'!G759)-1),MID('Main Project Raw Data'!G759,FIND("/",'Main Project Raw Data'!G759)+1,2)),DATE(RIGHT('Main Project Raw Data'!G759,4),MID('Main Project Raw Data'!G759,4,2),LEFT('Main Project Raw Data'!G759,2))))</f>
        <v>45336</v>
      </c>
      <c r="H759" s="3">
        <f>IF(Table1[[#This Row],[Salary]]="",AVERAGE(Table1[Salary]),Table1[[#This Row],[Salary]])</f>
        <v>107703</v>
      </c>
      <c r="I759" s="3" t="s">
        <v>61</v>
      </c>
      <c r="J759" s="3">
        <f>ABS(Table1[[#This Row],[Phone]])</f>
        <v>1688092549</v>
      </c>
      <c r="K759" s="3" t="str">
        <f>PROPER(TRIM(Table1[[#This Row],[Performance_Score]]))</f>
        <v>Average</v>
      </c>
      <c r="L759" s="3" t="b">
        <f>Table1[[#This Row],[Remote_Work]]</f>
        <v>0</v>
      </c>
      <c r="M759" s="3" t="str">
        <f>PROPER(CONCATENATE(Table13[[#This Row],[First_Name]], Table13[[#This Row],[Last_Name]]))</f>
        <v>Davidwilliams</v>
      </c>
      <c r="N759" s="3" t="str">
        <f t="shared" si="11"/>
        <v>Feb</v>
      </c>
      <c r="O759" s="3" t="str">
        <f>TEXT(Table13[[#This Row],[Join_Date]],"yyyy")</f>
        <v>2024</v>
      </c>
      <c r="P759" s="3" t="str">
        <f>LEFT('Main Project Raw Data'!E759,FIND("-",'Main Project Raw Data'!E759)-1)</f>
        <v>Finance</v>
      </c>
      <c r="Q759" s="3" t="str">
        <f>RIGHT('Main Project Raw Data'!E759,LEN('Main Project Raw Data'!E759)-FIND("-",'Main Project Raw Data'!E759))</f>
        <v>Texas</v>
      </c>
    </row>
    <row r="760" spans="1:17" x14ac:dyDescent="0.3">
      <c r="A760" s="3" t="str">
        <f>TRIM(Table1[[#This Row],[Employee_ID]])</f>
        <v>EMP1758</v>
      </c>
      <c r="B760" s="3" t="str">
        <f>TRIM(Table1[[#This Row],[First_Name]])</f>
        <v>Grace</v>
      </c>
      <c r="C760" s="3" t="str">
        <f>TRIM(Table1[[#This Row],[Last_Name]])</f>
        <v>Smith</v>
      </c>
      <c r="D760" s="3">
        <f>IF(Table1[[#This Row],[Age]]="",AVERAGE(Table1[Age]),Table1[[#This Row],[Age]])</f>
        <v>32.484548825710753</v>
      </c>
      <c r="E760" s="3" t="s">
        <v>78</v>
      </c>
      <c r="F760" s="3" t="s">
        <v>28</v>
      </c>
      <c r="G760" s="5">
        <f>IF(ISNUMBER('Main Project Raw Data'!G760),'Main Project Raw Data'!G760,IF(ISNUMBER(SEARCH("/",'Main Project Raw Data'!G760)),DATE(RIGHT('Main Project Raw Data'!G760,4),LEFT('Main Project Raw Data'!G760,FIND("/",'Main Project Raw Data'!G760)-1),MID('Main Project Raw Data'!G760,FIND("/",'Main Project Raw Data'!G760)+1,2)),DATE(RIGHT('Main Project Raw Data'!G760,4),MID('Main Project Raw Data'!G760,4,2),LEFT('Main Project Raw Data'!G760,2))))</f>
        <v>44986</v>
      </c>
      <c r="H760" s="3">
        <f>IF(Table1[[#This Row],[Salary]]="",AVERAGE(Table1[Salary]),Table1[[#This Row],[Salary]])</f>
        <v>86766.14</v>
      </c>
      <c r="I760" s="3" t="s">
        <v>135</v>
      </c>
      <c r="J760" s="3">
        <f>ABS(Table1[[#This Row],[Phone]])</f>
        <v>2130609068</v>
      </c>
      <c r="K760" s="3" t="str">
        <f>PROPER(TRIM(Table1[[#This Row],[Performance_Score]]))</f>
        <v>Poor</v>
      </c>
      <c r="L760" s="3" t="b">
        <f>Table1[[#This Row],[Remote_Work]]</f>
        <v>1</v>
      </c>
      <c r="M760" s="3" t="str">
        <f>PROPER(CONCATENATE(Table13[[#This Row],[First_Name]], Table13[[#This Row],[Last_Name]]))</f>
        <v>Gracesmith</v>
      </c>
      <c r="N760" s="3" t="str">
        <f t="shared" si="11"/>
        <v>Mar</v>
      </c>
      <c r="O760" s="3" t="str">
        <f>TEXT(Table13[[#This Row],[Join_Date]],"yyyy")</f>
        <v>2023</v>
      </c>
      <c r="P760" s="3" t="str">
        <f>LEFT('Main Project Raw Data'!E760,FIND("-",'Main Project Raw Data'!E760)-1)</f>
        <v>DevOps</v>
      </c>
      <c r="Q760" s="3" t="str">
        <f>RIGHT('Main Project Raw Data'!E760,LEN('Main Project Raw Data'!E760)-FIND("-",'Main Project Raw Data'!E760))</f>
        <v>Illinois</v>
      </c>
    </row>
    <row r="761" spans="1:17" x14ac:dyDescent="0.3">
      <c r="A761" s="3" t="str">
        <f>TRIM(Table1[[#This Row],[Employee_ID]])</f>
        <v>EMP1759</v>
      </c>
      <c r="B761" s="3" t="str">
        <f>TRIM(Table1[[#This Row],[First_Name]])</f>
        <v>Alice</v>
      </c>
      <c r="C761" s="3" t="str">
        <f>TRIM(Table1[[#This Row],[Last_Name]])</f>
        <v>Davis</v>
      </c>
      <c r="D761" s="3">
        <f>IF(Table1[[#This Row],[Age]]="",AVERAGE(Table1[Age]),Table1[[#This Row],[Age]])</f>
        <v>32.484548825710753</v>
      </c>
      <c r="E761" s="3" t="s">
        <v>39</v>
      </c>
      <c r="F761" s="3" t="s">
        <v>33</v>
      </c>
      <c r="G761" s="5">
        <f>IF(ISNUMBER('Main Project Raw Data'!G761),'Main Project Raw Data'!G761,IF(ISNUMBER(SEARCH("/",'Main Project Raw Data'!G761)),DATE(RIGHT('Main Project Raw Data'!G761,4),LEFT('Main Project Raw Data'!G761,FIND("/",'Main Project Raw Data'!G761)-1),MID('Main Project Raw Data'!G761,FIND("/",'Main Project Raw Data'!G761)+1,2)),DATE(RIGHT('Main Project Raw Data'!G761,4),MID('Main Project Raw Data'!G761,4,2),LEFT('Main Project Raw Data'!G761,2))))</f>
        <v>45524</v>
      </c>
      <c r="H761" s="3">
        <f>IF(Table1[[#This Row],[Salary]]="",AVERAGE(Table1[Salary]),Table1[[#This Row],[Salary]])</f>
        <v>111443.69</v>
      </c>
      <c r="I761" s="3" t="s">
        <v>163</v>
      </c>
      <c r="J761" s="3">
        <f>ABS(Table1[[#This Row],[Phone]])</f>
        <v>1309810795</v>
      </c>
      <c r="K761" s="3" t="str">
        <f>PROPER(TRIM(Table1[[#This Row],[Performance_Score]]))</f>
        <v>Poor</v>
      </c>
      <c r="L761" s="3" t="b">
        <f>Table1[[#This Row],[Remote_Work]]</f>
        <v>1</v>
      </c>
      <c r="M761" s="3" t="str">
        <f>PROPER(CONCATENATE(Table13[[#This Row],[First_Name]], Table13[[#This Row],[Last_Name]]))</f>
        <v>Alicedavis</v>
      </c>
      <c r="N761" s="3" t="str">
        <f t="shared" si="11"/>
        <v>Aug</v>
      </c>
      <c r="O761" s="3" t="str">
        <f>TEXT(Table13[[#This Row],[Join_Date]],"yyyy")</f>
        <v>2024</v>
      </c>
      <c r="P761" s="3" t="str">
        <f>LEFT('Main Project Raw Data'!E761,FIND("-",'Main Project Raw Data'!E761)-1)</f>
        <v>Cloud Tech</v>
      </c>
      <c r="Q761" s="3" t="str">
        <f>RIGHT('Main Project Raw Data'!E761,LEN('Main Project Raw Data'!E761)-FIND("-",'Main Project Raw Data'!E761))</f>
        <v>Florida</v>
      </c>
    </row>
    <row r="762" spans="1:17" x14ac:dyDescent="0.3">
      <c r="A762" s="3" t="str">
        <f>TRIM(Table1[[#This Row],[Employee_ID]])</f>
        <v>EMP1760</v>
      </c>
      <c r="B762" s="3" t="str">
        <f>TRIM(Table1[[#This Row],[First_Name]])</f>
        <v>David</v>
      </c>
      <c r="C762" s="3" t="str">
        <f>TRIM(Table1[[#This Row],[Last_Name]])</f>
        <v>Brown</v>
      </c>
      <c r="D762" s="3">
        <f>IF(Table1[[#This Row],[Age]]="",AVERAGE(Table1[Age]),Table1[[#This Row],[Age]])</f>
        <v>32.484548825710753</v>
      </c>
      <c r="E762" s="3" t="s">
        <v>74</v>
      </c>
      <c r="F762" s="3" t="s">
        <v>28</v>
      </c>
      <c r="G762" s="5">
        <f>IF(ISNUMBER('Main Project Raw Data'!G762),'Main Project Raw Data'!G762,IF(ISNUMBER(SEARCH("/",'Main Project Raw Data'!G762)),DATE(RIGHT('Main Project Raw Data'!G762,4),LEFT('Main Project Raw Data'!G762,FIND("/",'Main Project Raw Data'!G762)-1),MID('Main Project Raw Data'!G762,FIND("/",'Main Project Raw Data'!G762)+1,2)),DATE(RIGHT('Main Project Raw Data'!G762,4),MID('Main Project Raw Data'!G762,4,2),LEFT('Main Project Raw Data'!G762,2))))</f>
        <v>43911</v>
      </c>
      <c r="H762" s="3">
        <f>IF(Table1[[#This Row],[Salary]]="",AVERAGE(Table1[Salary]),Table1[[#This Row],[Salary]])</f>
        <v>89039.07</v>
      </c>
      <c r="I762" s="3" t="s">
        <v>225</v>
      </c>
      <c r="J762" s="3">
        <f>ABS(Table1[[#This Row],[Phone]])</f>
        <v>4967379456</v>
      </c>
      <c r="K762" s="3" t="str">
        <f>PROPER(TRIM(Table1[[#This Row],[Performance_Score]]))</f>
        <v>Good</v>
      </c>
      <c r="L762" s="3" t="b">
        <f>Table1[[#This Row],[Remote_Work]]</f>
        <v>0</v>
      </c>
      <c r="M762" s="3" t="str">
        <f>PROPER(CONCATENATE(Table13[[#This Row],[First_Name]], Table13[[#This Row],[Last_Name]]))</f>
        <v>Davidbrown</v>
      </c>
      <c r="N762" s="3" t="str">
        <f t="shared" si="11"/>
        <v>Mar</v>
      </c>
      <c r="O762" s="3" t="str">
        <f>TEXT(Table13[[#This Row],[Join_Date]],"yyyy")</f>
        <v>2020</v>
      </c>
      <c r="P762" s="3" t="str">
        <f>LEFT('Main Project Raw Data'!E762,FIND("-",'Main Project Raw Data'!E762)-1)</f>
        <v>Sales</v>
      </c>
      <c r="Q762" s="3" t="str">
        <f>RIGHT('Main Project Raw Data'!E762,LEN('Main Project Raw Data'!E762)-FIND("-",'Main Project Raw Data'!E762))</f>
        <v>Florida</v>
      </c>
    </row>
    <row r="763" spans="1:17" x14ac:dyDescent="0.3">
      <c r="A763" s="3" t="str">
        <f>TRIM(Table1[[#This Row],[Employee_ID]])</f>
        <v>EMP1761</v>
      </c>
      <c r="B763" s="3" t="str">
        <f>TRIM(Table1[[#This Row],[First_Name]])</f>
        <v>Alice</v>
      </c>
      <c r="C763" s="3" t="str">
        <f>TRIM(Table1[[#This Row],[Last_Name]])</f>
        <v>Johnson</v>
      </c>
      <c r="D763" s="3">
        <f>IF(Table1[[#This Row],[Age]]="",AVERAGE(Table1[Age]),Table1[[#This Row],[Age]])</f>
        <v>30</v>
      </c>
      <c r="E763" s="3" t="s">
        <v>212</v>
      </c>
      <c r="F763" s="3" t="s">
        <v>33</v>
      </c>
      <c r="G763" s="5">
        <f>IF(ISNUMBER('Main Project Raw Data'!G763),'Main Project Raw Data'!G763,IF(ISNUMBER(SEARCH("/",'Main Project Raw Data'!G763)),DATE(RIGHT('Main Project Raw Data'!G763,4),LEFT('Main Project Raw Data'!G763,FIND("/",'Main Project Raw Data'!G763)-1),MID('Main Project Raw Data'!G763,FIND("/",'Main Project Raw Data'!G763)+1,2)),DATE(RIGHT('Main Project Raw Data'!G763,4),MID('Main Project Raw Data'!G763,4,2),LEFT('Main Project Raw Data'!G763,2))))</f>
        <v>45642</v>
      </c>
      <c r="H763" s="3">
        <f>IF(Table1[[#This Row],[Salary]]="",AVERAGE(Table1[Salary]),Table1[[#This Row],[Salary]])</f>
        <v>71318.789999999994</v>
      </c>
      <c r="I763" s="3" t="s">
        <v>150</v>
      </c>
      <c r="J763" s="3">
        <f>ABS(Table1[[#This Row],[Phone]])</f>
        <v>7278532425</v>
      </c>
      <c r="K763" s="3" t="str">
        <f>PROPER(TRIM(Table1[[#This Row],[Performance_Score]]))</f>
        <v>Poor</v>
      </c>
      <c r="L763" s="3" t="b">
        <f>Table1[[#This Row],[Remote_Work]]</f>
        <v>0</v>
      </c>
      <c r="M763" s="3" t="str">
        <f>PROPER(CONCATENATE(Table13[[#This Row],[First_Name]], Table13[[#This Row],[Last_Name]]))</f>
        <v>Alicejohnson</v>
      </c>
      <c r="N763" s="3" t="str">
        <f t="shared" si="11"/>
        <v>Dec</v>
      </c>
      <c r="O763" s="3" t="str">
        <f>TEXT(Table13[[#This Row],[Join_Date]],"yyyy")</f>
        <v>2024</v>
      </c>
      <c r="P763" s="3" t="str">
        <f>LEFT('Main Project Raw Data'!E763,FIND("-",'Main Project Raw Data'!E763)-1)</f>
        <v>HR</v>
      </c>
      <c r="Q763" s="3" t="str">
        <f>RIGHT('Main Project Raw Data'!E763,LEN('Main Project Raw Data'!E763)-FIND("-",'Main Project Raw Data'!E763))</f>
        <v>Florida</v>
      </c>
    </row>
    <row r="764" spans="1:17" x14ac:dyDescent="0.3">
      <c r="A764" s="3" t="str">
        <f>TRIM(Table1[[#This Row],[Employee_ID]])</f>
        <v>EMP1762</v>
      </c>
      <c r="B764" s="3" t="str">
        <f>TRIM(Table1[[#This Row],[First_Name]])</f>
        <v>Heidi</v>
      </c>
      <c r="C764" s="3" t="str">
        <f>TRIM(Table1[[#This Row],[Last_Name]])</f>
        <v>Jones</v>
      </c>
      <c r="D764" s="3">
        <f>IF(Table1[[#This Row],[Age]]="",AVERAGE(Table1[Age]),Table1[[#This Row],[Age]])</f>
        <v>30</v>
      </c>
      <c r="E764" s="3" t="s">
        <v>70</v>
      </c>
      <c r="F764" s="3" t="s">
        <v>28</v>
      </c>
      <c r="G764" s="5">
        <f>IF(ISNUMBER('Main Project Raw Data'!G764),'Main Project Raw Data'!G764,IF(ISNUMBER(SEARCH("/",'Main Project Raw Data'!G764)),DATE(RIGHT('Main Project Raw Data'!G764,4),LEFT('Main Project Raw Data'!G764,FIND("/",'Main Project Raw Data'!G764)-1),MID('Main Project Raw Data'!G764,FIND("/",'Main Project Raw Data'!G764)+1,2)),DATE(RIGHT('Main Project Raw Data'!G764,4),MID('Main Project Raw Data'!G764,4,2),LEFT('Main Project Raw Data'!G764,2))))</f>
        <v>43942</v>
      </c>
      <c r="H764" s="3">
        <f>IF(Table1[[#This Row],[Salary]]="",AVERAGE(Table1[Salary]),Table1[[#This Row],[Salary]])</f>
        <v>98296.71</v>
      </c>
      <c r="I764" s="3" t="s">
        <v>319</v>
      </c>
      <c r="J764" s="3">
        <f>ABS(Table1[[#This Row],[Phone]])</f>
        <v>4250642075</v>
      </c>
      <c r="K764" s="3" t="str">
        <f>PROPER(TRIM(Table1[[#This Row],[Performance_Score]]))</f>
        <v>Poor</v>
      </c>
      <c r="L764" s="3" t="b">
        <f>Table1[[#This Row],[Remote_Work]]</f>
        <v>0</v>
      </c>
      <c r="M764" s="3" t="str">
        <f>PROPER(CONCATENATE(Table13[[#This Row],[First_Name]], Table13[[#This Row],[Last_Name]]))</f>
        <v>Heidijones</v>
      </c>
      <c r="N764" s="3" t="str">
        <f t="shared" si="11"/>
        <v>Apr</v>
      </c>
      <c r="O764" s="3" t="str">
        <f>TEXT(Table13[[#This Row],[Join_Date]],"yyyy")</f>
        <v>2020</v>
      </c>
      <c r="P764" s="3" t="str">
        <f>LEFT('Main Project Raw Data'!E764,FIND("-",'Main Project Raw Data'!E764)-1)</f>
        <v>Finance</v>
      </c>
      <c r="Q764" s="3" t="str">
        <f>RIGHT('Main Project Raw Data'!E764,LEN('Main Project Raw Data'!E764)-FIND("-",'Main Project Raw Data'!E764))</f>
        <v>California</v>
      </c>
    </row>
    <row r="765" spans="1:17" x14ac:dyDescent="0.3">
      <c r="A765" s="3" t="str">
        <f>TRIM(Table1[[#This Row],[Employee_ID]])</f>
        <v>EMP1763</v>
      </c>
      <c r="B765" s="3" t="str">
        <f>TRIM(Table1[[#This Row],[First_Name]])</f>
        <v>Heidi</v>
      </c>
      <c r="C765" s="3" t="str">
        <f>TRIM(Table1[[#This Row],[Last_Name]])</f>
        <v>Johnson</v>
      </c>
      <c r="D765" s="3">
        <f>IF(Table1[[#This Row],[Age]]="",AVERAGE(Table1[Age]),Table1[[#This Row],[Age]])</f>
        <v>40</v>
      </c>
      <c r="E765" s="3" t="s">
        <v>85</v>
      </c>
      <c r="F765" s="3" t="s">
        <v>28</v>
      </c>
      <c r="G765" s="5">
        <f>IF(ISNUMBER('Main Project Raw Data'!G765),'Main Project Raw Data'!G765,IF(ISNUMBER(SEARCH("/",'Main Project Raw Data'!G765)),DATE(RIGHT('Main Project Raw Data'!G765,4),LEFT('Main Project Raw Data'!G765,FIND("/",'Main Project Raw Data'!G765)-1),MID('Main Project Raw Data'!G765,FIND("/",'Main Project Raw Data'!G765)+1,2)),DATE(RIGHT('Main Project Raw Data'!G765,4),MID('Main Project Raw Data'!G765,4,2),LEFT('Main Project Raw Data'!G765,2))))</f>
        <v>44062</v>
      </c>
      <c r="H765" s="3">
        <f>IF(Table1[[#This Row],[Salary]]="",AVERAGE(Table1[Salary]),Table1[[#This Row],[Salary]])</f>
        <v>62584</v>
      </c>
      <c r="I765" s="3" t="s">
        <v>113</v>
      </c>
      <c r="J765" s="3">
        <f>ABS(Table1[[#This Row],[Phone]])</f>
        <v>8362536666</v>
      </c>
      <c r="K765" s="3" t="str">
        <f>PROPER(TRIM(Table1[[#This Row],[Performance_Score]]))</f>
        <v>Good</v>
      </c>
      <c r="L765" s="3" t="b">
        <f>Table1[[#This Row],[Remote_Work]]</f>
        <v>0</v>
      </c>
      <c r="M765" s="3" t="str">
        <f>PROPER(CONCATENATE(Table13[[#This Row],[First_Name]], Table13[[#This Row],[Last_Name]]))</f>
        <v>Heidijohnson</v>
      </c>
      <c r="N765" s="3" t="str">
        <f t="shared" si="11"/>
        <v>Aug</v>
      </c>
      <c r="O765" s="3" t="str">
        <f>TEXT(Table13[[#This Row],[Join_Date]],"yyyy")</f>
        <v>2020</v>
      </c>
      <c r="P765" s="3" t="str">
        <f>LEFT('Main Project Raw Data'!E765,FIND("-",'Main Project Raw Data'!E765)-1)</f>
        <v>Cloud Tech</v>
      </c>
      <c r="Q765" s="3" t="str">
        <f>RIGHT('Main Project Raw Data'!E765,LEN('Main Project Raw Data'!E765)-FIND("-",'Main Project Raw Data'!E765))</f>
        <v>Nevada</v>
      </c>
    </row>
    <row r="766" spans="1:17" x14ac:dyDescent="0.3">
      <c r="A766" s="3" t="str">
        <f>TRIM(Table1[[#This Row],[Employee_ID]])</f>
        <v>EMP1764</v>
      </c>
      <c r="B766" s="3" t="str">
        <f>TRIM(Table1[[#This Row],[First_Name]])</f>
        <v>Charlie</v>
      </c>
      <c r="C766" s="3" t="str">
        <f>TRIM(Table1[[#This Row],[Last_Name]])</f>
        <v>Jones</v>
      </c>
      <c r="D766" s="3">
        <f>IF(Table1[[#This Row],[Age]]="",AVERAGE(Table1[Age]),Table1[[#This Row],[Age]])</f>
        <v>40</v>
      </c>
      <c r="E766" s="3" t="s">
        <v>70</v>
      </c>
      <c r="F766" s="3" t="s">
        <v>33</v>
      </c>
      <c r="G766" s="5">
        <f>IF(ISNUMBER('Main Project Raw Data'!G766),'Main Project Raw Data'!G766,IF(ISNUMBER(SEARCH("/",'Main Project Raw Data'!G766)),DATE(RIGHT('Main Project Raw Data'!G766,4),LEFT('Main Project Raw Data'!G766,FIND("/",'Main Project Raw Data'!G766)-1),MID('Main Project Raw Data'!G766,FIND("/",'Main Project Raw Data'!G766)+1,2)),DATE(RIGHT('Main Project Raw Data'!G766,4),MID('Main Project Raw Data'!G766,4,2),LEFT('Main Project Raw Data'!G766,2))))</f>
        <v>43882</v>
      </c>
      <c r="H766" s="3">
        <f>IF(Table1[[#This Row],[Salary]]="",AVERAGE(Table1[Salary]),Table1[[#This Row],[Salary]])</f>
        <v>62521.5</v>
      </c>
      <c r="I766" s="3" t="s">
        <v>120</v>
      </c>
      <c r="J766" s="3">
        <f>ABS(Table1[[#This Row],[Phone]])</f>
        <v>7767555627</v>
      </c>
      <c r="K766" s="3" t="str">
        <f>PROPER(TRIM(Table1[[#This Row],[Performance_Score]]))</f>
        <v>Average</v>
      </c>
      <c r="L766" s="3" t="b">
        <f>Table1[[#This Row],[Remote_Work]]</f>
        <v>1</v>
      </c>
      <c r="M766" s="3" t="str">
        <f>PROPER(CONCATENATE(Table13[[#This Row],[First_Name]], Table13[[#This Row],[Last_Name]]))</f>
        <v>Charliejones</v>
      </c>
      <c r="N766" s="3" t="str">
        <f t="shared" si="11"/>
        <v>Feb</v>
      </c>
      <c r="O766" s="3" t="str">
        <f>TEXT(Table13[[#This Row],[Join_Date]],"yyyy")</f>
        <v>2020</v>
      </c>
      <c r="P766" s="3" t="str">
        <f>LEFT('Main Project Raw Data'!E766,FIND("-",'Main Project Raw Data'!E766)-1)</f>
        <v>Finance</v>
      </c>
      <c r="Q766" s="3" t="str">
        <f>RIGHT('Main Project Raw Data'!E766,LEN('Main Project Raw Data'!E766)-FIND("-",'Main Project Raw Data'!E766))</f>
        <v>California</v>
      </c>
    </row>
    <row r="767" spans="1:17" x14ac:dyDescent="0.3">
      <c r="A767" s="3" t="str">
        <f>TRIM(Table1[[#This Row],[Employee_ID]])</f>
        <v>EMP1765</v>
      </c>
      <c r="B767" s="3" t="str">
        <f>TRIM(Table1[[#This Row],[First_Name]])</f>
        <v>David</v>
      </c>
      <c r="C767" s="3" t="str">
        <f>TRIM(Table1[[#This Row],[Last_Name]])</f>
        <v>Williams</v>
      </c>
      <c r="D767" s="3">
        <f>IF(Table1[[#This Row],[Age]]="",AVERAGE(Table1[Age]),Table1[[#This Row],[Age]])</f>
        <v>40</v>
      </c>
      <c r="E767" s="3" t="s">
        <v>268</v>
      </c>
      <c r="F767" s="3" t="s">
        <v>33</v>
      </c>
      <c r="G767" s="5">
        <f>IF(ISNUMBER('Main Project Raw Data'!G767),'Main Project Raw Data'!G767,IF(ISNUMBER(SEARCH("/",'Main Project Raw Data'!G767)),DATE(RIGHT('Main Project Raw Data'!G767,4),LEFT('Main Project Raw Data'!G767,FIND("/",'Main Project Raw Data'!G767)-1),MID('Main Project Raw Data'!G767,FIND("/",'Main Project Raw Data'!G767)+1,2)),DATE(RIGHT('Main Project Raw Data'!G767,4),MID('Main Project Raw Data'!G767,4,2),LEFT('Main Project Raw Data'!G767,2))))</f>
        <v>45247</v>
      </c>
      <c r="H767" s="3">
        <f>IF(Table1[[#This Row],[Salary]]="",AVERAGE(Table1[Salary]),Table1[[#This Row],[Salary]])</f>
        <v>95400.35</v>
      </c>
      <c r="I767" s="3" t="s">
        <v>61</v>
      </c>
      <c r="J767" s="3">
        <f>ABS(Table1[[#This Row],[Phone]])</f>
        <v>3333939577</v>
      </c>
      <c r="K767" s="3" t="str">
        <f>PROPER(TRIM(Table1[[#This Row],[Performance_Score]]))</f>
        <v>Poor</v>
      </c>
      <c r="L767" s="3" t="b">
        <f>Table1[[#This Row],[Remote_Work]]</f>
        <v>1</v>
      </c>
      <c r="M767" s="3" t="str">
        <f>PROPER(CONCATENATE(Table13[[#This Row],[First_Name]], Table13[[#This Row],[Last_Name]]))</f>
        <v>Davidwilliams</v>
      </c>
      <c r="N767" s="3" t="str">
        <f t="shared" si="11"/>
        <v>Nov</v>
      </c>
      <c r="O767" s="3" t="str">
        <f>TEXT(Table13[[#This Row],[Join_Date]],"yyyy")</f>
        <v>2023</v>
      </c>
      <c r="P767" s="3" t="str">
        <f>LEFT('Main Project Raw Data'!E767,FIND("-",'Main Project Raw Data'!E767)-1)</f>
        <v>Cloud Tech</v>
      </c>
      <c r="Q767" s="3" t="str">
        <f>RIGHT('Main Project Raw Data'!E767,LEN('Main Project Raw Data'!E767)-FIND("-",'Main Project Raw Data'!E767))</f>
        <v>California</v>
      </c>
    </row>
    <row r="768" spans="1:17" x14ac:dyDescent="0.3">
      <c r="A768" s="3" t="str">
        <f>TRIM(Table1[[#This Row],[Employee_ID]])</f>
        <v>EMP1766</v>
      </c>
      <c r="B768" s="3" t="str">
        <f>TRIM(Table1[[#This Row],[First_Name]])</f>
        <v>Charlie</v>
      </c>
      <c r="C768" s="3" t="str">
        <f>TRIM(Table1[[#This Row],[Last_Name]])</f>
        <v>Jones</v>
      </c>
      <c r="D768" s="3">
        <f>IF(Table1[[#This Row],[Age]]="",AVERAGE(Table1[Age]),Table1[[#This Row],[Age]])</f>
        <v>25</v>
      </c>
      <c r="E768" s="3" t="s">
        <v>159</v>
      </c>
      <c r="F768" s="3" t="s">
        <v>28</v>
      </c>
      <c r="G768" s="5">
        <f>IF(ISNUMBER('Main Project Raw Data'!G768),'Main Project Raw Data'!G768,IF(ISNUMBER(SEARCH("/",'Main Project Raw Data'!G768)),DATE(RIGHT('Main Project Raw Data'!G768,4),LEFT('Main Project Raw Data'!G768,FIND("/",'Main Project Raw Data'!G768)-1),MID('Main Project Raw Data'!G768,FIND("/",'Main Project Raw Data'!G768)+1,2)),DATE(RIGHT('Main Project Raw Data'!G768,4),MID('Main Project Raw Data'!G768,4,2),LEFT('Main Project Raw Data'!G768,2))))</f>
        <v>44811</v>
      </c>
      <c r="H768" s="3">
        <f>IF(Table1[[#This Row],[Salary]]="",AVERAGE(Table1[Salary]),Table1[[#This Row],[Salary]])</f>
        <v>94385.07</v>
      </c>
      <c r="I768" s="3" t="s">
        <v>120</v>
      </c>
      <c r="J768" s="3">
        <f>ABS(Table1[[#This Row],[Phone]])</f>
        <v>6543627186</v>
      </c>
      <c r="K768" s="3" t="str">
        <f>PROPER(TRIM(Table1[[#This Row],[Performance_Score]]))</f>
        <v>Poor</v>
      </c>
      <c r="L768" s="3" t="b">
        <f>Table1[[#This Row],[Remote_Work]]</f>
        <v>1</v>
      </c>
      <c r="M768" s="3" t="str">
        <f>PROPER(CONCATENATE(Table13[[#This Row],[First_Name]], Table13[[#This Row],[Last_Name]]))</f>
        <v>Charliejones</v>
      </c>
      <c r="N768" s="3" t="str">
        <f t="shared" si="11"/>
        <v>Sep</v>
      </c>
      <c r="O768" s="3" t="str">
        <f>TEXT(Table13[[#This Row],[Join_Date]],"yyyy")</f>
        <v>2022</v>
      </c>
      <c r="P768" s="3" t="str">
        <f>LEFT('Main Project Raw Data'!E768,FIND("-",'Main Project Raw Data'!E768)-1)</f>
        <v>Cloud Tech</v>
      </c>
      <c r="Q768" s="3" t="str">
        <f>RIGHT('Main Project Raw Data'!E768,LEN('Main Project Raw Data'!E768)-FIND("-",'Main Project Raw Data'!E768))</f>
        <v>Texas</v>
      </c>
    </row>
    <row r="769" spans="1:17" x14ac:dyDescent="0.3">
      <c r="A769" s="3" t="str">
        <f>TRIM(Table1[[#This Row],[Employee_ID]])</f>
        <v>EMP1767</v>
      </c>
      <c r="B769" s="3" t="str">
        <f>TRIM(Table1[[#This Row],[First_Name]])</f>
        <v>Grace</v>
      </c>
      <c r="C769" s="3" t="str">
        <f>TRIM(Table1[[#This Row],[Last_Name]])</f>
        <v>Garcia</v>
      </c>
      <c r="D769" s="3">
        <f>IF(Table1[[#This Row],[Age]]="",AVERAGE(Table1[Age]),Table1[[#This Row],[Age]])</f>
        <v>32.484548825710753</v>
      </c>
      <c r="E769" s="3" t="s">
        <v>109</v>
      </c>
      <c r="F769" s="3" t="s">
        <v>33</v>
      </c>
      <c r="G769" s="5">
        <f>IF(ISNUMBER('Main Project Raw Data'!G769),'Main Project Raw Data'!G769,IF(ISNUMBER(SEARCH("/",'Main Project Raw Data'!G769)),DATE(RIGHT('Main Project Raw Data'!G769,4),LEFT('Main Project Raw Data'!G769,FIND("/",'Main Project Raw Data'!G769)-1),MID('Main Project Raw Data'!G769,FIND("/",'Main Project Raw Data'!G769)+1,2)),DATE(RIGHT('Main Project Raw Data'!G769,4),MID('Main Project Raw Data'!G769,4,2),LEFT('Main Project Raw Data'!G769,2))))</f>
        <v>44928</v>
      </c>
      <c r="H769" s="3">
        <f>IF(Table1[[#This Row],[Salary]]="",AVERAGE(Table1[Salary]),Table1[[#This Row],[Salary]])</f>
        <v>76642.490000000005</v>
      </c>
      <c r="I769" s="3" t="s">
        <v>83</v>
      </c>
      <c r="J769" s="3">
        <f>ABS(Table1[[#This Row],[Phone]])</f>
        <v>4960335825</v>
      </c>
      <c r="K769" s="3" t="str">
        <f>PROPER(TRIM(Table1[[#This Row],[Performance_Score]]))</f>
        <v>Poor</v>
      </c>
      <c r="L769" s="3" t="b">
        <f>Table1[[#This Row],[Remote_Work]]</f>
        <v>1</v>
      </c>
      <c r="M769" s="3" t="str">
        <f>PROPER(CONCATENATE(Table13[[#This Row],[First_Name]], Table13[[#This Row],[Last_Name]]))</f>
        <v>Gracegarcia</v>
      </c>
      <c r="N769" s="3" t="str">
        <f t="shared" si="11"/>
        <v>Jan</v>
      </c>
      <c r="O769" s="3" t="str">
        <f>TEXT(Table13[[#This Row],[Join_Date]],"yyyy")</f>
        <v>2023</v>
      </c>
      <c r="P769" s="3" t="str">
        <f>LEFT('Main Project Raw Data'!E769,FIND("-",'Main Project Raw Data'!E769)-1)</f>
        <v>Sales</v>
      </c>
      <c r="Q769" s="3" t="str">
        <f>RIGHT('Main Project Raw Data'!E769,LEN('Main Project Raw Data'!E769)-FIND("-",'Main Project Raw Data'!E769))</f>
        <v>New York</v>
      </c>
    </row>
    <row r="770" spans="1:17" x14ac:dyDescent="0.3">
      <c r="A770" s="3" t="str">
        <f>TRIM(Table1[[#This Row],[Employee_ID]])</f>
        <v>EMP1768</v>
      </c>
      <c r="B770" s="3" t="str">
        <f>TRIM(Table1[[#This Row],[First_Name]])</f>
        <v>Frank</v>
      </c>
      <c r="C770" s="3" t="str">
        <f>TRIM(Table1[[#This Row],[Last_Name]])</f>
        <v>Brown</v>
      </c>
      <c r="D770" s="3">
        <f>IF(Table1[[#This Row],[Age]]="",AVERAGE(Table1[Age]),Table1[[#This Row],[Age]])</f>
        <v>32.484548825710753</v>
      </c>
      <c r="E770" s="3" t="s">
        <v>56</v>
      </c>
      <c r="F770" s="3" t="s">
        <v>16</v>
      </c>
      <c r="G770" s="5">
        <f>IF(ISNUMBER('Main Project Raw Data'!G770),'Main Project Raw Data'!G770,IF(ISNUMBER(SEARCH("/",'Main Project Raw Data'!G770)),DATE(RIGHT('Main Project Raw Data'!G770,4),LEFT('Main Project Raw Data'!G770,FIND("/",'Main Project Raw Data'!G770)-1),MID('Main Project Raw Data'!G770,FIND("/",'Main Project Raw Data'!G770)+1,2)),DATE(RIGHT('Main Project Raw Data'!G770,4),MID('Main Project Raw Data'!G770,4,2),LEFT('Main Project Raw Data'!G770,2))))</f>
        <v>45610</v>
      </c>
      <c r="H770" s="3">
        <f>IF(Table1[[#This Row],[Salary]]="",AVERAGE(Table1[Salary]),Table1[[#This Row],[Salary]])</f>
        <v>60122.52</v>
      </c>
      <c r="I770" s="3" t="s">
        <v>239</v>
      </c>
      <c r="J770" s="3">
        <f>ABS(Table1[[#This Row],[Phone]])</f>
        <v>8627036923</v>
      </c>
      <c r="K770" s="3" t="str">
        <f>PROPER(TRIM(Table1[[#This Row],[Performance_Score]]))</f>
        <v>Excellent</v>
      </c>
      <c r="L770" s="3" t="b">
        <f>Table1[[#This Row],[Remote_Work]]</f>
        <v>1</v>
      </c>
      <c r="M770" s="3" t="str">
        <f>PROPER(CONCATENATE(Table13[[#This Row],[First_Name]], Table13[[#This Row],[Last_Name]]))</f>
        <v>Frankbrown</v>
      </c>
      <c r="N770" s="3" t="str">
        <f t="shared" ref="N770:N833" si="12">TEXT(G770,"mmm")</f>
        <v>Nov</v>
      </c>
      <c r="O770" s="3" t="str">
        <f>TEXT(Table13[[#This Row],[Join_Date]],"yyyy")</f>
        <v>2024</v>
      </c>
      <c r="P770" s="3" t="str">
        <f>LEFT('Main Project Raw Data'!E770,FIND("-",'Main Project Raw Data'!E770)-1)</f>
        <v>DevOps</v>
      </c>
      <c r="Q770" s="3" t="str">
        <f>RIGHT('Main Project Raw Data'!E770,LEN('Main Project Raw Data'!E770)-FIND("-",'Main Project Raw Data'!E770))</f>
        <v>New York</v>
      </c>
    </row>
    <row r="771" spans="1:17" x14ac:dyDescent="0.3">
      <c r="A771" s="3" t="str">
        <f>TRIM(Table1[[#This Row],[Employee_ID]])</f>
        <v>EMP1769</v>
      </c>
      <c r="B771" s="3" t="str">
        <f>TRIM(Table1[[#This Row],[First_Name]])</f>
        <v>Alice</v>
      </c>
      <c r="C771" s="3" t="str">
        <f>TRIM(Table1[[#This Row],[Last_Name]])</f>
        <v>Smith</v>
      </c>
      <c r="D771" s="3">
        <f>IF(Table1[[#This Row],[Age]]="",AVERAGE(Table1[Age]),Table1[[#This Row],[Age]])</f>
        <v>40</v>
      </c>
      <c r="E771" s="3" t="s">
        <v>146</v>
      </c>
      <c r="F771" s="3" t="s">
        <v>28</v>
      </c>
      <c r="G771" s="5">
        <f>IF(ISNUMBER('Main Project Raw Data'!G771),'Main Project Raw Data'!G771,IF(ISNUMBER(SEARCH("/",'Main Project Raw Data'!G771)),DATE(RIGHT('Main Project Raw Data'!G771,4),LEFT('Main Project Raw Data'!G771,FIND("/",'Main Project Raw Data'!G771)-1),MID('Main Project Raw Data'!G771,FIND("/",'Main Project Raw Data'!G771)+1,2)),DATE(RIGHT('Main Project Raw Data'!G771,4),MID('Main Project Raw Data'!G771,4,2),LEFT('Main Project Raw Data'!G771,2))))</f>
        <v>45405</v>
      </c>
      <c r="H771" s="3">
        <f>IF(Table1[[#This Row],[Salary]]="",AVERAGE(Table1[Salary]),Table1[[#This Row],[Salary]])</f>
        <v>117267.63</v>
      </c>
      <c r="I771" s="3" t="s">
        <v>182</v>
      </c>
      <c r="J771" s="3">
        <f>ABS(Table1[[#This Row],[Phone]])</f>
        <v>9269326572</v>
      </c>
      <c r="K771" s="3" t="str">
        <f>PROPER(TRIM(Table1[[#This Row],[Performance_Score]]))</f>
        <v>Good</v>
      </c>
      <c r="L771" s="3" t="b">
        <f>Table1[[#This Row],[Remote_Work]]</f>
        <v>0</v>
      </c>
      <c r="M771" s="3" t="str">
        <f>PROPER(CONCATENATE(Table13[[#This Row],[First_Name]], Table13[[#This Row],[Last_Name]]))</f>
        <v>Alicesmith</v>
      </c>
      <c r="N771" s="3" t="str">
        <f t="shared" si="12"/>
        <v>Apr</v>
      </c>
      <c r="O771" s="3" t="str">
        <f>TEXT(Table13[[#This Row],[Join_Date]],"yyyy")</f>
        <v>2024</v>
      </c>
      <c r="P771" s="3" t="str">
        <f>LEFT('Main Project Raw Data'!E771,FIND("-",'Main Project Raw Data'!E771)-1)</f>
        <v>HR</v>
      </c>
      <c r="Q771" s="3" t="str">
        <f>RIGHT('Main Project Raw Data'!E771,LEN('Main Project Raw Data'!E771)-FIND("-",'Main Project Raw Data'!E771))</f>
        <v>California</v>
      </c>
    </row>
    <row r="772" spans="1:17" x14ac:dyDescent="0.3">
      <c r="A772" s="3" t="str">
        <f>TRIM(Table1[[#This Row],[Employee_ID]])</f>
        <v>EMP1770</v>
      </c>
      <c r="B772" s="3" t="str">
        <f>TRIM(Table1[[#This Row],[First_Name]])</f>
        <v>Charlie</v>
      </c>
      <c r="C772" s="3" t="str">
        <f>TRIM(Table1[[#This Row],[Last_Name]])</f>
        <v>Jones</v>
      </c>
      <c r="D772" s="3">
        <f>IF(Table1[[#This Row],[Age]]="",AVERAGE(Table1[Age]),Table1[[#This Row],[Age]])</f>
        <v>25</v>
      </c>
      <c r="E772" s="3" t="s">
        <v>196</v>
      </c>
      <c r="F772" s="3" t="s">
        <v>16</v>
      </c>
      <c r="G772" s="5">
        <f>IF(ISNUMBER('Main Project Raw Data'!G772),'Main Project Raw Data'!G772,IF(ISNUMBER(SEARCH("/",'Main Project Raw Data'!G772)),DATE(RIGHT('Main Project Raw Data'!G772,4),LEFT('Main Project Raw Data'!G772,FIND("/",'Main Project Raw Data'!G772)-1),MID('Main Project Raw Data'!G772,FIND("/",'Main Project Raw Data'!G772)+1,2)),DATE(RIGHT('Main Project Raw Data'!G772,4),MID('Main Project Raw Data'!G772,4,2),LEFT('Main Project Raw Data'!G772,2))))</f>
        <v>45106</v>
      </c>
      <c r="H772" s="3">
        <f>IF(Table1[[#This Row],[Salary]]="",AVERAGE(Table1[Salary]),Table1[[#This Row],[Salary]])</f>
        <v>85155.056395582287</v>
      </c>
      <c r="I772" s="3" t="s">
        <v>120</v>
      </c>
      <c r="J772" s="3">
        <f>ABS(Table1[[#This Row],[Phone]])</f>
        <v>2759980110</v>
      </c>
      <c r="K772" s="3" t="str">
        <f>PROPER(TRIM(Table1[[#This Row],[Performance_Score]]))</f>
        <v>Excellent</v>
      </c>
      <c r="L772" s="3" t="b">
        <f>Table1[[#This Row],[Remote_Work]]</f>
        <v>1</v>
      </c>
      <c r="M772" s="3" t="str">
        <f>PROPER(CONCATENATE(Table13[[#This Row],[First_Name]], Table13[[#This Row],[Last_Name]]))</f>
        <v>Charliejones</v>
      </c>
      <c r="N772" s="3" t="str">
        <f t="shared" si="12"/>
        <v>Jun</v>
      </c>
      <c r="O772" s="3" t="str">
        <f>TEXT(Table13[[#This Row],[Join_Date]],"yyyy")</f>
        <v>2023</v>
      </c>
      <c r="P772" s="3" t="str">
        <f>LEFT('Main Project Raw Data'!E772,FIND("-",'Main Project Raw Data'!E772)-1)</f>
        <v>Admin</v>
      </c>
      <c r="Q772" s="3" t="str">
        <f>RIGHT('Main Project Raw Data'!E772,LEN('Main Project Raw Data'!E772)-FIND("-",'Main Project Raw Data'!E772))</f>
        <v>New York</v>
      </c>
    </row>
    <row r="773" spans="1:17" x14ac:dyDescent="0.3">
      <c r="A773" s="3" t="str">
        <f>TRIM(Table1[[#This Row],[Employee_ID]])</f>
        <v>EMP1771</v>
      </c>
      <c r="B773" s="3" t="str">
        <f>TRIM(Table1[[#This Row],[First_Name]])</f>
        <v>Heidi</v>
      </c>
      <c r="C773" s="3" t="str">
        <f>TRIM(Table1[[#This Row],[Last_Name]])</f>
        <v>Jones</v>
      </c>
      <c r="D773" s="3">
        <f>IF(Table1[[#This Row],[Age]]="",AVERAGE(Table1[Age]),Table1[[#This Row],[Age]])</f>
        <v>40</v>
      </c>
      <c r="E773" s="3" t="s">
        <v>44</v>
      </c>
      <c r="F773" s="3" t="s">
        <v>28</v>
      </c>
      <c r="G773" s="5">
        <f>IF(ISNUMBER('Main Project Raw Data'!G773),'Main Project Raw Data'!G773,IF(ISNUMBER(SEARCH("/",'Main Project Raw Data'!G773)),DATE(RIGHT('Main Project Raw Data'!G773,4),LEFT('Main Project Raw Data'!G773,FIND("/",'Main Project Raw Data'!G773)-1),MID('Main Project Raw Data'!G773,FIND("/",'Main Project Raw Data'!G773)+1,2)),DATE(RIGHT('Main Project Raw Data'!G773,4),MID('Main Project Raw Data'!G773,4,2),LEFT('Main Project Raw Data'!G773,2))))</f>
        <v>45638</v>
      </c>
      <c r="H773" s="3">
        <f>IF(Table1[[#This Row],[Salary]]="",AVERAGE(Table1[Salary]),Table1[[#This Row],[Salary]])</f>
        <v>84542.68</v>
      </c>
      <c r="I773" s="3" t="s">
        <v>319</v>
      </c>
      <c r="J773" s="3">
        <f>ABS(Table1[[#This Row],[Phone]])</f>
        <v>5155322</v>
      </c>
      <c r="K773" s="3" t="str">
        <f>PROPER(TRIM(Table1[[#This Row],[Performance_Score]]))</f>
        <v>Good</v>
      </c>
      <c r="L773" s="3" t="b">
        <f>Table1[[#This Row],[Remote_Work]]</f>
        <v>1</v>
      </c>
      <c r="M773" s="3" t="str">
        <f>PROPER(CONCATENATE(Table13[[#This Row],[First_Name]], Table13[[#This Row],[Last_Name]]))</f>
        <v>Heidijones</v>
      </c>
      <c r="N773" s="3" t="str">
        <f t="shared" si="12"/>
        <v>Dec</v>
      </c>
      <c r="O773" s="3" t="str">
        <f>TEXT(Table13[[#This Row],[Join_Date]],"yyyy")</f>
        <v>2024</v>
      </c>
      <c r="P773" s="3" t="str">
        <f>LEFT('Main Project Raw Data'!E773,FIND("-",'Main Project Raw Data'!E773)-1)</f>
        <v>Sales</v>
      </c>
      <c r="Q773" s="3" t="str">
        <f>RIGHT('Main Project Raw Data'!E773,LEN('Main Project Raw Data'!E773)-FIND("-",'Main Project Raw Data'!E773))</f>
        <v>Texas</v>
      </c>
    </row>
    <row r="774" spans="1:17" x14ac:dyDescent="0.3">
      <c r="A774" s="3" t="str">
        <f>TRIM(Table1[[#This Row],[Employee_ID]])</f>
        <v>EMP1772</v>
      </c>
      <c r="B774" s="3" t="str">
        <f>TRIM(Table1[[#This Row],[First_Name]])</f>
        <v>Heidi</v>
      </c>
      <c r="C774" s="3" t="str">
        <f>TRIM(Table1[[#This Row],[Last_Name]])</f>
        <v>Smith</v>
      </c>
      <c r="D774" s="3">
        <f>IF(Table1[[#This Row],[Age]]="",AVERAGE(Table1[Age]),Table1[[#This Row],[Age]])</f>
        <v>40</v>
      </c>
      <c r="E774" s="3" t="s">
        <v>112</v>
      </c>
      <c r="F774" s="3" t="s">
        <v>16</v>
      </c>
      <c r="G774" s="5">
        <f>IF(ISNUMBER('Main Project Raw Data'!G774),'Main Project Raw Data'!G774,IF(ISNUMBER(SEARCH("/",'Main Project Raw Data'!G774)),DATE(RIGHT('Main Project Raw Data'!G774,4),LEFT('Main Project Raw Data'!G774,FIND("/",'Main Project Raw Data'!G774)-1),MID('Main Project Raw Data'!G774,FIND("/",'Main Project Raw Data'!G774)+1,2)),DATE(RIGHT('Main Project Raw Data'!G774,4),MID('Main Project Raw Data'!G774,4,2),LEFT('Main Project Raw Data'!G774,2))))</f>
        <v>45062</v>
      </c>
      <c r="H774" s="3">
        <f>IF(Table1[[#This Row],[Salary]]="",AVERAGE(Table1[Salary]),Table1[[#This Row],[Salary]])</f>
        <v>92007.15</v>
      </c>
      <c r="I774" s="3" t="s">
        <v>366</v>
      </c>
      <c r="J774" s="3">
        <f>ABS(Table1[[#This Row],[Phone]])</f>
        <v>4159597751</v>
      </c>
      <c r="K774" s="3" t="str">
        <f>PROPER(TRIM(Table1[[#This Row],[Performance_Score]]))</f>
        <v>Average</v>
      </c>
      <c r="L774" s="3" t="b">
        <f>Table1[[#This Row],[Remote_Work]]</f>
        <v>1</v>
      </c>
      <c r="M774" s="3" t="str">
        <f>PROPER(CONCATENATE(Table13[[#This Row],[First_Name]], Table13[[#This Row],[Last_Name]]))</f>
        <v>Heidismith</v>
      </c>
      <c r="N774" s="3" t="str">
        <f t="shared" si="12"/>
        <v>May</v>
      </c>
      <c r="O774" s="3" t="str">
        <f>TEXT(Table13[[#This Row],[Join_Date]],"yyyy")</f>
        <v>2023</v>
      </c>
      <c r="P774" s="3" t="str">
        <f>LEFT('Main Project Raw Data'!E774,FIND("-",'Main Project Raw Data'!E774)-1)</f>
        <v>Finance</v>
      </c>
      <c r="Q774" s="3" t="str">
        <f>RIGHT('Main Project Raw Data'!E774,LEN('Main Project Raw Data'!E774)-FIND("-",'Main Project Raw Data'!E774))</f>
        <v>Florida</v>
      </c>
    </row>
    <row r="775" spans="1:17" x14ac:dyDescent="0.3">
      <c r="A775" s="3" t="str">
        <f>TRIM(Table1[[#This Row],[Employee_ID]])</f>
        <v>EMP1773</v>
      </c>
      <c r="B775" s="3" t="str">
        <f>TRIM(Table1[[#This Row],[First_Name]])</f>
        <v>Eva</v>
      </c>
      <c r="C775" s="3" t="str">
        <f>TRIM(Table1[[#This Row],[Last_Name]])</f>
        <v>Brown</v>
      </c>
      <c r="D775" s="3">
        <f>IF(Table1[[#This Row],[Age]]="",AVERAGE(Table1[Age]),Table1[[#This Row],[Age]])</f>
        <v>32.484548825710753</v>
      </c>
      <c r="E775" s="3" t="s">
        <v>78</v>
      </c>
      <c r="F775" s="3" t="s">
        <v>16</v>
      </c>
      <c r="G775" s="5">
        <f>IF(ISNUMBER('Main Project Raw Data'!G775),'Main Project Raw Data'!G775,IF(ISNUMBER(SEARCH("/",'Main Project Raw Data'!G775)),DATE(RIGHT('Main Project Raw Data'!G775,4),LEFT('Main Project Raw Data'!G775,FIND("/",'Main Project Raw Data'!G775)-1),MID('Main Project Raw Data'!G775,FIND("/",'Main Project Raw Data'!G775)+1,2)),DATE(RIGHT('Main Project Raw Data'!G775,4),MID('Main Project Raw Data'!G775,4,2),LEFT('Main Project Raw Data'!G775,2))))</f>
        <v>44108</v>
      </c>
      <c r="H775" s="3">
        <f>IF(Table1[[#This Row],[Salary]]="",AVERAGE(Table1[Salary]),Table1[[#This Row],[Salary]])</f>
        <v>62938.8</v>
      </c>
      <c r="I775" s="3" t="s">
        <v>155</v>
      </c>
      <c r="J775" s="3">
        <f>ABS(Table1[[#This Row],[Phone]])</f>
        <v>4418222617</v>
      </c>
      <c r="K775" s="3" t="str">
        <f>PROPER(TRIM(Table1[[#This Row],[Performance_Score]]))</f>
        <v>Average</v>
      </c>
      <c r="L775" s="3" t="b">
        <f>Table1[[#This Row],[Remote_Work]]</f>
        <v>0</v>
      </c>
      <c r="M775" s="3" t="str">
        <f>PROPER(CONCATENATE(Table13[[#This Row],[First_Name]], Table13[[#This Row],[Last_Name]]))</f>
        <v>Evabrown</v>
      </c>
      <c r="N775" s="3" t="str">
        <f t="shared" si="12"/>
        <v>Oct</v>
      </c>
      <c r="O775" s="3" t="str">
        <f>TEXT(Table13[[#This Row],[Join_Date]],"yyyy")</f>
        <v>2020</v>
      </c>
      <c r="P775" s="3" t="str">
        <f>LEFT('Main Project Raw Data'!E775,FIND("-",'Main Project Raw Data'!E775)-1)</f>
        <v>DevOps</v>
      </c>
      <c r="Q775" s="3" t="str">
        <f>RIGHT('Main Project Raw Data'!E775,LEN('Main Project Raw Data'!E775)-FIND("-",'Main Project Raw Data'!E775))</f>
        <v>Illinois</v>
      </c>
    </row>
    <row r="776" spans="1:17" x14ac:dyDescent="0.3">
      <c r="A776" s="3" t="str">
        <f>TRIM(Table1[[#This Row],[Employee_ID]])</f>
        <v>EMP1774</v>
      </c>
      <c r="B776" s="3" t="str">
        <f>TRIM(Table1[[#This Row],[First_Name]])</f>
        <v>Frank</v>
      </c>
      <c r="C776" s="3" t="str">
        <f>TRIM(Table1[[#This Row],[Last_Name]])</f>
        <v>Johnson</v>
      </c>
      <c r="D776" s="3">
        <f>IF(Table1[[#This Row],[Age]]="",AVERAGE(Table1[Age]),Table1[[#This Row],[Age]])</f>
        <v>25</v>
      </c>
      <c r="E776" s="3" t="s">
        <v>103</v>
      </c>
      <c r="F776" s="3" t="s">
        <v>28</v>
      </c>
      <c r="G776" s="5">
        <f>IF(ISNUMBER('Main Project Raw Data'!G776),'Main Project Raw Data'!G776,IF(ISNUMBER(SEARCH("/",'Main Project Raw Data'!G776)),DATE(RIGHT('Main Project Raw Data'!G776,4),LEFT('Main Project Raw Data'!G776,FIND("/",'Main Project Raw Data'!G776)-1),MID('Main Project Raw Data'!G776,FIND("/",'Main Project Raw Data'!G776)+1,2)),DATE(RIGHT('Main Project Raw Data'!G776,4),MID('Main Project Raw Data'!G776,4,2),LEFT('Main Project Raw Data'!G776,2))))</f>
        <v>45014</v>
      </c>
      <c r="H776" s="3">
        <f>IF(Table1[[#This Row],[Salary]]="",AVERAGE(Table1[Salary]),Table1[[#This Row],[Salary]])</f>
        <v>108661.01</v>
      </c>
      <c r="I776" s="3" t="s">
        <v>271</v>
      </c>
      <c r="J776" s="3">
        <f>ABS(Table1[[#This Row],[Phone]])</f>
        <v>9628874311</v>
      </c>
      <c r="K776" s="3" t="str">
        <f>PROPER(TRIM(Table1[[#This Row],[Performance_Score]]))</f>
        <v>Poor</v>
      </c>
      <c r="L776" s="3" t="b">
        <f>Table1[[#This Row],[Remote_Work]]</f>
        <v>0</v>
      </c>
      <c r="M776" s="3" t="str">
        <f>PROPER(CONCATENATE(Table13[[#This Row],[First_Name]], Table13[[#This Row],[Last_Name]]))</f>
        <v>Frankjohnson</v>
      </c>
      <c r="N776" s="3" t="str">
        <f t="shared" si="12"/>
        <v>Mar</v>
      </c>
      <c r="O776" s="3" t="str">
        <f>TEXT(Table13[[#This Row],[Join_Date]],"yyyy")</f>
        <v>2023</v>
      </c>
      <c r="P776" s="3" t="str">
        <f>LEFT('Main Project Raw Data'!E776,FIND("-",'Main Project Raw Data'!E776)-1)</f>
        <v>Admin</v>
      </c>
      <c r="Q776" s="3" t="str">
        <f>RIGHT('Main Project Raw Data'!E776,LEN('Main Project Raw Data'!E776)-FIND("-",'Main Project Raw Data'!E776))</f>
        <v>Texas</v>
      </c>
    </row>
    <row r="777" spans="1:17" x14ac:dyDescent="0.3">
      <c r="A777" s="3" t="str">
        <f>TRIM(Table1[[#This Row],[Employee_ID]])</f>
        <v>EMP1775</v>
      </c>
      <c r="B777" s="3" t="str">
        <f>TRIM(Table1[[#This Row],[First_Name]])</f>
        <v>Bob</v>
      </c>
      <c r="C777" s="3" t="str">
        <f>TRIM(Table1[[#This Row],[Last_Name]])</f>
        <v>Jones</v>
      </c>
      <c r="D777" s="3">
        <f>IF(Table1[[#This Row],[Age]]="",AVERAGE(Table1[Age]),Table1[[#This Row],[Age]])</f>
        <v>25</v>
      </c>
      <c r="E777" s="3" t="s">
        <v>39</v>
      </c>
      <c r="F777" s="3" t="s">
        <v>16</v>
      </c>
      <c r="G777" s="5">
        <f>IF(ISNUMBER('Main Project Raw Data'!G777),'Main Project Raw Data'!G777,IF(ISNUMBER(SEARCH("/",'Main Project Raw Data'!G777)),DATE(RIGHT('Main Project Raw Data'!G777,4),LEFT('Main Project Raw Data'!G777,FIND("/",'Main Project Raw Data'!G777)-1),MID('Main Project Raw Data'!G777,FIND("/",'Main Project Raw Data'!G777)+1,2)),DATE(RIGHT('Main Project Raw Data'!G777,4),MID('Main Project Raw Data'!G777,4,2),LEFT('Main Project Raw Data'!G777,2))))</f>
        <v>44161</v>
      </c>
      <c r="H777" s="3">
        <f>IF(Table1[[#This Row],[Salary]]="",AVERAGE(Table1[Salary]),Table1[[#This Row],[Salary]])</f>
        <v>97046.33</v>
      </c>
      <c r="I777" s="3" t="s">
        <v>50</v>
      </c>
      <c r="J777" s="3">
        <f>ABS(Table1[[#This Row],[Phone]])</f>
        <v>7102676719</v>
      </c>
      <c r="K777" s="3" t="str">
        <f>PROPER(TRIM(Table1[[#This Row],[Performance_Score]]))</f>
        <v>Good</v>
      </c>
      <c r="L777" s="3" t="b">
        <f>Table1[[#This Row],[Remote_Work]]</f>
        <v>0</v>
      </c>
      <c r="M777" s="3" t="str">
        <f>PROPER(CONCATENATE(Table13[[#This Row],[First_Name]], Table13[[#This Row],[Last_Name]]))</f>
        <v>Bobjones</v>
      </c>
      <c r="N777" s="3" t="str">
        <f t="shared" si="12"/>
        <v>Nov</v>
      </c>
      <c r="O777" s="3" t="str">
        <f>TEXT(Table13[[#This Row],[Join_Date]],"yyyy")</f>
        <v>2020</v>
      </c>
      <c r="P777" s="3" t="str">
        <f>LEFT('Main Project Raw Data'!E777,FIND("-",'Main Project Raw Data'!E777)-1)</f>
        <v>Cloud Tech</v>
      </c>
      <c r="Q777" s="3" t="str">
        <f>RIGHT('Main Project Raw Data'!E777,LEN('Main Project Raw Data'!E777)-FIND("-",'Main Project Raw Data'!E777))</f>
        <v>Florida</v>
      </c>
    </row>
    <row r="778" spans="1:17" x14ac:dyDescent="0.3">
      <c r="A778" s="3" t="str">
        <f>TRIM(Table1[[#This Row],[Employee_ID]])</f>
        <v>EMP1776</v>
      </c>
      <c r="B778" s="3" t="str">
        <f>TRIM(Table1[[#This Row],[First_Name]])</f>
        <v>Charlie</v>
      </c>
      <c r="C778" s="3" t="str">
        <f>TRIM(Table1[[#This Row],[Last_Name]])</f>
        <v>Smith</v>
      </c>
      <c r="D778" s="3">
        <f>IF(Table1[[#This Row],[Age]]="",AVERAGE(Table1[Age]),Table1[[#This Row],[Age]])</f>
        <v>40</v>
      </c>
      <c r="E778" s="3" t="s">
        <v>78</v>
      </c>
      <c r="F778" s="3" t="s">
        <v>33</v>
      </c>
      <c r="G778" s="5">
        <f>IF(ISNUMBER('Main Project Raw Data'!G778),'Main Project Raw Data'!G778,IF(ISNUMBER(SEARCH("/",'Main Project Raw Data'!G778)),DATE(RIGHT('Main Project Raw Data'!G778,4),LEFT('Main Project Raw Data'!G778,FIND("/",'Main Project Raw Data'!G778)-1),MID('Main Project Raw Data'!G778,FIND("/",'Main Project Raw Data'!G778)+1,2)),DATE(RIGHT('Main Project Raw Data'!G778,4),MID('Main Project Raw Data'!G778,4,2),LEFT('Main Project Raw Data'!G778,2))))</f>
        <v>43904</v>
      </c>
      <c r="H778" s="3">
        <f>IF(Table1[[#This Row],[Salary]]="",AVERAGE(Table1[Salary]),Table1[[#This Row],[Salary]])</f>
        <v>56518.84</v>
      </c>
      <c r="I778" s="3" t="s">
        <v>194</v>
      </c>
      <c r="J778" s="3">
        <f>ABS(Table1[[#This Row],[Phone]])</f>
        <v>9579927078</v>
      </c>
      <c r="K778" s="3" t="str">
        <f>PROPER(TRIM(Table1[[#This Row],[Performance_Score]]))</f>
        <v>Average</v>
      </c>
      <c r="L778" s="3" t="b">
        <f>Table1[[#This Row],[Remote_Work]]</f>
        <v>0</v>
      </c>
      <c r="M778" s="3" t="str">
        <f>PROPER(CONCATENATE(Table13[[#This Row],[First_Name]], Table13[[#This Row],[Last_Name]]))</f>
        <v>Charliesmith</v>
      </c>
      <c r="N778" s="3" t="str">
        <f t="shared" si="12"/>
        <v>Mar</v>
      </c>
      <c r="O778" s="3" t="str">
        <f>TEXT(Table13[[#This Row],[Join_Date]],"yyyy")</f>
        <v>2020</v>
      </c>
      <c r="P778" s="3" t="str">
        <f>LEFT('Main Project Raw Data'!E778,FIND("-",'Main Project Raw Data'!E778)-1)</f>
        <v>DevOps</v>
      </c>
      <c r="Q778" s="3" t="str">
        <f>RIGHT('Main Project Raw Data'!E778,LEN('Main Project Raw Data'!E778)-FIND("-",'Main Project Raw Data'!E778))</f>
        <v>Illinois</v>
      </c>
    </row>
    <row r="779" spans="1:17" x14ac:dyDescent="0.3">
      <c r="A779" s="3" t="str">
        <f>TRIM(Table1[[#This Row],[Employee_ID]])</f>
        <v>EMP1777</v>
      </c>
      <c r="B779" s="3" t="str">
        <f>TRIM(Table1[[#This Row],[First_Name]])</f>
        <v>Frank</v>
      </c>
      <c r="C779" s="3" t="str">
        <f>TRIM(Table1[[#This Row],[Last_Name]])</f>
        <v>Garcia</v>
      </c>
      <c r="D779" s="3">
        <f>IF(Table1[[#This Row],[Age]]="",AVERAGE(Table1[Age]),Table1[[#This Row],[Age]])</f>
        <v>40</v>
      </c>
      <c r="E779" s="3" t="s">
        <v>39</v>
      </c>
      <c r="F779" s="3" t="s">
        <v>28</v>
      </c>
      <c r="G779" s="5">
        <f>IF(ISNUMBER('Main Project Raw Data'!G779),'Main Project Raw Data'!G779,IF(ISNUMBER(SEARCH("/",'Main Project Raw Data'!G779)),DATE(RIGHT('Main Project Raw Data'!G779,4),LEFT('Main Project Raw Data'!G779,FIND("/",'Main Project Raw Data'!G779)-1),MID('Main Project Raw Data'!G779,FIND("/",'Main Project Raw Data'!G779)+1,2)),DATE(RIGHT('Main Project Raw Data'!G779,4),MID('Main Project Raw Data'!G779,4,2),LEFT('Main Project Raw Data'!G779,2))))</f>
        <v>44170</v>
      </c>
      <c r="H779" s="3">
        <f>IF(Table1[[#This Row],[Salary]]="",AVERAGE(Table1[Salary]),Table1[[#This Row],[Salary]])</f>
        <v>70498.289999999994</v>
      </c>
      <c r="I779" s="3" t="s">
        <v>180</v>
      </c>
      <c r="J779" s="3">
        <f>ABS(Table1[[#This Row],[Phone]])</f>
        <v>5515122945</v>
      </c>
      <c r="K779" s="3" t="str">
        <f>PROPER(TRIM(Table1[[#This Row],[Performance_Score]]))</f>
        <v>Good</v>
      </c>
      <c r="L779" s="3" t="b">
        <f>Table1[[#This Row],[Remote_Work]]</f>
        <v>1</v>
      </c>
      <c r="M779" s="3" t="str">
        <f>PROPER(CONCATENATE(Table13[[#This Row],[First_Name]], Table13[[#This Row],[Last_Name]]))</f>
        <v>Frankgarcia</v>
      </c>
      <c r="N779" s="3" t="str">
        <f t="shared" si="12"/>
        <v>Dec</v>
      </c>
      <c r="O779" s="3" t="str">
        <f>TEXT(Table13[[#This Row],[Join_Date]],"yyyy")</f>
        <v>2020</v>
      </c>
      <c r="P779" s="3" t="str">
        <f>LEFT('Main Project Raw Data'!E779,FIND("-",'Main Project Raw Data'!E779)-1)</f>
        <v>Cloud Tech</v>
      </c>
      <c r="Q779" s="3" t="str">
        <f>RIGHT('Main Project Raw Data'!E779,LEN('Main Project Raw Data'!E779)-FIND("-",'Main Project Raw Data'!E779))</f>
        <v>Florida</v>
      </c>
    </row>
    <row r="780" spans="1:17" x14ac:dyDescent="0.3">
      <c r="A780" s="3" t="str">
        <f>TRIM(Table1[[#This Row],[Employee_ID]])</f>
        <v>EMP1778</v>
      </c>
      <c r="B780" s="3" t="str">
        <f>TRIM(Table1[[#This Row],[First_Name]])</f>
        <v>Eva</v>
      </c>
      <c r="C780" s="3" t="str">
        <f>TRIM(Table1[[#This Row],[Last_Name]])</f>
        <v>Garcia</v>
      </c>
      <c r="D780" s="3">
        <f>IF(Table1[[#This Row],[Age]]="",AVERAGE(Table1[Age]),Table1[[#This Row],[Age]])</f>
        <v>35</v>
      </c>
      <c r="E780" s="3" t="s">
        <v>74</v>
      </c>
      <c r="F780" s="3" t="s">
        <v>28</v>
      </c>
      <c r="G780" s="5">
        <f>IF(ISNUMBER('Main Project Raw Data'!G780),'Main Project Raw Data'!G780,IF(ISNUMBER(SEARCH("/",'Main Project Raw Data'!G780)),DATE(RIGHT('Main Project Raw Data'!G780,4),LEFT('Main Project Raw Data'!G780,FIND("/",'Main Project Raw Data'!G780)-1),MID('Main Project Raw Data'!G780,FIND("/",'Main Project Raw Data'!G780)+1,2)),DATE(RIGHT('Main Project Raw Data'!G780,4),MID('Main Project Raw Data'!G780,4,2),LEFT('Main Project Raw Data'!G780,2))))</f>
        <v>44319</v>
      </c>
      <c r="H780" s="3">
        <f>IF(Table1[[#This Row],[Salary]]="",AVERAGE(Table1[Salary]),Table1[[#This Row],[Salary]])</f>
        <v>98708.06</v>
      </c>
      <c r="I780" s="3" t="s">
        <v>296</v>
      </c>
      <c r="J780" s="3">
        <f>ABS(Table1[[#This Row],[Phone]])</f>
        <v>2135415969</v>
      </c>
      <c r="K780" s="3" t="str">
        <f>PROPER(TRIM(Table1[[#This Row],[Performance_Score]]))</f>
        <v>Average</v>
      </c>
      <c r="L780" s="3" t="b">
        <f>Table1[[#This Row],[Remote_Work]]</f>
        <v>1</v>
      </c>
      <c r="M780" s="3" t="str">
        <f>PROPER(CONCATENATE(Table13[[#This Row],[First_Name]], Table13[[#This Row],[Last_Name]]))</f>
        <v>Evagarcia</v>
      </c>
      <c r="N780" s="3" t="str">
        <f t="shared" si="12"/>
        <v>May</v>
      </c>
      <c r="O780" s="3" t="str">
        <f>TEXT(Table13[[#This Row],[Join_Date]],"yyyy")</f>
        <v>2021</v>
      </c>
      <c r="P780" s="3" t="str">
        <f>LEFT('Main Project Raw Data'!E780,FIND("-",'Main Project Raw Data'!E780)-1)</f>
        <v>Sales</v>
      </c>
      <c r="Q780" s="3" t="str">
        <f>RIGHT('Main Project Raw Data'!E780,LEN('Main Project Raw Data'!E780)-FIND("-",'Main Project Raw Data'!E780))</f>
        <v>Florida</v>
      </c>
    </row>
    <row r="781" spans="1:17" x14ac:dyDescent="0.3">
      <c r="A781" s="3" t="str">
        <f>TRIM(Table1[[#This Row],[Employee_ID]])</f>
        <v>EMP1779</v>
      </c>
      <c r="B781" s="3" t="str">
        <f>TRIM(Table1[[#This Row],[First_Name]])</f>
        <v>Bob</v>
      </c>
      <c r="C781" s="3" t="str">
        <f>TRIM(Table1[[#This Row],[Last_Name]])</f>
        <v>Williams</v>
      </c>
      <c r="D781" s="3">
        <f>IF(Table1[[#This Row],[Age]]="",AVERAGE(Table1[Age]),Table1[[#This Row],[Age]])</f>
        <v>32.484548825710753</v>
      </c>
      <c r="E781" s="3" t="s">
        <v>328</v>
      </c>
      <c r="F781" s="3" t="s">
        <v>28</v>
      </c>
      <c r="G781" s="5">
        <f>IF(ISNUMBER('Main Project Raw Data'!G781),'Main Project Raw Data'!G781,IF(ISNUMBER(SEARCH("/",'Main Project Raw Data'!G781)),DATE(RIGHT('Main Project Raw Data'!G781,4),LEFT('Main Project Raw Data'!G781,FIND("/",'Main Project Raw Data'!G781)-1),MID('Main Project Raw Data'!G781,FIND("/",'Main Project Raw Data'!G781)+1,2)),DATE(RIGHT('Main Project Raw Data'!G781,4),MID('Main Project Raw Data'!G781,4,2),LEFT('Main Project Raw Data'!G781,2))))</f>
        <v>44010</v>
      </c>
      <c r="H781" s="3">
        <f>IF(Table1[[#This Row],[Salary]]="",AVERAGE(Table1[Salary]),Table1[[#This Row],[Salary]])</f>
        <v>83856.41</v>
      </c>
      <c r="I781" s="3" t="s">
        <v>144</v>
      </c>
      <c r="J781" s="3">
        <f>ABS(Table1[[#This Row],[Phone]])</f>
        <v>9962543847</v>
      </c>
      <c r="K781" s="3" t="str">
        <f>PROPER(TRIM(Table1[[#This Row],[Performance_Score]]))</f>
        <v>Excellent</v>
      </c>
      <c r="L781" s="3" t="b">
        <f>Table1[[#This Row],[Remote_Work]]</f>
        <v>0</v>
      </c>
      <c r="M781" s="3" t="str">
        <f>PROPER(CONCATENATE(Table13[[#This Row],[First_Name]], Table13[[#This Row],[Last_Name]]))</f>
        <v>Bobwilliams</v>
      </c>
      <c r="N781" s="3" t="str">
        <f t="shared" si="12"/>
        <v>Jun</v>
      </c>
      <c r="O781" s="3" t="str">
        <f>TEXT(Table13[[#This Row],[Join_Date]],"yyyy")</f>
        <v>2020</v>
      </c>
      <c r="P781" s="3" t="str">
        <f>LEFT('Main Project Raw Data'!E781,FIND("-",'Main Project Raw Data'!E781)-1)</f>
        <v>DevOps</v>
      </c>
      <c r="Q781" s="3" t="str">
        <f>RIGHT('Main Project Raw Data'!E781,LEN('Main Project Raw Data'!E781)-FIND("-",'Main Project Raw Data'!E781))</f>
        <v>Nevada</v>
      </c>
    </row>
    <row r="782" spans="1:17" x14ac:dyDescent="0.3">
      <c r="A782" s="3" t="str">
        <f>TRIM(Table1[[#This Row],[Employee_ID]])</f>
        <v>EMP1780</v>
      </c>
      <c r="B782" s="3" t="str">
        <f>TRIM(Table1[[#This Row],[First_Name]])</f>
        <v>Eva</v>
      </c>
      <c r="C782" s="3" t="str">
        <f>TRIM(Table1[[#This Row],[Last_Name]])</f>
        <v>Smith</v>
      </c>
      <c r="D782" s="3">
        <f>IF(Table1[[#This Row],[Age]]="",AVERAGE(Table1[Age]),Table1[[#This Row],[Age]])</f>
        <v>40</v>
      </c>
      <c r="E782" s="3" t="s">
        <v>177</v>
      </c>
      <c r="F782" s="3" t="s">
        <v>33</v>
      </c>
      <c r="G782" s="5">
        <f>IF(ISNUMBER('Main Project Raw Data'!G782),'Main Project Raw Data'!G782,IF(ISNUMBER(SEARCH("/",'Main Project Raw Data'!G782)),DATE(RIGHT('Main Project Raw Data'!G782,4),LEFT('Main Project Raw Data'!G782,FIND("/",'Main Project Raw Data'!G782)-1),MID('Main Project Raw Data'!G782,FIND("/",'Main Project Raw Data'!G782)+1,2)),DATE(RIGHT('Main Project Raw Data'!G782,4),MID('Main Project Raw Data'!G782,4,2),LEFT('Main Project Raw Data'!G782,2))))</f>
        <v>44907</v>
      </c>
      <c r="H782" s="3">
        <f>IF(Table1[[#This Row],[Salary]]="",AVERAGE(Table1[Salary]),Table1[[#This Row],[Salary]])</f>
        <v>90259.99</v>
      </c>
      <c r="I782" s="3" t="s">
        <v>521</v>
      </c>
      <c r="J782" s="3">
        <f>ABS(Table1[[#This Row],[Phone]])</f>
        <v>752034475</v>
      </c>
      <c r="K782" s="3" t="str">
        <f>PROPER(TRIM(Table1[[#This Row],[Performance_Score]]))</f>
        <v>Average</v>
      </c>
      <c r="L782" s="3" t="b">
        <f>Table1[[#This Row],[Remote_Work]]</f>
        <v>0</v>
      </c>
      <c r="M782" s="3" t="str">
        <f>PROPER(CONCATENATE(Table13[[#This Row],[First_Name]], Table13[[#This Row],[Last_Name]]))</f>
        <v>Evasmith</v>
      </c>
      <c r="N782" s="3" t="str">
        <f t="shared" si="12"/>
        <v>Dec</v>
      </c>
      <c r="O782" s="3" t="str">
        <f>TEXT(Table13[[#This Row],[Join_Date]],"yyyy")</f>
        <v>2022</v>
      </c>
      <c r="P782" s="3" t="str">
        <f>LEFT('Main Project Raw Data'!E782,FIND("-",'Main Project Raw Data'!E782)-1)</f>
        <v>Sales</v>
      </c>
      <c r="Q782" s="3" t="str">
        <f>RIGHT('Main Project Raw Data'!E782,LEN('Main Project Raw Data'!E782)-FIND("-",'Main Project Raw Data'!E782))</f>
        <v>California</v>
      </c>
    </row>
    <row r="783" spans="1:17" x14ac:dyDescent="0.3">
      <c r="A783" s="3" t="str">
        <f>TRIM(Table1[[#This Row],[Employee_ID]])</f>
        <v>EMP1781</v>
      </c>
      <c r="B783" s="3" t="str">
        <f>TRIM(Table1[[#This Row],[First_Name]])</f>
        <v>Charlie</v>
      </c>
      <c r="C783" s="3" t="str">
        <f>TRIM(Table1[[#This Row],[Last_Name]])</f>
        <v>Williams</v>
      </c>
      <c r="D783" s="3">
        <f>IF(Table1[[#This Row],[Age]]="",AVERAGE(Table1[Age]),Table1[[#This Row],[Age]])</f>
        <v>32.484548825710753</v>
      </c>
      <c r="E783" s="3" t="s">
        <v>74</v>
      </c>
      <c r="F783" s="3" t="s">
        <v>28</v>
      </c>
      <c r="G783" s="5">
        <f>IF(ISNUMBER('Main Project Raw Data'!G783),'Main Project Raw Data'!G783,IF(ISNUMBER(SEARCH("/",'Main Project Raw Data'!G783)),DATE(RIGHT('Main Project Raw Data'!G783,4),LEFT('Main Project Raw Data'!G783,FIND("/",'Main Project Raw Data'!G783)-1),MID('Main Project Raw Data'!G783,FIND("/",'Main Project Raw Data'!G783)+1,2)),DATE(RIGHT('Main Project Raw Data'!G783,4),MID('Main Project Raw Data'!G783,4,2),LEFT('Main Project Raw Data'!G783,2))))</f>
        <v>45324</v>
      </c>
      <c r="H783" s="3">
        <f>IF(Table1[[#This Row],[Salary]]="",AVERAGE(Table1[Salary]),Table1[[#This Row],[Salary]])</f>
        <v>94230.03</v>
      </c>
      <c r="I783" s="3" t="s">
        <v>90</v>
      </c>
      <c r="J783" s="3">
        <f>ABS(Table1[[#This Row],[Phone]])</f>
        <v>5047158028</v>
      </c>
      <c r="K783" s="3" t="str">
        <f>PROPER(TRIM(Table1[[#This Row],[Performance_Score]]))</f>
        <v>Excellent</v>
      </c>
      <c r="L783" s="3" t="b">
        <f>Table1[[#This Row],[Remote_Work]]</f>
        <v>1</v>
      </c>
      <c r="M783" s="3" t="str">
        <f>PROPER(CONCATENATE(Table13[[#This Row],[First_Name]], Table13[[#This Row],[Last_Name]]))</f>
        <v>Charliewilliams</v>
      </c>
      <c r="N783" s="3" t="str">
        <f t="shared" si="12"/>
        <v>Feb</v>
      </c>
      <c r="O783" s="3" t="str">
        <f>TEXT(Table13[[#This Row],[Join_Date]],"yyyy")</f>
        <v>2024</v>
      </c>
      <c r="P783" s="3" t="str">
        <f>LEFT('Main Project Raw Data'!E783,FIND("-",'Main Project Raw Data'!E783)-1)</f>
        <v>Sales</v>
      </c>
      <c r="Q783" s="3" t="str">
        <f>RIGHT('Main Project Raw Data'!E783,LEN('Main Project Raw Data'!E783)-FIND("-",'Main Project Raw Data'!E783))</f>
        <v>Florida</v>
      </c>
    </row>
    <row r="784" spans="1:17" x14ac:dyDescent="0.3">
      <c r="A784" s="3" t="str">
        <f>TRIM(Table1[[#This Row],[Employee_ID]])</f>
        <v>EMP1782</v>
      </c>
      <c r="B784" s="3" t="str">
        <f>TRIM(Table1[[#This Row],[First_Name]])</f>
        <v>Charlie</v>
      </c>
      <c r="C784" s="3" t="str">
        <f>TRIM(Table1[[#This Row],[Last_Name]])</f>
        <v>Garcia</v>
      </c>
      <c r="D784" s="3">
        <f>IF(Table1[[#This Row],[Age]]="",AVERAGE(Table1[Age]),Table1[[#This Row],[Age]])</f>
        <v>32.484548825710753</v>
      </c>
      <c r="E784" s="3" t="s">
        <v>27</v>
      </c>
      <c r="F784" s="3" t="s">
        <v>33</v>
      </c>
      <c r="G784" s="5">
        <f>IF(ISNUMBER('Main Project Raw Data'!G784),'Main Project Raw Data'!G784,IF(ISNUMBER(SEARCH("/",'Main Project Raw Data'!G784)),DATE(RIGHT('Main Project Raw Data'!G784,4),LEFT('Main Project Raw Data'!G784,FIND("/",'Main Project Raw Data'!G784)-1),MID('Main Project Raw Data'!G784,FIND("/",'Main Project Raw Data'!G784)+1,2)),DATE(RIGHT('Main Project Raw Data'!G784,4),MID('Main Project Raw Data'!G784,4,2),LEFT('Main Project Raw Data'!G784,2))))</f>
        <v>44227</v>
      </c>
      <c r="H784" s="3">
        <f>IF(Table1[[#This Row],[Salary]]="",AVERAGE(Table1[Salary]),Table1[[#This Row],[Salary]])</f>
        <v>50110.66</v>
      </c>
      <c r="I784" s="3" t="s">
        <v>87</v>
      </c>
      <c r="J784" s="3">
        <f>ABS(Table1[[#This Row],[Phone]])</f>
        <v>904637659</v>
      </c>
      <c r="K784" s="3" t="str">
        <f>PROPER(TRIM(Table1[[#This Row],[Performance_Score]]))</f>
        <v>Average</v>
      </c>
      <c r="L784" s="3" t="b">
        <f>Table1[[#This Row],[Remote_Work]]</f>
        <v>1</v>
      </c>
      <c r="M784" s="3" t="str">
        <f>PROPER(CONCATENATE(Table13[[#This Row],[First_Name]], Table13[[#This Row],[Last_Name]]))</f>
        <v>Charliegarcia</v>
      </c>
      <c r="N784" s="3" t="str">
        <f t="shared" si="12"/>
        <v>Jan</v>
      </c>
      <c r="O784" s="3" t="str">
        <f>TEXT(Table13[[#This Row],[Join_Date]],"yyyy")</f>
        <v>2021</v>
      </c>
      <c r="P784" s="3" t="str">
        <f>LEFT('Main Project Raw Data'!E784,FIND("-",'Main Project Raw Data'!E784)-1)</f>
        <v>Admin</v>
      </c>
      <c r="Q784" s="3" t="str">
        <f>RIGHT('Main Project Raw Data'!E784,LEN('Main Project Raw Data'!E784)-FIND("-",'Main Project Raw Data'!E784))</f>
        <v>Nevada</v>
      </c>
    </row>
    <row r="785" spans="1:17" x14ac:dyDescent="0.3">
      <c r="A785" s="3" t="str">
        <f>TRIM(Table1[[#This Row],[Employee_ID]])</f>
        <v>EMP1783</v>
      </c>
      <c r="B785" s="3" t="str">
        <f>TRIM(Table1[[#This Row],[First_Name]])</f>
        <v>Bob</v>
      </c>
      <c r="C785" s="3" t="str">
        <f>TRIM(Table1[[#This Row],[Last_Name]])</f>
        <v>Brown</v>
      </c>
      <c r="D785" s="3">
        <f>IF(Table1[[#This Row],[Age]]="",AVERAGE(Table1[Age]),Table1[[#This Row],[Age]])</f>
        <v>30</v>
      </c>
      <c r="E785" s="3" t="s">
        <v>74</v>
      </c>
      <c r="F785" s="3" t="s">
        <v>33</v>
      </c>
      <c r="G785" s="5">
        <f>IF(ISNUMBER('Main Project Raw Data'!G785),'Main Project Raw Data'!G785,IF(ISNUMBER(SEARCH("/",'Main Project Raw Data'!G785)),DATE(RIGHT('Main Project Raw Data'!G785,4),LEFT('Main Project Raw Data'!G785,FIND("/",'Main Project Raw Data'!G785)-1),MID('Main Project Raw Data'!G785,FIND("/",'Main Project Raw Data'!G785)+1,2)),DATE(RIGHT('Main Project Raw Data'!G785,4),MID('Main Project Raw Data'!G785,4,2),LEFT('Main Project Raw Data'!G785,2))))</f>
        <v>43894</v>
      </c>
      <c r="H785" s="3">
        <f>IF(Table1[[#This Row],[Salary]]="",AVERAGE(Table1[Salary]),Table1[[#This Row],[Salary]])</f>
        <v>73365.460000000006</v>
      </c>
      <c r="I785" s="3" t="s">
        <v>22</v>
      </c>
      <c r="J785" s="3">
        <f>ABS(Table1[[#This Row],[Phone]])</f>
        <v>4655866524</v>
      </c>
      <c r="K785" s="3" t="str">
        <f>PROPER(TRIM(Table1[[#This Row],[Performance_Score]]))</f>
        <v>Poor</v>
      </c>
      <c r="L785" s="3" t="b">
        <f>Table1[[#This Row],[Remote_Work]]</f>
        <v>0</v>
      </c>
      <c r="M785" s="3" t="str">
        <f>PROPER(CONCATENATE(Table13[[#This Row],[First_Name]], Table13[[#This Row],[Last_Name]]))</f>
        <v>Bobbrown</v>
      </c>
      <c r="N785" s="3" t="str">
        <f t="shared" si="12"/>
        <v>Mar</v>
      </c>
      <c r="O785" s="3" t="str">
        <f>TEXT(Table13[[#This Row],[Join_Date]],"yyyy")</f>
        <v>2020</v>
      </c>
      <c r="P785" s="3" t="str">
        <f>LEFT('Main Project Raw Data'!E785,FIND("-",'Main Project Raw Data'!E785)-1)</f>
        <v>Sales</v>
      </c>
      <c r="Q785" s="3" t="str">
        <f>RIGHT('Main Project Raw Data'!E785,LEN('Main Project Raw Data'!E785)-FIND("-",'Main Project Raw Data'!E785))</f>
        <v>Florida</v>
      </c>
    </row>
    <row r="786" spans="1:17" x14ac:dyDescent="0.3">
      <c r="A786" s="3" t="str">
        <f>TRIM(Table1[[#This Row],[Employee_ID]])</f>
        <v>EMP1784</v>
      </c>
      <c r="B786" s="3" t="str">
        <f>TRIM(Table1[[#This Row],[First_Name]])</f>
        <v>David</v>
      </c>
      <c r="C786" s="3" t="str">
        <f>TRIM(Table1[[#This Row],[Last_Name]])</f>
        <v>Johnson</v>
      </c>
      <c r="D786" s="3">
        <f>IF(Table1[[#This Row],[Age]]="",AVERAGE(Table1[Age]),Table1[[#This Row],[Age]])</f>
        <v>25</v>
      </c>
      <c r="E786" s="3" t="s">
        <v>56</v>
      </c>
      <c r="F786" s="3" t="s">
        <v>28</v>
      </c>
      <c r="G786" s="5">
        <f>IF(ISNUMBER('Main Project Raw Data'!G786),'Main Project Raw Data'!G786,IF(ISNUMBER(SEARCH("/",'Main Project Raw Data'!G786)),DATE(RIGHT('Main Project Raw Data'!G786,4),LEFT('Main Project Raw Data'!G786,FIND("/",'Main Project Raw Data'!G786)-1),MID('Main Project Raw Data'!G786,FIND("/",'Main Project Raw Data'!G786)+1,2)),DATE(RIGHT('Main Project Raw Data'!G786,4),MID('Main Project Raw Data'!G786,4,2),LEFT('Main Project Raw Data'!G786,2))))</f>
        <v>44407</v>
      </c>
      <c r="H786" s="3">
        <f>IF(Table1[[#This Row],[Salary]]="",AVERAGE(Table1[Salary]),Table1[[#This Row],[Salary]])</f>
        <v>67809.23</v>
      </c>
      <c r="I786" s="3" t="s">
        <v>217</v>
      </c>
      <c r="J786" s="3">
        <f>ABS(Table1[[#This Row],[Phone]])</f>
        <v>4837441714</v>
      </c>
      <c r="K786" s="3" t="str">
        <f>PROPER(TRIM(Table1[[#This Row],[Performance_Score]]))</f>
        <v>Excellent</v>
      </c>
      <c r="L786" s="3" t="b">
        <f>Table1[[#This Row],[Remote_Work]]</f>
        <v>0</v>
      </c>
      <c r="M786" s="3" t="str">
        <f>PROPER(CONCATENATE(Table13[[#This Row],[First_Name]], Table13[[#This Row],[Last_Name]]))</f>
        <v>Davidjohnson</v>
      </c>
      <c r="N786" s="3" t="str">
        <f t="shared" si="12"/>
        <v>Jul</v>
      </c>
      <c r="O786" s="3" t="str">
        <f>TEXT(Table13[[#This Row],[Join_Date]],"yyyy")</f>
        <v>2021</v>
      </c>
      <c r="P786" s="3" t="str">
        <f>LEFT('Main Project Raw Data'!E786,FIND("-",'Main Project Raw Data'!E786)-1)</f>
        <v>DevOps</v>
      </c>
      <c r="Q786" s="3" t="str">
        <f>RIGHT('Main Project Raw Data'!E786,LEN('Main Project Raw Data'!E786)-FIND("-",'Main Project Raw Data'!E786))</f>
        <v>New York</v>
      </c>
    </row>
    <row r="787" spans="1:17" x14ac:dyDescent="0.3">
      <c r="A787" s="3" t="str">
        <f>TRIM(Table1[[#This Row],[Employee_ID]])</f>
        <v>EMP1785</v>
      </c>
      <c r="B787" s="3" t="str">
        <f>TRIM(Table1[[#This Row],[First_Name]])</f>
        <v>Eva</v>
      </c>
      <c r="C787" s="3" t="str">
        <f>TRIM(Table1[[#This Row],[Last_Name]])</f>
        <v>Smith</v>
      </c>
      <c r="D787" s="3">
        <f>IF(Table1[[#This Row],[Age]]="",AVERAGE(Table1[Age]),Table1[[#This Row],[Age]])</f>
        <v>32.484548825710753</v>
      </c>
      <c r="E787" s="3" t="s">
        <v>177</v>
      </c>
      <c r="F787" s="3" t="s">
        <v>16</v>
      </c>
      <c r="G787" s="5">
        <f>IF(ISNUMBER('Main Project Raw Data'!G787),'Main Project Raw Data'!G787,IF(ISNUMBER(SEARCH("/",'Main Project Raw Data'!G787)),DATE(RIGHT('Main Project Raw Data'!G787,4),LEFT('Main Project Raw Data'!G787,FIND("/",'Main Project Raw Data'!G787)-1),MID('Main Project Raw Data'!G787,FIND("/",'Main Project Raw Data'!G787)+1,2)),DATE(RIGHT('Main Project Raw Data'!G787,4),MID('Main Project Raw Data'!G787,4,2),LEFT('Main Project Raw Data'!G787,2))))</f>
        <v>44064</v>
      </c>
      <c r="H787" s="3">
        <f>IF(Table1[[#This Row],[Salary]]="",AVERAGE(Table1[Salary]),Table1[[#This Row],[Salary]])</f>
        <v>98008.51</v>
      </c>
      <c r="I787" s="3" t="s">
        <v>521</v>
      </c>
      <c r="J787" s="3">
        <f>ABS(Table1[[#This Row],[Phone]])</f>
        <v>8102131250</v>
      </c>
      <c r="K787" s="3" t="str">
        <f>PROPER(TRIM(Table1[[#This Row],[Performance_Score]]))</f>
        <v>Average</v>
      </c>
      <c r="L787" s="3" t="b">
        <f>Table1[[#This Row],[Remote_Work]]</f>
        <v>0</v>
      </c>
      <c r="M787" s="3" t="str">
        <f>PROPER(CONCATENATE(Table13[[#This Row],[First_Name]], Table13[[#This Row],[Last_Name]]))</f>
        <v>Evasmith</v>
      </c>
      <c r="N787" s="3" t="str">
        <f t="shared" si="12"/>
        <v>Aug</v>
      </c>
      <c r="O787" s="3" t="str">
        <f>TEXT(Table13[[#This Row],[Join_Date]],"yyyy")</f>
        <v>2020</v>
      </c>
      <c r="P787" s="3" t="str">
        <f>LEFT('Main Project Raw Data'!E787,FIND("-",'Main Project Raw Data'!E787)-1)</f>
        <v>Sales</v>
      </c>
      <c r="Q787" s="3" t="str">
        <f>RIGHT('Main Project Raw Data'!E787,LEN('Main Project Raw Data'!E787)-FIND("-",'Main Project Raw Data'!E787))</f>
        <v>California</v>
      </c>
    </row>
    <row r="788" spans="1:17" x14ac:dyDescent="0.3">
      <c r="A788" s="3" t="str">
        <f>TRIM(Table1[[#This Row],[Employee_ID]])</f>
        <v>EMP1786</v>
      </c>
      <c r="B788" s="3" t="str">
        <f>TRIM(Table1[[#This Row],[First_Name]])</f>
        <v>Alice</v>
      </c>
      <c r="C788" s="3" t="str">
        <f>TRIM(Table1[[#This Row],[Last_Name]])</f>
        <v>Davis</v>
      </c>
      <c r="D788" s="3">
        <f>IF(Table1[[#This Row],[Age]]="",AVERAGE(Table1[Age]),Table1[[#This Row],[Age]])</f>
        <v>30</v>
      </c>
      <c r="E788" s="3" t="s">
        <v>118</v>
      </c>
      <c r="F788" s="3" t="s">
        <v>33</v>
      </c>
      <c r="G788" s="5">
        <f>IF(ISNUMBER('Main Project Raw Data'!G788),'Main Project Raw Data'!G788,IF(ISNUMBER(SEARCH("/",'Main Project Raw Data'!G788)),DATE(RIGHT('Main Project Raw Data'!G788,4),LEFT('Main Project Raw Data'!G788,FIND("/",'Main Project Raw Data'!G788)-1),MID('Main Project Raw Data'!G788,FIND("/",'Main Project Raw Data'!G788)+1,2)),DATE(RIGHT('Main Project Raw Data'!G788,4),MID('Main Project Raw Data'!G788,4,2),LEFT('Main Project Raw Data'!G788,2))))</f>
        <v>45179</v>
      </c>
      <c r="H788" s="3">
        <f>IF(Table1[[#This Row],[Salary]]="",AVERAGE(Table1[Salary]),Table1[[#This Row],[Salary]])</f>
        <v>83537.58</v>
      </c>
      <c r="I788" s="3" t="s">
        <v>163</v>
      </c>
      <c r="J788" s="3">
        <f>ABS(Table1[[#This Row],[Phone]])</f>
        <v>2931100590</v>
      </c>
      <c r="K788" s="3" t="str">
        <f>PROPER(TRIM(Table1[[#This Row],[Performance_Score]]))</f>
        <v>Poor</v>
      </c>
      <c r="L788" s="3" t="b">
        <f>Table1[[#This Row],[Remote_Work]]</f>
        <v>0</v>
      </c>
      <c r="M788" s="3" t="str">
        <f>PROPER(CONCATENATE(Table13[[#This Row],[First_Name]], Table13[[#This Row],[Last_Name]]))</f>
        <v>Alicedavis</v>
      </c>
      <c r="N788" s="3" t="str">
        <f t="shared" si="12"/>
        <v>Sep</v>
      </c>
      <c r="O788" s="3" t="str">
        <f>TEXT(Table13[[#This Row],[Join_Date]],"yyyy")</f>
        <v>2023</v>
      </c>
      <c r="P788" s="3" t="str">
        <f>LEFT('Main Project Raw Data'!E788,FIND("-",'Main Project Raw Data'!E788)-1)</f>
        <v>Admin</v>
      </c>
      <c r="Q788" s="3" t="str">
        <f>RIGHT('Main Project Raw Data'!E788,LEN('Main Project Raw Data'!E788)-FIND("-",'Main Project Raw Data'!E788))</f>
        <v>California</v>
      </c>
    </row>
    <row r="789" spans="1:17" x14ac:dyDescent="0.3">
      <c r="A789" s="3" t="str">
        <f>TRIM(Table1[[#This Row],[Employee_ID]])</f>
        <v>EMP1787</v>
      </c>
      <c r="B789" s="3" t="str">
        <f>TRIM(Table1[[#This Row],[First_Name]])</f>
        <v>Alice</v>
      </c>
      <c r="C789" s="3" t="str">
        <f>TRIM(Table1[[#This Row],[Last_Name]])</f>
        <v>Garcia</v>
      </c>
      <c r="D789" s="3">
        <f>IF(Table1[[#This Row],[Age]]="",AVERAGE(Table1[Age]),Table1[[#This Row],[Age]])</f>
        <v>30</v>
      </c>
      <c r="E789" s="3" t="s">
        <v>227</v>
      </c>
      <c r="F789" s="3" t="s">
        <v>28</v>
      </c>
      <c r="G789" s="5">
        <f>IF(ISNUMBER('Main Project Raw Data'!G789),'Main Project Raw Data'!G789,IF(ISNUMBER(SEARCH("/",'Main Project Raw Data'!G789)),DATE(RIGHT('Main Project Raw Data'!G789,4),LEFT('Main Project Raw Data'!G789,FIND("/",'Main Project Raw Data'!G789)-1),MID('Main Project Raw Data'!G789,FIND("/",'Main Project Raw Data'!G789)+1,2)),DATE(RIGHT('Main Project Raw Data'!G789,4),MID('Main Project Raw Data'!G789,4,2),LEFT('Main Project Raw Data'!G789,2))))</f>
        <v>44569</v>
      </c>
      <c r="H789" s="3">
        <f>IF(Table1[[#This Row],[Salary]]="",AVERAGE(Table1[Salary]),Table1[[#This Row],[Salary]])</f>
        <v>112444.08</v>
      </c>
      <c r="I789" s="3" t="s">
        <v>45</v>
      </c>
      <c r="J789" s="3">
        <f>ABS(Table1[[#This Row],[Phone]])</f>
        <v>2975191022</v>
      </c>
      <c r="K789" s="3" t="str">
        <f>PROPER(TRIM(Table1[[#This Row],[Performance_Score]]))</f>
        <v>Excellent</v>
      </c>
      <c r="L789" s="3" t="b">
        <f>Table1[[#This Row],[Remote_Work]]</f>
        <v>1</v>
      </c>
      <c r="M789" s="3" t="str">
        <f>PROPER(CONCATENATE(Table13[[#This Row],[First_Name]], Table13[[#This Row],[Last_Name]]))</f>
        <v>Alicegarcia</v>
      </c>
      <c r="N789" s="3" t="str">
        <f t="shared" si="12"/>
        <v>Jan</v>
      </c>
      <c r="O789" s="3" t="str">
        <f>TEXT(Table13[[#This Row],[Join_Date]],"yyyy")</f>
        <v>2022</v>
      </c>
      <c r="P789" s="3" t="str">
        <f>LEFT('Main Project Raw Data'!E789,FIND("-",'Main Project Raw Data'!E789)-1)</f>
        <v>Finance</v>
      </c>
      <c r="Q789" s="3" t="str">
        <f>RIGHT('Main Project Raw Data'!E789,LEN('Main Project Raw Data'!E789)-FIND("-",'Main Project Raw Data'!E789))</f>
        <v>New York</v>
      </c>
    </row>
    <row r="790" spans="1:17" x14ac:dyDescent="0.3">
      <c r="A790" s="3" t="str">
        <f>TRIM(Table1[[#This Row],[Employee_ID]])</f>
        <v>EMP1788</v>
      </c>
      <c r="B790" s="3" t="str">
        <f>TRIM(Table1[[#This Row],[First_Name]])</f>
        <v>Frank</v>
      </c>
      <c r="C790" s="3" t="str">
        <f>TRIM(Table1[[#This Row],[Last_Name]])</f>
        <v>Garcia</v>
      </c>
      <c r="D790" s="3">
        <f>IF(Table1[[#This Row],[Age]]="",AVERAGE(Table1[Age]),Table1[[#This Row],[Age]])</f>
        <v>40</v>
      </c>
      <c r="E790" s="3" t="s">
        <v>100</v>
      </c>
      <c r="F790" s="3" t="s">
        <v>16</v>
      </c>
      <c r="G790" s="5">
        <f>IF(ISNUMBER('Main Project Raw Data'!G790),'Main Project Raw Data'!G790,IF(ISNUMBER(SEARCH("/",'Main Project Raw Data'!G790)),DATE(RIGHT('Main Project Raw Data'!G790,4),LEFT('Main Project Raw Data'!G790,FIND("/",'Main Project Raw Data'!G790)-1),MID('Main Project Raw Data'!G790,FIND("/",'Main Project Raw Data'!G790)+1,2)),DATE(RIGHT('Main Project Raw Data'!G790,4),MID('Main Project Raw Data'!G790,4,2),LEFT('Main Project Raw Data'!G790,2))))</f>
        <v>45452</v>
      </c>
      <c r="H790" s="3">
        <f>IF(Table1[[#This Row],[Salary]]="",AVERAGE(Table1[Salary]),Table1[[#This Row],[Salary]])</f>
        <v>86475.13</v>
      </c>
      <c r="I790" s="3" t="s">
        <v>180</v>
      </c>
      <c r="J790" s="3">
        <f>ABS(Table1[[#This Row],[Phone]])</f>
        <v>1211063300</v>
      </c>
      <c r="K790" s="3" t="str">
        <f>PROPER(TRIM(Table1[[#This Row],[Performance_Score]]))</f>
        <v>Poor</v>
      </c>
      <c r="L790" s="3" t="b">
        <f>Table1[[#This Row],[Remote_Work]]</f>
        <v>1</v>
      </c>
      <c r="M790" s="3" t="str">
        <f>PROPER(CONCATENATE(Table13[[#This Row],[First_Name]], Table13[[#This Row],[Last_Name]]))</f>
        <v>Frankgarcia</v>
      </c>
      <c r="N790" s="3" t="str">
        <f t="shared" si="12"/>
        <v>Jun</v>
      </c>
      <c r="O790" s="3" t="str">
        <f>TEXT(Table13[[#This Row],[Join_Date]],"yyyy")</f>
        <v>2024</v>
      </c>
      <c r="P790" s="3" t="str">
        <f>LEFT('Main Project Raw Data'!E790,FIND("-",'Main Project Raw Data'!E790)-1)</f>
        <v>Finance</v>
      </c>
      <c r="Q790" s="3" t="str">
        <f>RIGHT('Main Project Raw Data'!E790,LEN('Main Project Raw Data'!E790)-FIND("-",'Main Project Raw Data'!E790))</f>
        <v>Nevada</v>
      </c>
    </row>
    <row r="791" spans="1:17" x14ac:dyDescent="0.3">
      <c r="A791" s="3" t="str">
        <f>TRIM(Table1[[#This Row],[Employee_ID]])</f>
        <v>EMP1789</v>
      </c>
      <c r="B791" s="3" t="str">
        <f>TRIM(Table1[[#This Row],[First_Name]])</f>
        <v>Frank</v>
      </c>
      <c r="C791" s="3" t="str">
        <f>TRIM(Table1[[#This Row],[Last_Name]])</f>
        <v>Davis</v>
      </c>
      <c r="D791" s="3">
        <f>IF(Table1[[#This Row],[Age]]="",AVERAGE(Table1[Age]),Table1[[#This Row],[Age]])</f>
        <v>32.484548825710753</v>
      </c>
      <c r="E791" s="3" t="s">
        <v>44</v>
      </c>
      <c r="F791" s="3" t="s">
        <v>16</v>
      </c>
      <c r="G791" s="5">
        <f>IF(ISNUMBER('Main Project Raw Data'!G791),'Main Project Raw Data'!G791,IF(ISNUMBER(SEARCH("/",'Main Project Raw Data'!G791)),DATE(RIGHT('Main Project Raw Data'!G791,4),LEFT('Main Project Raw Data'!G791,FIND("/",'Main Project Raw Data'!G791)-1),MID('Main Project Raw Data'!G791,FIND("/",'Main Project Raw Data'!G791)+1,2)),DATE(RIGHT('Main Project Raw Data'!G791,4),MID('Main Project Raw Data'!G791,4,2),LEFT('Main Project Raw Data'!G791,2))))</f>
        <v>45013</v>
      </c>
      <c r="H791" s="3">
        <f>IF(Table1[[#This Row],[Salary]]="",AVERAGE(Table1[Salary]),Table1[[#This Row],[Salary]])</f>
        <v>97984.53</v>
      </c>
      <c r="I791" s="3" t="s">
        <v>52</v>
      </c>
      <c r="J791" s="3">
        <f>ABS(Table1[[#This Row],[Phone]])</f>
        <v>6583737926</v>
      </c>
      <c r="K791" s="3" t="str">
        <f>PROPER(TRIM(Table1[[#This Row],[Performance_Score]]))</f>
        <v>Good</v>
      </c>
      <c r="L791" s="3" t="b">
        <f>Table1[[#This Row],[Remote_Work]]</f>
        <v>1</v>
      </c>
      <c r="M791" s="3" t="str">
        <f>PROPER(CONCATENATE(Table13[[#This Row],[First_Name]], Table13[[#This Row],[Last_Name]]))</f>
        <v>Frankdavis</v>
      </c>
      <c r="N791" s="3" t="str">
        <f t="shared" si="12"/>
        <v>Mar</v>
      </c>
      <c r="O791" s="3" t="str">
        <f>TEXT(Table13[[#This Row],[Join_Date]],"yyyy")</f>
        <v>2023</v>
      </c>
      <c r="P791" s="3" t="str">
        <f>LEFT('Main Project Raw Data'!E791,FIND("-",'Main Project Raw Data'!E791)-1)</f>
        <v>Sales</v>
      </c>
      <c r="Q791" s="3" t="str">
        <f>RIGHT('Main Project Raw Data'!E791,LEN('Main Project Raw Data'!E791)-FIND("-",'Main Project Raw Data'!E791))</f>
        <v>Texas</v>
      </c>
    </row>
    <row r="792" spans="1:17" x14ac:dyDescent="0.3">
      <c r="A792" s="3" t="str">
        <f>TRIM(Table1[[#This Row],[Employee_ID]])</f>
        <v>EMP1790</v>
      </c>
      <c r="B792" s="3" t="str">
        <f>TRIM(Table1[[#This Row],[First_Name]])</f>
        <v>Frank</v>
      </c>
      <c r="C792" s="3" t="str">
        <f>TRIM(Table1[[#This Row],[Last_Name]])</f>
        <v>Miller</v>
      </c>
      <c r="D792" s="3">
        <f>IF(Table1[[#This Row],[Age]]="",AVERAGE(Table1[Age]),Table1[[#This Row],[Age]])</f>
        <v>25</v>
      </c>
      <c r="E792" s="3" t="s">
        <v>118</v>
      </c>
      <c r="F792" s="3" t="s">
        <v>16</v>
      </c>
      <c r="G792" s="5">
        <f>IF(ISNUMBER('Main Project Raw Data'!G792),'Main Project Raw Data'!G792,IF(ISNUMBER(SEARCH("/",'Main Project Raw Data'!G792)),DATE(RIGHT('Main Project Raw Data'!G792,4),LEFT('Main Project Raw Data'!G792,FIND("/",'Main Project Raw Data'!G792)-1),MID('Main Project Raw Data'!G792,FIND("/",'Main Project Raw Data'!G792)+1,2)),DATE(RIGHT('Main Project Raw Data'!G792,4),MID('Main Project Raw Data'!G792,4,2),LEFT('Main Project Raw Data'!G792,2))))</f>
        <v>44525</v>
      </c>
      <c r="H792" s="3">
        <f>IF(Table1[[#This Row],[Salary]]="",AVERAGE(Table1[Salary]),Table1[[#This Row],[Salary]])</f>
        <v>118853.31</v>
      </c>
      <c r="I792" s="3" t="s">
        <v>110</v>
      </c>
      <c r="J792" s="3">
        <f>ABS(Table1[[#This Row],[Phone]])</f>
        <v>4907280122</v>
      </c>
      <c r="K792" s="3" t="str">
        <f>PROPER(TRIM(Table1[[#This Row],[Performance_Score]]))</f>
        <v>Good</v>
      </c>
      <c r="L792" s="3" t="b">
        <f>Table1[[#This Row],[Remote_Work]]</f>
        <v>0</v>
      </c>
      <c r="M792" s="3" t="str">
        <f>PROPER(CONCATENATE(Table13[[#This Row],[First_Name]], Table13[[#This Row],[Last_Name]]))</f>
        <v>Frankmiller</v>
      </c>
      <c r="N792" s="3" t="str">
        <f t="shared" si="12"/>
        <v>Nov</v>
      </c>
      <c r="O792" s="3" t="str">
        <f>TEXT(Table13[[#This Row],[Join_Date]],"yyyy")</f>
        <v>2021</v>
      </c>
      <c r="P792" s="3" t="str">
        <f>LEFT('Main Project Raw Data'!E792,FIND("-",'Main Project Raw Data'!E792)-1)</f>
        <v>Admin</v>
      </c>
      <c r="Q792" s="3" t="str">
        <f>RIGHT('Main Project Raw Data'!E792,LEN('Main Project Raw Data'!E792)-FIND("-",'Main Project Raw Data'!E792))</f>
        <v>California</v>
      </c>
    </row>
    <row r="793" spans="1:17" x14ac:dyDescent="0.3">
      <c r="A793" s="3" t="str">
        <f>TRIM(Table1[[#This Row],[Employee_ID]])</f>
        <v>EMP1791</v>
      </c>
      <c r="B793" s="3" t="str">
        <f>TRIM(Table1[[#This Row],[First_Name]])</f>
        <v>Charlie</v>
      </c>
      <c r="C793" s="3" t="str">
        <f>TRIM(Table1[[#This Row],[Last_Name]])</f>
        <v>Garcia</v>
      </c>
      <c r="D793" s="3">
        <f>IF(Table1[[#This Row],[Age]]="",AVERAGE(Table1[Age]),Table1[[#This Row],[Age]])</f>
        <v>32.484548825710753</v>
      </c>
      <c r="E793" s="3" t="s">
        <v>74</v>
      </c>
      <c r="F793" s="3" t="s">
        <v>16</v>
      </c>
      <c r="G793" s="5">
        <f>IF(ISNUMBER('Main Project Raw Data'!G793),'Main Project Raw Data'!G793,IF(ISNUMBER(SEARCH("/",'Main Project Raw Data'!G793)),DATE(RIGHT('Main Project Raw Data'!G793,4),LEFT('Main Project Raw Data'!G793,FIND("/",'Main Project Raw Data'!G793)-1),MID('Main Project Raw Data'!G793,FIND("/",'Main Project Raw Data'!G793)+1,2)),DATE(RIGHT('Main Project Raw Data'!G793,4),MID('Main Project Raw Data'!G793,4,2),LEFT('Main Project Raw Data'!G793,2))))</f>
        <v>44990</v>
      </c>
      <c r="H793" s="3">
        <f>IF(Table1[[#This Row],[Salary]]="",AVERAGE(Table1[Salary]),Table1[[#This Row],[Salary]])</f>
        <v>58179.12</v>
      </c>
      <c r="I793" s="3" t="s">
        <v>87</v>
      </c>
      <c r="J793" s="3">
        <f>ABS(Table1[[#This Row],[Phone]])</f>
        <v>4289311324</v>
      </c>
      <c r="K793" s="3" t="str">
        <f>PROPER(TRIM(Table1[[#This Row],[Performance_Score]]))</f>
        <v>Excellent</v>
      </c>
      <c r="L793" s="3" t="b">
        <f>Table1[[#This Row],[Remote_Work]]</f>
        <v>0</v>
      </c>
      <c r="M793" s="3" t="str">
        <f>PROPER(CONCATENATE(Table13[[#This Row],[First_Name]], Table13[[#This Row],[Last_Name]]))</f>
        <v>Charliegarcia</v>
      </c>
      <c r="N793" s="3" t="str">
        <f t="shared" si="12"/>
        <v>Mar</v>
      </c>
      <c r="O793" s="3" t="str">
        <f>TEXT(Table13[[#This Row],[Join_Date]],"yyyy")</f>
        <v>2023</v>
      </c>
      <c r="P793" s="3" t="str">
        <f>LEFT('Main Project Raw Data'!E793,FIND("-",'Main Project Raw Data'!E793)-1)</f>
        <v>Sales</v>
      </c>
      <c r="Q793" s="3" t="str">
        <f>RIGHT('Main Project Raw Data'!E793,LEN('Main Project Raw Data'!E793)-FIND("-",'Main Project Raw Data'!E793))</f>
        <v>Florida</v>
      </c>
    </row>
    <row r="794" spans="1:17" x14ac:dyDescent="0.3">
      <c r="A794" s="3" t="str">
        <f>TRIM(Table1[[#This Row],[Employee_ID]])</f>
        <v>EMP1792</v>
      </c>
      <c r="B794" s="3" t="str">
        <f>TRIM(Table1[[#This Row],[First_Name]])</f>
        <v>Eva</v>
      </c>
      <c r="C794" s="3" t="str">
        <f>TRIM(Table1[[#This Row],[Last_Name]])</f>
        <v>Jones</v>
      </c>
      <c r="D794" s="3">
        <f>IF(Table1[[#This Row],[Age]]="",AVERAGE(Table1[Age]),Table1[[#This Row],[Age]])</f>
        <v>35</v>
      </c>
      <c r="E794" s="3" t="s">
        <v>237</v>
      </c>
      <c r="F794" s="3" t="s">
        <v>33</v>
      </c>
      <c r="G794" s="5">
        <f>IF(ISNUMBER('Main Project Raw Data'!G794),'Main Project Raw Data'!G794,IF(ISNUMBER(SEARCH("/",'Main Project Raw Data'!G794)),DATE(RIGHT('Main Project Raw Data'!G794,4),LEFT('Main Project Raw Data'!G794,FIND("/",'Main Project Raw Data'!G794)-1),MID('Main Project Raw Data'!G794,FIND("/",'Main Project Raw Data'!G794)+1,2)),DATE(RIGHT('Main Project Raw Data'!G794,4),MID('Main Project Raw Data'!G794,4,2),LEFT('Main Project Raw Data'!G794,2))))</f>
        <v>44678</v>
      </c>
      <c r="H794" s="3">
        <f>IF(Table1[[#This Row],[Salary]]="",AVERAGE(Table1[Salary]),Table1[[#This Row],[Salary]])</f>
        <v>56075.839999999997</v>
      </c>
      <c r="I794" s="3" t="s">
        <v>277</v>
      </c>
      <c r="J794" s="3">
        <f>ABS(Table1[[#This Row],[Phone]])</f>
        <v>3269496842</v>
      </c>
      <c r="K794" s="3" t="str">
        <f>PROPER(TRIM(Table1[[#This Row],[Performance_Score]]))</f>
        <v>Average</v>
      </c>
      <c r="L794" s="3" t="b">
        <f>Table1[[#This Row],[Remote_Work]]</f>
        <v>1</v>
      </c>
      <c r="M794" s="3" t="str">
        <f>PROPER(CONCATENATE(Table13[[#This Row],[First_Name]], Table13[[#This Row],[Last_Name]]))</f>
        <v>Evajones</v>
      </c>
      <c r="N794" s="3" t="str">
        <f t="shared" si="12"/>
        <v>Apr</v>
      </c>
      <c r="O794" s="3" t="str">
        <f>TEXT(Table13[[#This Row],[Join_Date]],"yyyy")</f>
        <v>2022</v>
      </c>
      <c r="P794" s="3" t="str">
        <f>LEFT('Main Project Raw Data'!E794,FIND("-",'Main Project Raw Data'!E794)-1)</f>
        <v>DevOps</v>
      </c>
      <c r="Q794" s="3" t="str">
        <f>RIGHT('Main Project Raw Data'!E794,LEN('Main Project Raw Data'!E794)-FIND("-",'Main Project Raw Data'!E794))</f>
        <v>Texas</v>
      </c>
    </row>
    <row r="795" spans="1:17" x14ac:dyDescent="0.3">
      <c r="A795" s="3" t="str">
        <f>TRIM(Table1[[#This Row],[Employee_ID]])</f>
        <v>EMP1793</v>
      </c>
      <c r="B795" s="3" t="str">
        <f>TRIM(Table1[[#This Row],[First_Name]])</f>
        <v>Frank</v>
      </c>
      <c r="C795" s="3" t="str">
        <f>TRIM(Table1[[#This Row],[Last_Name]])</f>
        <v>Brown</v>
      </c>
      <c r="D795" s="3">
        <f>IF(Table1[[#This Row],[Age]]="",AVERAGE(Table1[Age]),Table1[[#This Row],[Age]])</f>
        <v>40</v>
      </c>
      <c r="E795" s="3" t="s">
        <v>66</v>
      </c>
      <c r="F795" s="3" t="s">
        <v>28</v>
      </c>
      <c r="G795" s="5">
        <f>IF(ISNUMBER('Main Project Raw Data'!G795),'Main Project Raw Data'!G795,IF(ISNUMBER(SEARCH("/",'Main Project Raw Data'!G795)),DATE(RIGHT('Main Project Raw Data'!G795,4),LEFT('Main Project Raw Data'!G795,FIND("/",'Main Project Raw Data'!G795)-1),MID('Main Project Raw Data'!G795,FIND("/",'Main Project Raw Data'!G795)+1,2)),DATE(RIGHT('Main Project Raw Data'!G795,4),MID('Main Project Raw Data'!G795,4,2),LEFT('Main Project Raw Data'!G795,2))))</f>
        <v>44509</v>
      </c>
      <c r="H795" s="3">
        <f>IF(Table1[[#This Row],[Salary]]="",AVERAGE(Table1[Salary]),Table1[[#This Row],[Salary]])</f>
        <v>62250.89</v>
      </c>
      <c r="I795" s="3" t="s">
        <v>239</v>
      </c>
      <c r="J795" s="3">
        <f>ABS(Table1[[#This Row],[Phone]])</f>
        <v>6453804420</v>
      </c>
      <c r="K795" s="3" t="str">
        <f>PROPER(TRIM(Table1[[#This Row],[Performance_Score]]))</f>
        <v>Excellent</v>
      </c>
      <c r="L795" s="3" t="b">
        <f>Table1[[#This Row],[Remote_Work]]</f>
        <v>1</v>
      </c>
      <c r="M795" s="3" t="str">
        <f>PROPER(CONCATENATE(Table13[[#This Row],[First_Name]], Table13[[#This Row],[Last_Name]]))</f>
        <v>Frankbrown</v>
      </c>
      <c r="N795" s="3" t="str">
        <f t="shared" si="12"/>
        <v>Nov</v>
      </c>
      <c r="O795" s="3" t="str">
        <f>TEXT(Table13[[#This Row],[Join_Date]],"yyyy")</f>
        <v>2021</v>
      </c>
      <c r="P795" s="3" t="str">
        <f>LEFT('Main Project Raw Data'!E795,FIND("-",'Main Project Raw Data'!E795)-1)</f>
        <v>HR</v>
      </c>
      <c r="Q795" s="3" t="str">
        <f>RIGHT('Main Project Raw Data'!E795,LEN('Main Project Raw Data'!E795)-FIND("-",'Main Project Raw Data'!E795))</f>
        <v>New York</v>
      </c>
    </row>
    <row r="796" spans="1:17" x14ac:dyDescent="0.3">
      <c r="A796" s="3" t="str">
        <f>TRIM(Table1[[#This Row],[Employee_ID]])</f>
        <v>EMP1794</v>
      </c>
      <c r="B796" s="3" t="str">
        <f>TRIM(Table1[[#This Row],[First_Name]])</f>
        <v>Alice</v>
      </c>
      <c r="C796" s="3" t="str">
        <f>TRIM(Table1[[#This Row],[Last_Name]])</f>
        <v>Smith</v>
      </c>
      <c r="D796" s="3">
        <f>IF(Table1[[#This Row],[Age]]="",AVERAGE(Table1[Age]),Table1[[#This Row],[Age]])</f>
        <v>30</v>
      </c>
      <c r="E796" s="3" t="s">
        <v>39</v>
      </c>
      <c r="F796" s="3" t="s">
        <v>28</v>
      </c>
      <c r="G796" s="5">
        <f>IF(ISNUMBER('Main Project Raw Data'!G796),'Main Project Raw Data'!G796,IF(ISNUMBER(SEARCH("/",'Main Project Raw Data'!G796)),DATE(RIGHT('Main Project Raw Data'!G796,4),LEFT('Main Project Raw Data'!G796,FIND("/",'Main Project Raw Data'!G796)-1),MID('Main Project Raw Data'!G796,FIND("/",'Main Project Raw Data'!G796)+1,2)),DATE(RIGHT('Main Project Raw Data'!G796,4),MID('Main Project Raw Data'!G796,4,2),LEFT('Main Project Raw Data'!G796,2))))</f>
        <v>43882</v>
      </c>
      <c r="H796" s="3">
        <f>IF(Table1[[#This Row],[Salary]]="",AVERAGE(Table1[Salary]),Table1[[#This Row],[Salary]])</f>
        <v>105931.77</v>
      </c>
      <c r="I796" s="3" t="s">
        <v>182</v>
      </c>
      <c r="J796" s="3">
        <f>ABS(Table1[[#This Row],[Phone]])</f>
        <v>175096169</v>
      </c>
      <c r="K796" s="3" t="str">
        <f>PROPER(TRIM(Table1[[#This Row],[Performance_Score]]))</f>
        <v>Poor</v>
      </c>
      <c r="L796" s="3" t="b">
        <f>Table1[[#This Row],[Remote_Work]]</f>
        <v>1</v>
      </c>
      <c r="M796" s="3" t="str">
        <f>PROPER(CONCATENATE(Table13[[#This Row],[First_Name]], Table13[[#This Row],[Last_Name]]))</f>
        <v>Alicesmith</v>
      </c>
      <c r="N796" s="3" t="str">
        <f t="shared" si="12"/>
        <v>Feb</v>
      </c>
      <c r="O796" s="3" t="str">
        <f>TEXT(Table13[[#This Row],[Join_Date]],"yyyy")</f>
        <v>2020</v>
      </c>
      <c r="P796" s="3" t="str">
        <f>LEFT('Main Project Raw Data'!E796,FIND("-",'Main Project Raw Data'!E796)-1)</f>
        <v>Cloud Tech</v>
      </c>
      <c r="Q796" s="3" t="str">
        <f>RIGHT('Main Project Raw Data'!E796,LEN('Main Project Raw Data'!E796)-FIND("-",'Main Project Raw Data'!E796))</f>
        <v>Florida</v>
      </c>
    </row>
    <row r="797" spans="1:17" x14ac:dyDescent="0.3">
      <c r="A797" s="3" t="str">
        <f>TRIM(Table1[[#This Row],[Employee_ID]])</f>
        <v>EMP1795</v>
      </c>
      <c r="B797" s="3" t="str">
        <f>TRIM(Table1[[#This Row],[First_Name]])</f>
        <v>Charlie</v>
      </c>
      <c r="C797" s="3" t="str">
        <f>TRIM(Table1[[#This Row],[Last_Name]])</f>
        <v>Davis</v>
      </c>
      <c r="D797" s="3">
        <f>IF(Table1[[#This Row],[Age]]="",AVERAGE(Table1[Age]),Table1[[#This Row],[Age]])</f>
        <v>30</v>
      </c>
      <c r="E797" s="3" t="s">
        <v>212</v>
      </c>
      <c r="F797" s="3" t="s">
        <v>28</v>
      </c>
      <c r="G797" s="5">
        <f>IF(ISNUMBER('Main Project Raw Data'!G797),'Main Project Raw Data'!G797,IF(ISNUMBER(SEARCH("/",'Main Project Raw Data'!G797)),DATE(RIGHT('Main Project Raw Data'!G797,4),LEFT('Main Project Raw Data'!G797,FIND("/",'Main Project Raw Data'!G797)-1),MID('Main Project Raw Data'!G797,FIND("/",'Main Project Raw Data'!G797)+1,2)),DATE(RIGHT('Main Project Raw Data'!G797,4),MID('Main Project Raw Data'!G797,4,2),LEFT('Main Project Raw Data'!G797,2))))</f>
        <v>45620</v>
      </c>
      <c r="H797" s="3">
        <f>IF(Table1[[#This Row],[Salary]]="",AVERAGE(Table1[Salary]),Table1[[#This Row],[Salary]])</f>
        <v>86653.96</v>
      </c>
      <c r="I797" s="3" t="s">
        <v>170</v>
      </c>
      <c r="J797" s="3">
        <f>ABS(Table1[[#This Row],[Phone]])</f>
        <v>1595919456</v>
      </c>
      <c r="K797" s="3" t="str">
        <f>PROPER(TRIM(Table1[[#This Row],[Performance_Score]]))</f>
        <v>Average</v>
      </c>
      <c r="L797" s="3" t="b">
        <f>Table1[[#This Row],[Remote_Work]]</f>
        <v>1</v>
      </c>
      <c r="M797" s="3" t="str">
        <f>PROPER(CONCATENATE(Table13[[#This Row],[First_Name]], Table13[[#This Row],[Last_Name]]))</f>
        <v>Charliedavis</v>
      </c>
      <c r="N797" s="3" t="str">
        <f t="shared" si="12"/>
        <v>Nov</v>
      </c>
      <c r="O797" s="3" t="str">
        <f>TEXT(Table13[[#This Row],[Join_Date]],"yyyy")</f>
        <v>2024</v>
      </c>
      <c r="P797" s="3" t="str">
        <f>LEFT('Main Project Raw Data'!E797,FIND("-",'Main Project Raw Data'!E797)-1)</f>
        <v>HR</v>
      </c>
      <c r="Q797" s="3" t="str">
        <f>RIGHT('Main Project Raw Data'!E797,LEN('Main Project Raw Data'!E797)-FIND("-",'Main Project Raw Data'!E797))</f>
        <v>Florida</v>
      </c>
    </row>
    <row r="798" spans="1:17" x14ac:dyDescent="0.3">
      <c r="A798" s="3" t="str">
        <f>TRIM(Table1[[#This Row],[Employee_ID]])</f>
        <v>EMP1796</v>
      </c>
      <c r="B798" s="3" t="str">
        <f>TRIM(Table1[[#This Row],[First_Name]])</f>
        <v>Charlie</v>
      </c>
      <c r="C798" s="3" t="str">
        <f>TRIM(Table1[[#This Row],[Last_Name]])</f>
        <v>Jones</v>
      </c>
      <c r="D798" s="3">
        <f>IF(Table1[[#This Row],[Age]]="",AVERAGE(Table1[Age]),Table1[[#This Row],[Age]])</f>
        <v>25</v>
      </c>
      <c r="E798" s="3" t="s">
        <v>219</v>
      </c>
      <c r="F798" s="3" t="s">
        <v>16</v>
      </c>
      <c r="G798" s="5">
        <f>IF(ISNUMBER('Main Project Raw Data'!G798),'Main Project Raw Data'!G798,IF(ISNUMBER(SEARCH("/",'Main Project Raw Data'!G798)),DATE(RIGHT('Main Project Raw Data'!G798,4),LEFT('Main Project Raw Data'!G798,FIND("/",'Main Project Raw Data'!G798)-1),MID('Main Project Raw Data'!G798,FIND("/",'Main Project Raw Data'!G798)+1,2)),DATE(RIGHT('Main Project Raw Data'!G798,4),MID('Main Project Raw Data'!G798,4,2),LEFT('Main Project Raw Data'!G798,2))))</f>
        <v>44251</v>
      </c>
      <c r="H798" s="3">
        <f>IF(Table1[[#This Row],[Salary]]="",AVERAGE(Table1[Salary]),Table1[[#This Row],[Salary]])</f>
        <v>100719.94</v>
      </c>
      <c r="I798" s="3" t="s">
        <v>120</v>
      </c>
      <c r="J798" s="3">
        <f>ABS(Table1[[#This Row],[Phone]])</f>
        <v>5757475832</v>
      </c>
      <c r="K798" s="3" t="str">
        <f>PROPER(TRIM(Table1[[#This Row],[Performance_Score]]))</f>
        <v>Good</v>
      </c>
      <c r="L798" s="3" t="b">
        <f>Table1[[#This Row],[Remote_Work]]</f>
        <v>0</v>
      </c>
      <c r="M798" s="3" t="str">
        <f>PROPER(CONCATENATE(Table13[[#This Row],[First_Name]], Table13[[#This Row],[Last_Name]]))</f>
        <v>Charliejones</v>
      </c>
      <c r="N798" s="3" t="str">
        <f t="shared" si="12"/>
        <v>Feb</v>
      </c>
      <c r="O798" s="3" t="str">
        <f>TEXT(Table13[[#This Row],[Join_Date]],"yyyy")</f>
        <v>2021</v>
      </c>
      <c r="P798" s="3" t="str">
        <f>LEFT('Main Project Raw Data'!E798,FIND("-",'Main Project Raw Data'!E798)-1)</f>
        <v>Sales</v>
      </c>
      <c r="Q798" s="3" t="str">
        <f>RIGHT('Main Project Raw Data'!E798,LEN('Main Project Raw Data'!E798)-FIND("-",'Main Project Raw Data'!E798))</f>
        <v>Nevada</v>
      </c>
    </row>
    <row r="799" spans="1:17" x14ac:dyDescent="0.3">
      <c r="A799" s="3" t="str">
        <f>TRIM(Table1[[#This Row],[Employee_ID]])</f>
        <v>EMP1797</v>
      </c>
      <c r="B799" s="3" t="str">
        <f>TRIM(Table1[[#This Row],[First_Name]])</f>
        <v>Bob</v>
      </c>
      <c r="C799" s="3" t="str">
        <f>TRIM(Table1[[#This Row],[Last_Name]])</f>
        <v>Davis</v>
      </c>
      <c r="D799" s="3">
        <f>IF(Table1[[#This Row],[Age]]="",AVERAGE(Table1[Age]),Table1[[#This Row],[Age]])</f>
        <v>25</v>
      </c>
      <c r="E799" s="3" t="s">
        <v>139</v>
      </c>
      <c r="F799" s="3" t="s">
        <v>28</v>
      </c>
      <c r="G799" s="5">
        <f>IF(ISNUMBER('Main Project Raw Data'!G799),'Main Project Raw Data'!G799,IF(ISNUMBER(SEARCH("/",'Main Project Raw Data'!G799)),DATE(RIGHT('Main Project Raw Data'!G799,4),LEFT('Main Project Raw Data'!G799,FIND("/",'Main Project Raw Data'!G799)-1),MID('Main Project Raw Data'!G799,FIND("/",'Main Project Raw Data'!G799)+1,2)),DATE(RIGHT('Main Project Raw Data'!G799,4),MID('Main Project Raw Data'!G799,4,2),LEFT('Main Project Raw Data'!G799,2))))</f>
        <v>45332</v>
      </c>
      <c r="H799" s="3">
        <f>IF(Table1[[#This Row],[Salary]]="",AVERAGE(Table1[Salary]),Table1[[#This Row],[Salary]])</f>
        <v>91600.13</v>
      </c>
      <c r="I799" s="3" t="s">
        <v>17</v>
      </c>
      <c r="J799" s="3">
        <f>ABS(Table1[[#This Row],[Phone]])</f>
        <v>9205677566</v>
      </c>
      <c r="K799" s="3" t="str">
        <f>PROPER(TRIM(Table1[[#This Row],[Performance_Score]]))</f>
        <v>Average</v>
      </c>
      <c r="L799" s="3" t="b">
        <f>Table1[[#This Row],[Remote_Work]]</f>
        <v>1</v>
      </c>
      <c r="M799" s="3" t="str">
        <f>PROPER(CONCATENATE(Table13[[#This Row],[First_Name]], Table13[[#This Row],[Last_Name]]))</f>
        <v>Bobdavis</v>
      </c>
      <c r="N799" s="3" t="str">
        <f t="shared" si="12"/>
        <v>Feb</v>
      </c>
      <c r="O799" s="3" t="str">
        <f>TEXT(Table13[[#This Row],[Join_Date]],"yyyy")</f>
        <v>2024</v>
      </c>
      <c r="P799" s="3" t="str">
        <f>LEFT('Main Project Raw Data'!E799,FIND("-",'Main Project Raw Data'!E799)-1)</f>
        <v>HR</v>
      </c>
      <c r="Q799" s="3" t="str">
        <f>RIGHT('Main Project Raw Data'!E799,LEN('Main Project Raw Data'!E799)-FIND("-",'Main Project Raw Data'!E799))</f>
        <v>Texas</v>
      </c>
    </row>
    <row r="800" spans="1:17" x14ac:dyDescent="0.3">
      <c r="A800" s="3" t="str">
        <f>TRIM(Table1[[#This Row],[Employee_ID]])</f>
        <v>EMP1798</v>
      </c>
      <c r="B800" s="3" t="str">
        <f>TRIM(Table1[[#This Row],[First_Name]])</f>
        <v>Heidi</v>
      </c>
      <c r="C800" s="3" t="str">
        <f>TRIM(Table1[[#This Row],[Last_Name]])</f>
        <v>Smith</v>
      </c>
      <c r="D800" s="3">
        <f>IF(Table1[[#This Row],[Age]]="",AVERAGE(Table1[Age]),Table1[[#This Row],[Age]])</f>
        <v>25</v>
      </c>
      <c r="E800" s="3" t="s">
        <v>95</v>
      </c>
      <c r="F800" s="3" t="s">
        <v>28</v>
      </c>
      <c r="G800" s="5">
        <f>IF(ISNUMBER('Main Project Raw Data'!G800),'Main Project Raw Data'!G800,IF(ISNUMBER(SEARCH("/",'Main Project Raw Data'!G800)),DATE(RIGHT('Main Project Raw Data'!G800,4),LEFT('Main Project Raw Data'!G800,FIND("/",'Main Project Raw Data'!G800)-1),MID('Main Project Raw Data'!G800,FIND("/",'Main Project Raw Data'!G800)+1,2)),DATE(RIGHT('Main Project Raw Data'!G800,4),MID('Main Project Raw Data'!G800,4,2),LEFT('Main Project Raw Data'!G800,2))))</f>
        <v>45446</v>
      </c>
      <c r="H800" s="3">
        <f>IF(Table1[[#This Row],[Salary]]="",AVERAGE(Table1[Salary]),Table1[[#This Row],[Salary]])</f>
        <v>71873.66</v>
      </c>
      <c r="I800" s="3" t="s">
        <v>366</v>
      </c>
      <c r="J800" s="3">
        <f>ABS(Table1[[#This Row],[Phone]])</f>
        <v>7722660255</v>
      </c>
      <c r="K800" s="3" t="str">
        <f>PROPER(TRIM(Table1[[#This Row],[Performance_Score]]))</f>
        <v>Good</v>
      </c>
      <c r="L800" s="3" t="b">
        <f>Table1[[#This Row],[Remote_Work]]</f>
        <v>1</v>
      </c>
      <c r="M800" s="3" t="str">
        <f>PROPER(CONCATENATE(Table13[[#This Row],[First_Name]], Table13[[#This Row],[Last_Name]]))</f>
        <v>Heidismith</v>
      </c>
      <c r="N800" s="3" t="str">
        <f t="shared" si="12"/>
        <v>Jun</v>
      </c>
      <c r="O800" s="3" t="str">
        <f>TEXT(Table13[[#This Row],[Join_Date]],"yyyy")</f>
        <v>2024</v>
      </c>
      <c r="P800" s="3" t="str">
        <f>LEFT('Main Project Raw Data'!E800,FIND("-",'Main Project Raw Data'!E800)-1)</f>
        <v>Cloud Tech</v>
      </c>
      <c r="Q800" s="3" t="str">
        <f>RIGHT('Main Project Raw Data'!E800,LEN('Main Project Raw Data'!E800)-FIND("-",'Main Project Raw Data'!E800))</f>
        <v>Illinois</v>
      </c>
    </row>
    <row r="801" spans="1:17" x14ac:dyDescent="0.3">
      <c r="A801" s="3" t="str">
        <f>TRIM(Table1[[#This Row],[Employee_ID]])</f>
        <v>EMP1799</v>
      </c>
      <c r="B801" s="3" t="str">
        <f>TRIM(Table1[[#This Row],[First_Name]])</f>
        <v>Eva</v>
      </c>
      <c r="C801" s="3" t="str">
        <f>TRIM(Table1[[#This Row],[Last_Name]])</f>
        <v>Williams</v>
      </c>
      <c r="D801" s="3">
        <f>IF(Table1[[#This Row],[Age]]="",AVERAGE(Table1[Age]),Table1[[#This Row],[Age]])</f>
        <v>30</v>
      </c>
      <c r="E801" s="3" t="s">
        <v>66</v>
      </c>
      <c r="F801" s="3" t="s">
        <v>16</v>
      </c>
      <c r="G801" s="5">
        <f>IF(ISNUMBER('Main Project Raw Data'!G801),'Main Project Raw Data'!G801,IF(ISNUMBER(SEARCH("/",'Main Project Raw Data'!G801)),DATE(RIGHT('Main Project Raw Data'!G801,4),LEFT('Main Project Raw Data'!G801,FIND("/",'Main Project Raw Data'!G801)-1),MID('Main Project Raw Data'!G801,FIND("/",'Main Project Raw Data'!G801)+1,2)),DATE(RIGHT('Main Project Raw Data'!G801,4),MID('Main Project Raw Data'!G801,4,2),LEFT('Main Project Raw Data'!G801,2))))</f>
        <v>44447</v>
      </c>
      <c r="H801" s="3">
        <f>IF(Table1[[#This Row],[Salary]]="",AVERAGE(Table1[Salary]),Table1[[#This Row],[Salary]])</f>
        <v>69365.47</v>
      </c>
      <c r="I801" s="3" t="s">
        <v>141</v>
      </c>
      <c r="J801" s="3">
        <f>ABS(Table1[[#This Row],[Phone]])</f>
        <v>2650622922</v>
      </c>
      <c r="K801" s="3" t="str">
        <f>PROPER(TRIM(Table1[[#This Row],[Performance_Score]]))</f>
        <v>Average</v>
      </c>
      <c r="L801" s="3" t="b">
        <f>Table1[[#This Row],[Remote_Work]]</f>
        <v>1</v>
      </c>
      <c r="M801" s="3" t="str">
        <f>PROPER(CONCATENATE(Table13[[#This Row],[First_Name]], Table13[[#This Row],[Last_Name]]))</f>
        <v>Evawilliams</v>
      </c>
      <c r="N801" s="3" t="str">
        <f t="shared" si="12"/>
        <v>Sep</v>
      </c>
      <c r="O801" s="3" t="str">
        <f>TEXT(Table13[[#This Row],[Join_Date]],"yyyy")</f>
        <v>2021</v>
      </c>
      <c r="P801" s="3" t="str">
        <f>LEFT('Main Project Raw Data'!E801,FIND("-",'Main Project Raw Data'!E801)-1)</f>
        <v>HR</v>
      </c>
      <c r="Q801" s="3" t="str">
        <f>RIGHT('Main Project Raw Data'!E801,LEN('Main Project Raw Data'!E801)-FIND("-",'Main Project Raw Data'!E801))</f>
        <v>New York</v>
      </c>
    </row>
    <row r="802" spans="1:17" x14ac:dyDescent="0.3">
      <c r="A802" s="3" t="str">
        <f>TRIM(Table1[[#This Row],[Employee_ID]])</f>
        <v>EMP1800</v>
      </c>
      <c r="B802" s="3" t="str">
        <f>TRIM(Table1[[#This Row],[First_Name]])</f>
        <v>Heidi</v>
      </c>
      <c r="C802" s="3" t="str">
        <f>TRIM(Table1[[#This Row],[Last_Name]])</f>
        <v>Smith</v>
      </c>
      <c r="D802" s="3">
        <f>IF(Table1[[#This Row],[Age]]="",AVERAGE(Table1[Age]),Table1[[#This Row],[Age]])</f>
        <v>25</v>
      </c>
      <c r="E802" s="3" t="s">
        <v>66</v>
      </c>
      <c r="F802" s="3" t="s">
        <v>16</v>
      </c>
      <c r="G802" s="5">
        <f>IF(ISNUMBER('Main Project Raw Data'!G802),'Main Project Raw Data'!G802,IF(ISNUMBER(SEARCH("/",'Main Project Raw Data'!G802)),DATE(RIGHT('Main Project Raw Data'!G802,4),LEFT('Main Project Raw Data'!G802,FIND("/",'Main Project Raw Data'!G802)-1),MID('Main Project Raw Data'!G802,FIND("/",'Main Project Raw Data'!G802)+1,2)),DATE(RIGHT('Main Project Raw Data'!G802,4),MID('Main Project Raw Data'!G802,4,2),LEFT('Main Project Raw Data'!G802,2))))</f>
        <v>44391</v>
      </c>
      <c r="H802" s="3">
        <f>IF(Table1[[#This Row],[Salary]]="",AVERAGE(Table1[Salary]),Table1[[#This Row],[Salary]])</f>
        <v>58012.23</v>
      </c>
      <c r="I802" s="3" t="s">
        <v>366</v>
      </c>
      <c r="J802" s="3">
        <f>ABS(Table1[[#This Row],[Phone]])</f>
        <v>1067245306</v>
      </c>
      <c r="K802" s="3" t="str">
        <f>PROPER(TRIM(Table1[[#This Row],[Performance_Score]]))</f>
        <v>Average</v>
      </c>
      <c r="L802" s="3" t="b">
        <f>Table1[[#This Row],[Remote_Work]]</f>
        <v>1</v>
      </c>
      <c r="M802" s="3" t="str">
        <f>PROPER(CONCATENATE(Table13[[#This Row],[First_Name]], Table13[[#This Row],[Last_Name]]))</f>
        <v>Heidismith</v>
      </c>
      <c r="N802" s="3" t="str">
        <f t="shared" si="12"/>
        <v>Jul</v>
      </c>
      <c r="O802" s="3" t="str">
        <f>TEXT(Table13[[#This Row],[Join_Date]],"yyyy")</f>
        <v>2021</v>
      </c>
      <c r="P802" s="3" t="str">
        <f>LEFT('Main Project Raw Data'!E802,FIND("-",'Main Project Raw Data'!E802)-1)</f>
        <v>HR</v>
      </c>
      <c r="Q802" s="3" t="str">
        <f>RIGHT('Main Project Raw Data'!E802,LEN('Main Project Raw Data'!E802)-FIND("-",'Main Project Raw Data'!E802))</f>
        <v>New York</v>
      </c>
    </row>
    <row r="803" spans="1:17" x14ac:dyDescent="0.3">
      <c r="A803" s="3" t="str">
        <f>TRIM(Table1[[#This Row],[Employee_ID]])</f>
        <v>EMP1801</v>
      </c>
      <c r="B803" s="3" t="str">
        <f>TRIM(Table1[[#This Row],[First_Name]])</f>
        <v>Bob</v>
      </c>
      <c r="C803" s="3" t="str">
        <f>TRIM(Table1[[#This Row],[Last_Name]])</f>
        <v>Miller</v>
      </c>
      <c r="D803" s="3">
        <f>IF(Table1[[#This Row],[Age]]="",AVERAGE(Table1[Age]),Table1[[#This Row],[Age]])</f>
        <v>30</v>
      </c>
      <c r="E803" s="3" t="s">
        <v>177</v>
      </c>
      <c r="F803" s="3" t="s">
        <v>28</v>
      </c>
      <c r="G803" s="5">
        <f>IF(ISNUMBER('Main Project Raw Data'!G803),'Main Project Raw Data'!G803,IF(ISNUMBER(SEARCH("/",'Main Project Raw Data'!G803)),DATE(RIGHT('Main Project Raw Data'!G803,4),LEFT('Main Project Raw Data'!G803,FIND("/",'Main Project Raw Data'!G803)-1),MID('Main Project Raw Data'!G803,FIND("/",'Main Project Raw Data'!G803)+1,2)),DATE(RIGHT('Main Project Raw Data'!G803,4),MID('Main Project Raw Data'!G803,4,2),LEFT('Main Project Raw Data'!G803,2))))</f>
        <v>44483</v>
      </c>
      <c r="H803" s="3">
        <f>IF(Table1[[#This Row],[Salary]]="",AVERAGE(Table1[Salary]),Table1[[#This Row],[Salary]])</f>
        <v>68973.649999999994</v>
      </c>
      <c r="I803" s="3" t="s">
        <v>93</v>
      </c>
      <c r="J803" s="3">
        <f>ABS(Table1[[#This Row],[Phone]])</f>
        <v>6248433796</v>
      </c>
      <c r="K803" s="3" t="str">
        <f>PROPER(TRIM(Table1[[#This Row],[Performance_Score]]))</f>
        <v>Average</v>
      </c>
      <c r="L803" s="3" t="b">
        <f>Table1[[#This Row],[Remote_Work]]</f>
        <v>1</v>
      </c>
      <c r="M803" s="3" t="str">
        <f>PROPER(CONCATENATE(Table13[[#This Row],[First_Name]], Table13[[#This Row],[Last_Name]]))</f>
        <v>Bobmiller</v>
      </c>
      <c r="N803" s="3" t="str">
        <f t="shared" si="12"/>
        <v>Oct</v>
      </c>
      <c r="O803" s="3" t="str">
        <f>TEXT(Table13[[#This Row],[Join_Date]],"yyyy")</f>
        <v>2021</v>
      </c>
      <c r="P803" s="3" t="str">
        <f>LEFT('Main Project Raw Data'!E803,FIND("-",'Main Project Raw Data'!E803)-1)</f>
        <v>Sales</v>
      </c>
      <c r="Q803" s="3" t="str">
        <f>RIGHT('Main Project Raw Data'!E803,LEN('Main Project Raw Data'!E803)-FIND("-",'Main Project Raw Data'!E803))</f>
        <v>California</v>
      </c>
    </row>
    <row r="804" spans="1:17" x14ac:dyDescent="0.3">
      <c r="A804" s="3" t="str">
        <f>TRIM(Table1[[#This Row],[Employee_ID]])</f>
        <v>EMP1802</v>
      </c>
      <c r="B804" s="3" t="str">
        <f>TRIM(Table1[[#This Row],[First_Name]])</f>
        <v>Eva</v>
      </c>
      <c r="C804" s="3" t="str">
        <f>TRIM(Table1[[#This Row],[Last_Name]])</f>
        <v>Smith</v>
      </c>
      <c r="D804" s="3">
        <f>IF(Table1[[#This Row],[Age]]="",AVERAGE(Table1[Age]),Table1[[#This Row],[Age]])</f>
        <v>32.484548825710753</v>
      </c>
      <c r="E804" s="3" t="s">
        <v>196</v>
      </c>
      <c r="F804" s="3" t="s">
        <v>16</v>
      </c>
      <c r="G804" s="5">
        <f>IF(ISNUMBER('Main Project Raw Data'!G804),'Main Project Raw Data'!G804,IF(ISNUMBER(SEARCH("/",'Main Project Raw Data'!G804)),DATE(RIGHT('Main Project Raw Data'!G804,4),LEFT('Main Project Raw Data'!G804,FIND("/",'Main Project Raw Data'!G804)-1),MID('Main Project Raw Data'!G804,FIND("/",'Main Project Raw Data'!G804)+1,2)),DATE(RIGHT('Main Project Raw Data'!G804,4),MID('Main Project Raw Data'!G804,4,2),LEFT('Main Project Raw Data'!G804,2))))</f>
        <v>44468</v>
      </c>
      <c r="H804" s="3">
        <f>IF(Table1[[#This Row],[Salary]]="",AVERAGE(Table1[Salary]),Table1[[#This Row],[Salary]])</f>
        <v>92928.4</v>
      </c>
      <c r="I804" s="3" t="s">
        <v>521</v>
      </c>
      <c r="J804" s="3">
        <f>ABS(Table1[[#This Row],[Phone]])</f>
        <v>6627051156</v>
      </c>
      <c r="K804" s="3" t="str">
        <f>PROPER(TRIM(Table1[[#This Row],[Performance_Score]]))</f>
        <v>Poor</v>
      </c>
      <c r="L804" s="3" t="b">
        <f>Table1[[#This Row],[Remote_Work]]</f>
        <v>1</v>
      </c>
      <c r="M804" s="3" t="str">
        <f>PROPER(CONCATENATE(Table13[[#This Row],[First_Name]], Table13[[#This Row],[Last_Name]]))</f>
        <v>Evasmith</v>
      </c>
      <c r="N804" s="3" t="str">
        <f t="shared" si="12"/>
        <v>Sep</v>
      </c>
      <c r="O804" s="3" t="str">
        <f>TEXT(Table13[[#This Row],[Join_Date]],"yyyy")</f>
        <v>2021</v>
      </c>
      <c r="P804" s="3" t="str">
        <f>LEFT('Main Project Raw Data'!E804,FIND("-",'Main Project Raw Data'!E804)-1)</f>
        <v>Admin</v>
      </c>
      <c r="Q804" s="3" t="str">
        <f>RIGHT('Main Project Raw Data'!E804,LEN('Main Project Raw Data'!E804)-FIND("-",'Main Project Raw Data'!E804))</f>
        <v>New York</v>
      </c>
    </row>
    <row r="805" spans="1:17" x14ac:dyDescent="0.3">
      <c r="A805" s="3" t="str">
        <f>TRIM(Table1[[#This Row],[Employee_ID]])</f>
        <v>EMP1803</v>
      </c>
      <c r="B805" s="3" t="str">
        <f>TRIM(Table1[[#This Row],[First_Name]])</f>
        <v>Heidi</v>
      </c>
      <c r="C805" s="3" t="str">
        <f>TRIM(Table1[[#This Row],[Last_Name]])</f>
        <v>Smith</v>
      </c>
      <c r="D805" s="3">
        <f>IF(Table1[[#This Row],[Age]]="",AVERAGE(Table1[Age]),Table1[[#This Row],[Age]])</f>
        <v>25</v>
      </c>
      <c r="E805" s="3" t="s">
        <v>103</v>
      </c>
      <c r="F805" s="3" t="s">
        <v>33</v>
      </c>
      <c r="G805" s="5">
        <f>IF(ISNUMBER('Main Project Raw Data'!G805),'Main Project Raw Data'!G805,IF(ISNUMBER(SEARCH("/",'Main Project Raw Data'!G805)),DATE(RIGHT('Main Project Raw Data'!G805,4),LEFT('Main Project Raw Data'!G805,FIND("/",'Main Project Raw Data'!G805)-1),MID('Main Project Raw Data'!G805,FIND("/",'Main Project Raw Data'!G805)+1,2)),DATE(RIGHT('Main Project Raw Data'!G805,4),MID('Main Project Raw Data'!G805,4,2),LEFT('Main Project Raw Data'!G805,2))))</f>
        <v>45214</v>
      </c>
      <c r="H805" s="3">
        <f>IF(Table1[[#This Row],[Salary]]="",AVERAGE(Table1[Salary]),Table1[[#This Row],[Salary]])</f>
        <v>53531.92</v>
      </c>
      <c r="I805" s="3" t="s">
        <v>366</v>
      </c>
      <c r="J805" s="3">
        <f>ABS(Table1[[#This Row],[Phone]])</f>
        <v>9423873669</v>
      </c>
      <c r="K805" s="3" t="str">
        <f>PROPER(TRIM(Table1[[#This Row],[Performance_Score]]))</f>
        <v>Poor</v>
      </c>
      <c r="L805" s="3" t="b">
        <f>Table1[[#This Row],[Remote_Work]]</f>
        <v>1</v>
      </c>
      <c r="M805" s="3" t="str">
        <f>PROPER(CONCATENATE(Table13[[#This Row],[First_Name]], Table13[[#This Row],[Last_Name]]))</f>
        <v>Heidismith</v>
      </c>
      <c r="N805" s="3" t="str">
        <f t="shared" si="12"/>
        <v>Oct</v>
      </c>
      <c r="O805" s="3" t="str">
        <f>TEXT(Table13[[#This Row],[Join_Date]],"yyyy")</f>
        <v>2023</v>
      </c>
      <c r="P805" s="3" t="str">
        <f>LEFT('Main Project Raw Data'!E805,FIND("-",'Main Project Raw Data'!E805)-1)</f>
        <v>Admin</v>
      </c>
      <c r="Q805" s="3" t="str">
        <f>RIGHT('Main Project Raw Data'!E805,LEN('Main Project Raw Data'!E805)-FIND("-",'Main Project Raw Data'!E805))</f>
        <v>Texas</v>
      </c>
    </row>
    <row r="806" spans="1:17" x14ac:dyDescent="0.3">
      <c r="A806" s="3" t="str">
        <f>TRIM(Table1[[#This Row],[Employee_ID]])</f>
        <v>EMP1804</v>
      </c>
      <c r="B806" s="3" t="str">
        <f>TRIM(Table1[[#This Row],[First_Name]])</f>
        <v>Bob</v>
      </c>
      <c r="C806" s="3" t="str">
        <f>TRIM(Table1[[#This Row],[Last_Name]])</f>
        <v>Miller</v>
      </c>
      <c r="D806" s="3">
        <f>IF(Table1[[#This Row],[Age]]="",AVERAGE(Table1[Age]),Table1[[#This Row],[Age]])</f>
        <v>40</v>
      </c>
      <c r="E806" s="3" t="s">
        <v>227</v>
      </c>
      <c r="F806" s="3" t="s">
        <v>28</v>
      </c>
      <c r="G806" s="5">
        <f>IF(ISNUMBER('Main Project Raw Data'!G806),'Main Project Raw Data'!G806,IF(ISNUMBER(SEARCH("/",'Main Project Raw Data'!G806)),DATE(RIGHT('Main Project Raw Data'!G806,4),LEFT('Main Project Raw Data'!G806,FIND("/",'Main Project Raw Data'!G806)-1),MID('Main Project Raw Data'!G806,FIND("/",'Main Project Raw Data'!G806)+1,2)),DATE(RIGHT('Main Project Raw Data'!G806,4),MID('Main Project Raw Data'!G806,4,2),LEFT('Main Project Raw Data'!G806,2))))</f>
        <v>45051</v>
      </c>
      <c r="H806" s="3">
        <f>IF(Table1[[#This Row],[Salary]]="",AVERAGE(Table1[Salary]),Table1[[#This Row],[Salary]])</f>
        <v>112389.31</v>
      </c>
      <c r="I806" s="3" t="s">
        <v>93</v>
      </c>
      <c r="J806" s="3">
        <f>ABS(Table1[[#This Row],[Phone]])</f>
        <v>4254969191</v>
      </c>
      <c r="K806" s="3" t="str">
        <f>PROPER(TRIM(Table1[[#This Row],[Performance_Score]]))</f>
        <v>Excellent</v>
      </c>
      <c r="L806" s="3" t="b">
        <f>Table1[[#This Row],[Remote_Work]]</f>
        <v>0</v>
      </c>
      <c r="M806" s="3" t="str">
        <f>PROPER(CONCATENATE(Table13[[#This Row],[First_Name]], Table13[[#This Row],[Last_Name]]))</f>
        <v>Bobmiller</v>
      </c>
      <c r="N806" s="3" t="str">
        <f t="shared" si="12"/>
        <v>May</v>
      </c>
      <c r="O806" s="3" t="str">
        <f>TEXT(Table13[[#This Row],[Join_Date]],"yyyy")</f>
        <v>2023</v>
      </c>
      <c r="P806" s="3" t="str">
        <f>LEFT('Main Project Raw Data'!E806,FIND("-",'Main Project Raw Data'!E806)-1)</f>
        <v>Finance</v>
      </c>
      <c r="Q806" s="3" t="str">
        <f>RIGHT('Main Project Raw Data'!E806,LEN('Main Project Raw Data'!E806)-FIND("-",'Main Project Raw Data'!E806))</f>
        <v>New York</v>
      </c>
    </row>
    <row r="807" spans="1:17" x14ac:dyDescent="0.3">
      <c r="A807" s="3" t="str">
        <f>TRIM(Table1[[#This Row],[Employee_ID]])</f>
        <v>EMP1805</v>
      </c>
      <c r="B807" s="3" t="str">
        <f>TRIM(Table1[[#This Row],[First_Name]])</f>
        <v>Heidi</v>
      </c>
      <c r="C807" s="3" t="str">
        <f>TRIM(Table1[[#This Row],[Last_Name]])</f>
        <v>Brown</v>
      </c>
      <c r="D807" s="3">
        <f>IF(Table1[[#This Row],[Age]]="",AVERAGE(Table1[Age]),Table1[[#This Row],[Age]])</f>
        <v>32.484548825710753</v>
      </c>
      <c r="E807" s="3" t="s">
        <v>146</v>
      </c>
      <c r="F807" s="3" t="s">
        <v>33</v>
      </c>
      <c r="G807" s="5">
        <f>IF(ISNUMBER('Main Project Raw Data'!G807),'Main Project Raw Data'!G807,IF(ISNUMBER(SEARCH("/",'Main Project Raw Data'!G807)),DATE(RIGHT('Main Project Raw Data'!G807,4),LEFT('Main Project Raw Data'!G807,FIND("/",'Main Project Raw Data'!G807)-1),MID('Main Project Raw Data'!G807,FIND("/",'Main Project Raw Data'!G807)+1,2)),DATE(RIGHT('Main Project Raw Data'!G807,4),MID('Main Project Raw Data'!G807,4,2),LEFT('Main Project Raw Data'!G807,2))))</f>
        <v>45299</v>
      </c>
      <c r="H807" s="3">
        <f>IF(Table1[[#This Row],[Salary]]="",AVERAGE(Table1[Salary]),Table1[[#This Row],[Salary]])</f>
        <v>63870.3</v>
      </c>
      <c r="I807" s="3" t="s">
        <v>403</v>
      </c>
      <c r="J807" s="3">
        <f>ABS(Table1[[#This Row],[Phone]])</f>
        <v>8455259709</v>
      </c>
      <c r="K807" s="3" t="str">
        <f>PROPER(TRIM(Table1[[#This Row],[Performance_Score]]))</f>
        <v>Excellent</v>
      </c>
      <c r="L807" s="3" t="b">
        <f>Table1[[#This Row],[Remote_Work]]</f>
        <v>0</v>
      </c>
      <c r="M807" s="3" t="str">
        <f>PROPER(CONCATENATE(Table13[[#This Row],[First_Name]], Table13[[#This Row],[Last_Name]]))</f>
        <v>Heidibrown</v>
      </c>
      <c r="N807" s="3" t="str">
        <f t="shared" si="12"/>
        <v>Jan</v>
      </c>
      <c r="O807" s="3" t="str">
        <f>TEXT(Table13[[#This Row],[Join_Date]],"yyyy")</f>
        <v>2024</v>
      </c>
      <c r="P807" s="3" t="str">
        <f>LEFT('Main Project Raw Data'!E807,FIND("-",'Main Project Raw Data'!E807)-1)</f>
        <v>HR</v>
      </c>
      <c r="Q807" s="3" t="str">
        <f>RIGHT('Main Project Raw Data'!E807,LEN('Main Project Raw Data'!E807)-FIND("-",'Main Project Raw Data'!E807))</f>
        <v>California</v>
      </c>
    </row>
    <row r="808" spans="1:17" x14ac:dyDescent="0.3">
      <c r="A808" s="3" t="str">
        <f>TRIM(Table1[[#This Row],[Employee_ID]])</f>
        <v>EMP1806</v>
      </c>
      <c r="B808" s="3" t="str">
        <f>TRIM(Table1[[#This Row],[First_Name]])</f>
        <v>Bob</v>
      </c>
      <c r="C808" s="3" t="str">
        <f>TRIM(Table1[[#This Row],[Last_Name]])</f>
        <v>Garcia</v>
      </c>
      <c r="D808" s="3">
        <f>IF(Table1[[#This Row],[Age]]="",AVERAGE(Table1[Age]),Table1[[#This Row],[Age]])</f>
        <v>40</v>
      </c>
      <c r="E808" s="3" t="s">
        <v>109</v>
      </c>
      <c r="F808" s="3" t="s">
        <v>16</v>
      </c>
      <c r="G808" s="5">
        <f>IF(ISNUMBER('Main Project Raw Data'!G808),'Main Project Raw Data'!G808,IF(ISNUMBER(SEARCH("/",'Main Project Raw Data'!G808)),DATE(RIGHT('Main Project Raw Data'!G808,4),LEFT('Main Project Raw Data'!G808,FIND("/",'Main Project Raw Data'!G808)-1),MID('Main Project Raw Data'!G808,FIND("/",'Main Project Raw Data'!G808)+1,2)),DATE(RIGHT('Main Project Raw Data'!G808,4),MID('Main Project Raw Data'!G808,4,2),LEFT('Main Project Raw Data'!G808,2))))</f>
        <v>45495</v>
      </c>
      <c r="H808" s="3">
        <f>IF(Table1[[#This Row],[Salary]]="",AVERAGE(Table1[Salary]),Table1[[#This Row],[Salary]])</f>
        <v>106164.53</v>
      </c>
      <c r="I808" s="3" t="s">
        <v>153</v>
      </c>
      <c r="J808" s="3">
        <f>ABS(Table1[[#This Row],[Phone]])</f>
        <v>7563353573</v>
      </c>
      <c r="K808" s="3" t="str">
        <f>PROPER(TRIM(Table1[[#This Row],[Performance_Score]]))</f>
        <v>Good</v>
      </c>
      <c r="L808" s="3" t="b">
        <f>Table1[[#This Row],[Remote_Work]]</f>
        <v>0</v>
      </c>
      <c r="M808" s="3" t="str">
        <f>PROPER(CONCATENATE(Table13[[#This Row],[First_Name]], Table13[[#This Row],[Last_Name]]))</f>
        <v>Bobgarcia</v>
      </c>
      <c r="N808" s="3" t="str">
        <f t="shared" si="12"/>
        <v>Jul</v>
      </c>
      <c r="O808" s="3" t="str">
        <f>TEXT(Table13[[#This Row],[Join_Date]],"yyyy")</f>
        <v>2024</v>
      </c>
      <c r="P808" s="3" t="str">
        <f>LEFT('Main Project Raw Data'!E808,FIND("-",'Main Project Raw Data'!E808)-1)</f>
        <v>Sales</v>
      </c>
      <c r="Q808" s="3" t="str">
        <f>RIGHT('Main Project Raw Data'!E808,LEN('Main Project Raw Data'!E808)-FIND("-",'Main Project Raw Data'!E808))</f>
        <v>New York</v>
      </c>
    </row>
    <row r="809" spans="1:17" x14ac:dyDescent="0.3">
      <c r="A809" s="3" t="str">
        <f>TRIM(Table1[[#This Row],[Employee_ID]])</f>
        <v>EMP1807</v>
      </c>
      <c r="B809" s="3" t="str">
        <f>TRIM(Table1[[#This Row],[First_Name]])</f>
        <v>Bob</v>
      </c>
      <c r="C809" s="3" t="str">
        <f>TRIM(Table1[[#This Row],[Last_Name]])</f>
        <v>Smith</v>
      </c>
      <c r="D809" s="3">
        <f>IF(Table1[[#This Row],[Age]]="",AVERAGE(Table1[Age]),Table1[[#This Row],[Age]])</f>
        <v>40</v>
      </c>
      <c r="E809" s="3" t="s">
        <v>149</v>
      </c>
      <c r="F809" s="3" t="s">
        <v>28</v>
      </c>
      <c r="G809" s="5">
        <f>IF(ISNUMBER('Main Project Raw Data'!G809),'Main Project Raw Data'!G809,IF(ISNUMBER(SEARCH("/",'Main Project Raw Data'!G809)),DATE(RIGHT('Main Project Raw Data'!G809,4),LEFT('Main Project Raw Data'!G809,FIND("/",'Main Project Raw Data'!G809)-1),MID('Main Project Raw Data'!G809,FIND("/",'Main Project Raw Data'!G809)+1,2)),DATE(RIGHT('Main Project Raw Data'!G809,4),MID('Main Project Raw Data'!G809,4,2),LEFT('Main Project Raw Data'!G809,2))))</f>
        <v>45285</v>
      </c>
      <c r="H809" s="3">
        <f>IF(Table1[[#This Row],[Salary]]="",AVERAGE(Table1[Salary]),Table1[[#This Row],[Salary]])</f>
        <v>103654.54</v>
      </c>
      <c r="I809" s="3" t="s">
        <v>123</v>
      </c>
      <c r="J809" s="3">
        <f>ABS(Table1[[#This Row],[Phone]])</f>
        <v>8595325938</v>
      </c>
      <c r="K809" s="3" t="str">
        <f>PROPER(TRIM(Table1[[#This Row],[Performance_Score]]))</f>
        <v>Poor</v>
      </c>
      <c r="L809" s="3" t="b">
        <f>Table1[[#This Row],[Remote_Work]]</f>
        <v>0</v>
      </c>
      <c r="M809" s="3" t="str">
        <f>PROPER(CONCATENATE(Table13[[#This Row],[First_Name]], Table13[[#This Row],[Last_Name]]))</f>
        <v>Bobsmith</v>
      </c>
      <c r="N809" s="3" t="str">
        <f t="shared" si="12"/>
        <v>Dec</v>
      </c>
      <c r="O809" s="3" t="str">
        <f>TEXT(Table13[[#This Row],[Join_Date]],"yyyy")</f>
        <v>2023</v>
      </c>
      <c r="P809" s="3" t="str">
        <f>LEFT('Main Project Raw Data'!E809,FIND("-",'Main Project Raw Data'!E809)-1)</f>
        <v>HR</v>
      </c>
      <c r="Q809" s="3" t="str">
        <f>RIGHT('Main Project Raw Data'!E809,LEN('Main Project Raw Data'!E809)-FIND("-",'Main Project Raw Data'!E809))</f>
        <v>Nevada</v>
      </c>
    </row>
    <row r="810" spans="1:17" x14ac:dyDescent="0.3">
      <c r="A810" s="3" t="str">
        <f>TRIM(Table1[[#This Row],[Employee_ID]])</f>
        <v>EMP1808</v>
      </c>
      <c r="B810" s="3" t="str">
        <f>TRIM(Table1[[#This Row],[First_Name]])</f>
        <v>David</v>
      </c>
      <c r="C810" s="3" t="str">
        <f>TRIM(Table1[[#This Row],[Last_Name]])</f>
        <v>Miller</v>
      </c>
      <c r="D810" s="3">
        <f>IF(Table1[[#This Row],[Age]]="",AVERAGE(Table1[Age]),Table1[[#This Row],[Age]])</f>
        <v>30</v>
      </c>
      <c r="E810" s="3" t="s">
        <v>177</v>
      </c>
      <c r="F810" s="3" t="s">
        <v>33</v>
      </c>
      <c r="G810" s="5">
        <f>IF(ISNUMBER('Main Project Raw Data'!G810),'Main Project Raw Data'!G810,IF(ISNUMBER(SEARCH("/",'Main Project Raw Data'!G810)),DATE(RIGHT('Main Project Raw Data'!G810,4),LEFT('Main Project Raw Data'!G810,FIND("/",'Main Project Raw Data'!G810)-1),MID('Main Project Raw Data'!G810,FIND("/",'Main Project Raw Data'!G810)+1,2)),DATE(RIGHT('Main Project Raw Data'!G810,4),MID('Main Project Raw Data'!G810,4,2),LEFT('Main Project Raw Data'!G810,2))))</f>
        <v>44633</v>
      </c>
      <c r="H810" s="3">
        <f>IF(Table1[[#This Row],[Salary]]="",AVERAGE(Table1[Salary]),Table1[[#This Row],[Salary]])</f>
        <v>62834.720000000001</v>
      </c>
      <c r="I810" s="3" t="s">
        <v>107</v>
      </c>
      <c r="J810" s="3">
        <f>ABS(Table1[[#This Row],[Phone]])</f>
        <v>9337970580</v>
      </c>
      <c r="K810" s="3" t="str">
        <f>PROPER(TRIM(Table1[[#This Row],[Performance_Score]]))</f>
        <v>Good</v>
      </c>
      <c r="L810" s="3" t="b">
        <f>Table1[[#This Row],[Remote_Work]]</f>
        <v>1</v>
      </c>
      <c r="M810" s="3" t="str">
        <f>PROPER(CONCATENATE(Table13[[#This Row],[First_Name]], Table13[[#This Row],[Last_Name]]))</f>
        <v>Davidmiller</v>
      </c>
      <c r="N810" s="3" t="str">
        <f t="shared" si="12"/>
        <v>Mar</v>
      </c>
      <c r="O810" s="3" t="str">
        <f>TEXT(Table13[[#This Row],[Join_Date]],"yyyy")</f>
        <v>2022</v>
      </c>
      <c r="P810" s="3" t="str">
        <f>LEFT('Main Project Raw Data'!E810,FIND("-",'Main Project Raw Data'!E810)-1)</f>
        <v>Sales</v>
      </c>
      <c r="Q810" s="3" t="str">
        <f>RIGHT('Main Project Raw Data'!E810,LEN('Main Project Raw Data'!E810)-FIND("-",'Main Project Raw Data'!E810))</f>
        <v>California</v>
      </c>
    </row>
    <row r="811" spans="1:17" x14ac:dyDescent="0.3">
      <c r="A811" s="3" t="str">
        <f>TRIM(Table1[[#This Row],[Employee_ID]])</f>
        <v>EMP1809</v>
      </c>
      <c r="B811" s="3" t="str">
        <f>TRIM(Table1[[#This Row],[First_Name]])</f>
        <v>Frank</v>
      </c>
      <c r="C811" s="3" t="str">
        <f>TRIM(Table1[[#This Row],[Last_Name]])</f>
        <v>Jones</v>
      </c>
      <c r="D811" s="3">
        <f>IF(Table1[[#This Row],[Age]]="",AVERAGE(Table1[Age]),Table1[[#This Row],[Age]])</f>
        <v>35</v>
      </c>
      <c r="E811" s="3" t="s">
        <v>112</v>
      </c>
      <c r="F811" s="3" t="s">
        <v>16</v>
      </c>
      <c r="G811" s="5">
        <f>IF(ISNUMBER('Main Project Raw Data'!G811),'Main Project Raw Data'!G811,IF(ISNUMBER(SEARCH("/",'Main Project Raw Data'!G811)),DATE(RIGHT('Main Project Raw Data'!G811,4),LEFT('Main Project Raw Data'!G811,FIND("/",'Main Project Raw Data'!G811)-1),MID('Main Project Raw Data'!G811,FIND("/",'Main Project Raw Data'!G811)+1,2)),DATE(RIGHT('Main Project Raw Data'!G811,4),MID('Main Project Raw Data'!G811,4,2),LEFT('Main Project Raw Data'!G811,2))))</f>
        <v>43964</v>
      </c>
      <c r="H811" s="3">
        <f>IF(Table1[[#This Row],[Salary]]="",AVERAGE(Table1[Salary]),Table1[[#This Row],[Salary]])</f>
        <v>83273.41</v>
      </c>
      <c r="I811" s="3" t="s">
        <v>47</v>
      </c>
      <c r="J811" s="3">
        <f>ABS(Table1[[#This Row],[Phone]])</f>
        <v>6295187793</v>
      </c>
      <c r="K811" s="3" t="str">
        <f>PROPER(TRIM(Table1[[#This Row],[Performance_Score]]))</f>
        <v>Excellent</v>
      </c>
      <c r="L811" s="3" t="b">
        <f>Table1[[#This Row],[Remote_Work]]</f>
        <v>0</v>
      </c>
      <c r="M811" s="3" t="str">
        <f>PROPER(CONCATENATE(Table13[[#This Row],[First_Name]], Table13[[#This Row],[Last_Name]]))</f>
        <v>Frankjones</v>
      </c>
      <c r="N811" s="3" t="str">
        <f t="shared" si="12"/>
        <v>May</v>
      </c>
      <c r="O811" s="3" t="str">
        <f>TEXT(Table13[[#This Row],[Join_Date]],"yyyy")</f>
        <v>2020</v>
      </c>
      <c r="P811" s="3" t="str">
        <f>LEFT('Main Project Raw Data'!E811,FIND("-",'Main Project Raw Data'!E811)-1)</f>
        <v>Finance</v>
      </c>
      <c r="Q811" s="3" t="str">
        <f>RIGHT('Main Project Raw Data'!E811,LEN('Main Project Raw Data'!E811)-FIND("-",'Main Project Raw Data'!E811))</f>
        <v>Florida</v>
      </c>
    </row>
    <row r="812" spans="1:17" x14ac:dyDescent="0.3">
      <c r="A812" s="3" t="str">
        <f>TRIM(Table1[[#This Row],[Employee_ID]])</f>
        <v>EMP1810</v>
      </c>
      <c r="B812" s="3" t="str">
        <f>TRIM(Table1[[#This Row],[First_Name]])</f>
        <v>Heidi</v>
      </c>
      <c r="C812" s="3" t="str">
        <f>TRIM(Table1[[#This Row],[Last_Name]])</f>
        <v>Williams</v>
      </c>
      <c r="D812" s="3">
        <f>IF(Table1[[#This Row],[Age]]="",AVERAGE(Table1[Age]),Table1[[#This Row],[Age]])</f>
        <v>30</v>
      </c>
      <c r="E812" s="3" t="s">
        <v>146</v>
      </c>
      <c r="F812" s="3" t="s">
        <v>28</v>
      </c>
      <c r="G812" s="5">
        <f>IF(ISNUMBER('Main Project Raw Data'!G812),'Main Project Raw Data'!G812,IF(ISNUMBER(SEARCH("/",'Main Project Raw Data'!G812)),DATE(RIGHT('Main Project Raw Data'!G812,4),LEFT('Main Project Raw Data'!G812,FIND("/",'Main Project Raw Data'!G812)-1),MID('Main Project Raw Data'!G812,FIND("/",'Main Project Raw Data'!G812)+1,2)),DATE(RIGHT('Main Project Raw Data'!G812,4),MID('Main Project Raw Data'!G812,4,2),LEFT('Main Project Raw Data'!G812,2))))</f>
        <v>45007</v>
      </c>
      <c r="H812" s="3">
        <f>IF(Table1[[#This Row],[Salary]]="",AVERAGE(Table1[Salary]),Table1[[#This Row],[Salary]])</f>
        <v>58917.58</v>
      </c>
      <c r="I812" s="3" t="s">
        <v>67</v>
      </c>
      <c r="J812" s="3">
        <f>ABS(Table1[[#This Row],[Phone]])</f>
        <v>1763425072</v>
      </c>
      <c r="K812" s="3" t="str">
        <f>PROPER(TRIM(Table1[[#This Row],[Performance_Score]]))</f>
        <v>Good</v>
      </c>
      <c r="L812" s="3" t="b">
        <f>Table1[[#This Row],[Remote_Work]]</f>
        <v>0</v>
      </c>
      <c r="M812" s="3" t="str">
        <f>PROPER(CONCATENATE(Table13[[#This Row],[First_Name]], Table13[[#This Row],[Last_Name]]))</f>
        <v>Heidiwilliams</v>
      </c>
      <c r="N812" s="3" t="str">
        <f t="shared" si="12"/>
        <v>Mar</v>
      </c>
      <c r="O812" s="3" t="str">
        <f>TEXT(Table13[[#This Row],[Join_Date]],"yyyy")</f>
        <v>2023</v>
      </c>
      <c r="P812" s="3" t="str">
        <f>LEFT('Main Project Raw Data'!E812,FIND("-",'Main Project Raw Data'!E812)-1)</f>
        <v>HR</v>
      </c>
      <c r="Q812" s="3" t="str">
        <f>RIGHT('Main Project Raw Data'!E812,LEN('Main Project Raw Data'!E812)-FIND("-",'Main Project Raw Data'!E812))</f>
        <v>California</v>
      </c>
    </row>
    <row r="813" spans="1:17" x14ac:dyDescent="0.3">
      <c r="A813" s="3" t="str">
        <f>TRIM(Table1[[#This Row],[Employee_ID]])</f>
        <v>EMP1811</v>
      </c>
      <c r="B813" s="3" t="str">
        <f>TRIM(Table1[[#This Row],[First_Name]])</f>
        <v>Bob</v>
      </c>
      <c r="C813" s="3" t="str">
        <f>TRIM(Table1[[#This Row],[Last_Name]])</f>
        <v>Williams</v>
      </c>
      <c r="D813" s="3">
        <f>IF(Table1[[#This Row],[Age]]="",AVERAGE(Table1[Age]),Table1[[#This Row],[Age]])</f>
        <v>35</v>
      </c>
      <c r="E813" s="3" t="s">
        <v>219</v>
      </c>
      <c r="F813" s="3" t="s">
        <v>16</v>
      </c>
      <c r="G813" s="5">
        <f>IF(ISNUMBER('Main Project Raw Data'!G813),'Main Project Raw Data'!G813,IF(ISNUMBER(SEARCH("/",'Main Project Raw Data'!G813)),DATE(RIGHT('Main Project Raw Data'!G813,4),LEFT('Main Project Raw Data'!G813,FIND("/",'Main Project Raw Data'!G813)-1),MID('Main Project Raw Data'!G813,FIND("/",'Main Project Raw Data'!G813)+1,2)),DATE(RIGHT('Main Project Raw Data'!G813,4),MID('Main Project Raw Data'!G813,4,2),LEFT('Main Project Raw Data'!G813,2))))</f>
        <v>45571</v>
      </c>
      <c r="H813" s="3">
        <f>IF(Table1[[#This Row],[Salary]]="",AVERAGE(Table1[Salary]),Table1[[#This Row],[Salary]])</f>
        <v>71148.27</v>
      </c>
      <c r="I813" s="3" t="s">
        <v>144</v>
      </c>
      <c r="J813" s="3">
        <f>ABS(Table1[[#This Row],[Phone]])</f>
        <v>3055978244</v>
      </c>
      <c r="K813" s="3" t="str">
        <f>PROPER(TRIM(Table1[[#This Row],[Performance_Score]]))</f>
        <v>Excellent</v>
      </c>
      <c r="L813" s="3" t="b">
        <f>Table1[[#This Row],[Remote_Work]]</f>
        <v>1</v>
      </c>
      <c r="M813" s="3" t="str">
        <f>PROPER(CONCATENATE(Table13[[#This Row],[First_Name]], Table13[[#This Row],[Last_Name]]))</f>
        <v>Bobwilliams</v>
      </c>
      <c r="N813" s="3" t="str">
        <f t="shared" si="12"/>
        <v>Oct</v>
      </c>
      <c r="O813" s="3" t="str">
        <f>TEXT(Table13[[#This Row],[Join_Date]],"yyyy")</f>
        <v>2024</v>
      </c>
      <c r="P813" s="3" t="str">
        <f>LEFT('Main Project Raw Data'!E813,FIND("-",'Main Project Raw Data'!E813)-1)</f>
        <v>Sales</v>
      </c>
      <c r="Q813" s="3" t="str">
        <f>RIGHT('Main Project Raw Data'!E813,LEN('Main Project Raw Data'!E813)-FIND("-",'Main Project Raw Data'!E813))</f>
        <v>Nevada</v>
      </c>
    </row>
    <row r="814" spans="1:17" x14ac:dyDescent="0.3">
      <c r="A814" s="3" t="str">
        <f>TRIM(Table1[[#This Row],[Employee_ID]])</f>
        <v>EMP1812</v>
      </c>
      <c r="B814" s="3" t="str">
        <f>TRIM(Table1[[#This Row],[First_Name]])</f>
        <v>Grace</v>
      </c>
      <c r="C814" s="3" t="str">
        <f>TRIM(Table1[[#This Row],[Last_Name]])</f>
        <v>Smith</v>
      </c>
      <c r="D814" s="3">
        <f>IF(Table1[[#This Row],[Age]]="",AVERAGE(Table1[Age]),Table1[[#This Row],[Age]])</f>
        <v>30</v>
      </c>
      <c r="E814" s="3" t="s">
        <v>109</v>
      </c>
      <c r="F814" s="3" t="s">
        <v>28</v>
      </c>
      <c r="G814" s="5">
        <f>IF(ISNUMBER('Main Project Raw Data'!G814),'Main Project Raw Data'!G814,IF(ISNUMBER(SEARCH("/",'Main Project Raw Data'!G814)),DATE(RIGHT('Main Project Raw Data'!G814,4),LEFT('Main Project Raw Data'!G814,FIND("/",'Main Project Raw Data'!G814)-1),MID('Main Project Raw Data'!G814,FIND("/",'Main Project Raw Data'!G814)+1,2)),DATE(RIGHT('Main Project Raw Data'!G814,4),MID('Main Project Raw Data'!G814,4,2),LEFT('Main Project Raw Data'!G814,2))))</f>
        <v>44156</v>
      </c>
      <c r="H814" s="3">
        <f>IF(Table1[[#This Row],[Salary]]="",AVERAGE(Table1[Salary]),Table1[[#This Row],[Salary]])</f>
        <v>118172.42</v>
      </c>
      <c r="I814" s="3" t="s">
        <v>135</v>
      </c>
      <c r="J814" s="3">
        <f>ABS(Table1[[#This Row],[Phone]])</f>
        <v>7598339913</v>
      </c>
      <c r="K814" s="3" t="str">
        <f>PROPER(TRIM(Table1[[#This Row],[Performance_Score]]))</f>
        <v>Poor</v>
      </c>
      <c r="L814" s="3" t="b">
        <f>Table1[[#This Row],[Remote_Work]]</f>
        <v>1</v>
      </c>
      <c r="M814" s="3" t="str">
        <f>PROPER(CONCATENATE(Table13[[#This Row],[First_Name]], Table13[[#This Row],[Last_Name]]))</f>
        <v>Gracesmith</v>
      </c>
      <c r="N814" s="3" t="str">
        <f t="shared" si="12"/>
        <v>Nov</v>
      </c>
      <c r="O814" s="3" t="str">
        <f>TEXT(Table13[[#This Row],[Join_Date]],"yyyy")</f>
        <v>2020</v>
      </c>
      <c r="P814" s="3" t="str">
        <f>LEFT('Main Project Raw Data'!E814,FIND("-",'Main Project Raw Data'!E814)-1)</f>
        <v>Sales</v>
      </c>
      <c r="Q814" s="3" t="str">
        <f>RIGHT('Main Project Raw Data'!E814,LEN('Main Project Raw Data'!E814)-FIND("-",'Main Project Raw Data'!E814))</f>
        <v>New York</v>
      </c>
    </row>
    <row r="815" spans="1:17" x14ac:dyDescent="0.3">
      <c r="A815" s="3" t="str">
        <f>TRIM(Table1[[#This Row],[Employee_ID]])</f>
        <v>EMP1813</v>
      </c>
      <c r="B815" s="3" t="str">
        <f>TRIM(Table1[[#This Row],[First_Name]])</f>
        <v>Frank</v>
      </c>
      <c r="C815" s="3" t="str">
        <f>TRIM(Table1[[#This Row],[Last_Name]])</f>
        <v>Brown</v>
      </c>
      <c r="D815" s="3">
        <f>IF(Table1[[#This Row],[Age]]="",AVERAGE(Table1[Age]),Table1[[#This Row],[Age]])</f>
        <v>30</v>
      </c>
      <c r="E815" s="3" t="s">
        <v>78</v>
      </c>
      <c r="F815" s="3" t="s">
        <v>33</v>
      </c>
      <c r="G815" s="5">
        <f>IF(ISNUMBER('Main Project Raw Data'!G815),'Main Project Raw Data'!G815,IF(ISNUMBER(SEARCH("/",'Main Project Raw Data'!G815)),DATE(RIGHT('Main Project Raw Data'!G815,4),LEFT('Main Project Raw Data'!G815,FIND("/",'Main Project Raw Data'!G815)-1),MID('Main Project Raw Data'!G815,FIND("/",'Main Project Raw Data'!G815)+1,2)),DATE(RIGHT('Main Project Raw Data'!G815,4),MID('Main Project Raw Data'!G815,4,2),LEFT('Main Project Raw Data'!G815,2))))</f>
        <v>45437</v>
      </c>
      <c r="H815" s="3">
        <f>IF(Table1[[#This Row],[Salary]]="",AVERAGE(Table1[Salary]),Table1[[#This Row],[Salary]])</f>
        <v>118614.37</v>
      </c>
      <c r="I815" s="3" t="s">
        <v>239</v>
      </c>
      <c r="J815" s="3">
        <f>ABS(Table1[[#This Row],[Phone]])</f>
        <v>388436603</v>
      </c>
      <c r="K815" s="3" t="str">
        <f>PROPER(TRIM(Table1[[#This Row],[Performance_Score]]))</f>
        <v>Average</v>
      </c>
      <c r="L815" s="3" t="b">
        <f>Table1[[#This Row],[Remote_Work]]</f>
        <v>0</v>
      </c>
      <c r="M815" s="3" t="str">
        <f>PROPER(CONCATENATE(Table13[[#This Row],[First_Name]], Table13[[#This Row],[Last_Name]]))</f>
        <v>Frankbrown</v>
      </c>
      <c r="N815" s="3" t="str">
        <f t="shared" si="12"/>
        <v>May</v>
      </c>
      <c r="O815" s="3" t="str">
        <f>TEXT(Table13[[#This Row],[Join_Date]],"yyyy")</f>
        <v>2024</v>
      </c>
      <c r="P815" s="3" t="str">
        <f>LEFT('Main Project Raw Data'!E815,FIND("-",'Main Project Raw Data'!E815)-1)</f>
        <v>DevOps</v>
      </c>
      <c r="Q815" s="3" t="str">
        <f>RIGHT('Main Project Raw Data'!E815,LEN('Main Project Raw Data'!E815)-FIND("-",'Main Project Raw Data'!E815))</f>
        <v>Illinois</v>
      </c>
    </row>
    <row r="816" spans="1:17" x14ac:dyDescent="0.3">
      <c r="A816" s="3" t="str">
        <f>TRIM(Table1[[#This Row],[Employee_ID]])</f>
        <v>EMP1814</v>
      </c>
      <c r="B816" s="3" t="str">
        <f>TRIM(Table1[[#This Row],[First_Name]])</f>
        <v>Frank</v>
      </c>
      <c r="C816" s="3" t="str">
        <f>TRIM(Table1[[#This Row],[Last_Name]])</f>
        <v>Brown</v>
      </c>
      <c r="D816" s="3">
        <f>IF(Table1[[#This Row],[Age]]="",AVERAGE(Table1[Age]),Table1[[#This Row],[Age]])</f>
        <v>32.484548825710753</v>
      </c>
      <c r="E816" s="3" t="s">
        <v>56</v>
      </c>
      <c r="F816" s="3" t="s">
        <v>16</v>
      </c>
      <c r="G816" s="5">
        <f>IF(ISNUMBER('Main Project Raw Data'!G816),'Main Project Raw Data'!G816,IF(ISNUMBER(SEARCH("/",'Main Project Raw Data'!G816)),DATE(RIGHT('Main Project Raw Data'!G816,4),LEFT('Main Project Raw Data'!G816,FIND("/",'Main Project Raw Data'!G816)-1),MID('Main Project Raw Data'!G816,FIND("/",'Main Project Raw Data'!G816)+1,2)),DATE(RIGHT('Main Project Raw Data'!G816,4),MID('Main Project Raw Data'!G816,4,2),LEFT('Main Project Raw Data'!G816,2))))</f>
        <v>45188</v>
      </c>
      <c r="H816" s="3">
        <f>IF(Table1[[#This Row],[Salary]]="",AVERAGE(Table1[Salary]),Table1[[#This Row],[Salary]])</f>
        <v>96872.36</v>
      </c>
      <c r="I816" s="3" t="s">
        <v>239</v>
      </c>
      <c r="J816" s="3">
        <f>ABS(Table1[[#This Row],[Phone]])</f>
        <v>4324006156</v>
      </c>
      <c r="K816" s="3" t="str">
        <f>PROPER(TRIM(Table1[[#This Row],[Performance_Score]]))</f>
        <v>Poor</v>
      </c>
      <c r="L816" s="3" t="b">
        <f>Table1[[#This Row],[Remote_Work]]</f>
        <v>0</v>
      </c>
      <c r="M816" s="3" t="str">
        <f>PROPER(CONCATENATE(Table13[[#This Row],[First_Name]], Table13[[#This Row],[Last_Name]]))</f>
        <v>Frankbrown</v>
      </c>
      <c r="N816" s="3" t="str">
        <f t="shared" si="12"/>
        <v>Sep</v>
      </c>
      <c r="O816" s="3" t="str">
        <f>TEXT(Table13[[#This Row],[Join_Date]],"yyyy")</f>
        <v>2023</v>
      </c>
      <c r="P816" s="3" t="str">
        <f>LEFT('Main Project Raw Data'!E816,FIND("-",'Main Project Raw Data'!E816)-1)</f>
        <v>DevOps</v>
      </c>
      <c r="Q816" s="3" t="str">
        <f>RIGHT('Main Project Raw Data'!E816,LEN('Main Project Raw Data'!E816)-FIND("-",'Main Project Raw Data'!E816))</f>
        <v>New York</v>
      </c>
    </row>
    <row r="817" spans="1:17" x14ac:dyDescent="0.3">
      <c r="A817" s="3" t="str">
        <f>TRIM(Table1[[#This Row],[Employee_ID]])</f>
        <v>EMP1815</v>
      </c>
      <c r="B817" s="3" t="str">
        <f>TRIM(Table1[[#This Row],[First_Name]])</f>
        <v>Heidi</v>
      </c>
      <c r="C817" s="3" t="str">
        <f>TRIM(Table1[[#This Row],[Last_Name]])</f>
        <v>Jones</v>
      </c>
      <c r="D817" s="3">
        <f>IF(Table1[[#This Row],[Age]]="",AVERAGE(Table1[Age]),Table1[[#This Row],[Age]])</f>
        <v>25</v>
      </c>
      <c r="E817" s="3" t="s">
        <v>98</v>
      </c>
      <c r="F817" s="3" t="s">
        <v>33</v>
      </c>
      <c r="G817" s="5">
        <f>IF(ISNUMBER('Main Project Raw Data'!G817),'Main Project Raw Data'!G817,IF(ISNUMBER(SEARCH("/",'Main Project Raw Data'!G817)),DATE(RIGHT('Main Project Raw Data'!G817,4),LEFT('Main Project Raw Data'!G817,FIND("/",'Main Project Raw Data'!G817)-1),MID('Main Project Raw Data'!G817,FIND("/",'Main Project Raw Data'!G817)+1,2)),DATE(RIGHT('Main Project Raw Data'!G817,4),MID('Main Project Raw Data'!G817,4,2),LEFT('Main Project Raw Data'!G817,2))))</f>
        <v>44497</v>
      </c>
      <c r="H817" s="3">
        <f>IF(Table1[[#This Row],[Salary]]="",AVERAGE(Table1[Salary]),Table1[[#This Row],[Salary]])</f>
        <v>88856.14</v>
      </c>
      <c r="I817" s="3" t="s">
        <v>319</v>
      </c>
      <c r="J817" s="3">
        <f>ABS(Table1[[#This Row],[Phone]])</f>
        <v>2768297513</v>
      </c>
      <c r="K817" s="3" t="str">
        <f>PROPER(TRIM(Table1[[#This Row],[Performance_Score]]))</f>
        <v>Good</v>
      </c>
      <c r="L817" s="3" t="b">
        <f>Table1[[#This Row],[Remote_Work]]</f>
        <v>1</v>
      </c>
      <c r="M817" s="3" t="str">
        <f>PROPER(CONCATENATE(Table13[[#This Row],[First_Name]], Table13[[#This Row],[Last_Name]]))</f>
        <v>Heidijones</v>
      </c>
      <c r="N817" s="3" t="str">
        <f t="shared" si="12"/>
        <v>Oct</v>
      </c>
      <c r="O817" s="3" t="str">
        <f>TEXT(Table13[[#This Row],[Join_Date]],"yyyy")</f>
        <v>2021</v>
      </c>
      <c r="P817" s="3" t="str">
        <f>LEFT('Main Project Raw Data'!E817,FIND("-",'Main Project Raw Data'!E817)-1)</f>
        <v>Sales</v>
      </c>
      <c r="Q817" s="3" t="str">
        <f>RIGHT('Main Project Raw Data'!E817,LEN('Main Project Raw Data'!E817)-FIND("-",'Main Project Raw Data'!E817))</f>
        <v>Illinois</v>
      </c>
    </row>
    <row r="818" spans="1:17" x14ac:dyDescent="0.3">
      <c r="A818" s="3" t="str">
        <f>TRIM(Table1[[#This Row],[Employee_ID]])</f>
        <v>EMP1816</v>
      </c>
      <c r="B818" s="3" t="str">
        <f>TRIM(Table1[[#This Row],[First_Name]])</f>
        <v>Charlie</v>
      </c>
      <c r="C818" s="3" t="str">
        <f>TRIM(Table1[[#This Row],[Last_Name]])</f>
        <v>Smith</v>
      </c>
      <c r="D818" s="3">
        <f>IF(Table1[[#This Row],[Age]]="",AVERAGE(Table1[Age]),Table1[[#This Row],[Age]])</f>
        <v>35</v>
      </c>
      <c r="E818" s="3" t="s">
        <v>21</v>
      </c>
      <c r="F818" s="3" t="s">
        <v>28</v>
      </c>
      <c r="G818" s="5">
        <f>IF(ISNUMBER('Main Project Raw Data'!G818),'Main Project Raw Data'!G818,IF(ISNUMBER(SEARCH("/",'Main Project Raw Data'!G818)),DATE(RIGHT('Main Project Raw Data'!G818,4),LEFT('Main Project Raw Data'!G818,FIND("/",'Main Project Raw Data'!G818)-1),MID('Main Project Raw Data'!G818,FIND("/",'Main Project Raw Data'!G818)+1,2)),DATE(RIGHT('Main Project Raw Data'!G818,4),MID('Main Project Raw Data'!G818,4,2),LEFT('Main Project Raw Data'!G818,2))))</f>
        <v>44112</v>
      </c>
      <c r="H818" s="3">
        <f>IF(Table1[[#This Row],[Salary]]="",AVERAGE(Table1[Salary]),Table1[[#This Row],[Salary]])</f>
        <v>97985.61</v>
      </c>
      <c r="I818" s="3" t="s">
        <v>194</v>
      </c>
      <c r="J818" s="3">
        <f>ABS(Table1[[#This Row],[Phone]])</f>
        <v>7439742924</v>
      </c>
      <c r="K818" s="3" t="str">
        <f>PROPER(TRIM(Table1[[#This Row],[Performance_Score]]))</f>
        <v>Good</v>
      </c>
      <c r="L818" s="3" t="b">
        <f>Table1[[#This Row],[Remote_Work]]</f>
        <v>0</v>
      </c>
      <c r="M818" s="3" t="str">
        <f>PROPER(CONCATENATE(Table13[[#This Row],[First_Name]], Table13[[#This Row],[Last_Name]]))</f>
        <v>Charliesmith</v>
      </c>
      <c r="N818" s="3" t="str">
        <f t="shared" si="12"/>
        <v>Oct</v>
      </c>
      <c r="O818" s="3" t="str">
        <f>TEXT(Table13[[#This Row],[Join_Date]],"yyyy")</f>
        <v>2020</v>
      </c>
      <c r="P818" s="3" t="str">
        <f>LEFT('Main Project Raw Data'!E818,FIND("-",'Main Project Raw Data'!E818)-1)</f>
        <v>Finance</v>
      </c>
      <c r="Q818" s="3" t="str">
        <f>RIGHT('Main Project Raw Data'!E818,LEN('Main Project Raw Data'!E818)-FIND("-",'Main Project Raw Data'!E818))</f>
        <v>Texas</v>
      </c>
    </row>
    <row r="819" spans="1:17" x14ac:dyDescent="0.3">
      <c r="A819" s="3" t="str">
        <f>TRIM(Table1[[#This Row],[Employee_ID]])</f>
        <v>EMP1817</v>
      </c>
      <c r="B819" s="3" t="str">
        <f>TRIM(Table1[[#This Row],[First_Name]])</f>
        <v>Grace</v>
      </c>
      <c r="C819" s="3" t="str">
        <f>TRIM(Table1[[#This Row],[Last_Name]])</f>
        <v>Williams</v>
      </c>
      <c r="D819" s="3">
        <f>IF(Table1[[#This Row],[Age]]="",AVERAGE(Table1[Age]),Table1[[#This Row],[Age]])</f>
        <v>35</v>
      </c>
      <c r="E819" s="3" t="s">
        <v>100</v>
      </c>
      <c r="F819" s="3" t="s">
        <v>28</v>
      </c>
      <c r="G819" s="5">
        <f>IF(ISNUMBER('Main Project Raw Data'!G819),'Main Project Raw Data'!G819,IF(ISNUMBER(SEARCH("/",'Main Project Raw Data'!G819)),DATE(RIGHT('Main Project Raw Data'!G819,4),LEFT('Main Project Raw Data'!G819,FIND("/",'Main Project Raw Data'!G819)-1),MID('Main Project Raw Data'!G819,FIND("/",'Main Project Raw Data'!G819)+1,2)),DATE(RIGHT('Main Project Raw Data'!G819,4),MID('Main Project Raw Data'!G819,4,2),LEFT('Main Project Raw Data'!G819,2))))</f>
        <v>43956</v>
      </c>
      <c r="H819" s="3">
        <f>IF(Table1[[#This Row],[Salary]]="",AVERAGE(Table1[Salary]),Table1[[#This Row],[Salary]])</f>
        <v>56337.31</v>
      </c>
      <c r="I819" s="3" t="s">
        <v>71</v>
      </c>
      <c r="J819" s="3">
        <f>ABS(Table1[[#This Row],[Phone]])</f>
        <v>105875255</v>
      </c>
      <c r="K819" s="3" t="str">
        <f>PROPER(TRIM(Table1[[#This Row],[Performance_Score]]))</f>
        <v>Poor</v>
      </c>
      <c r="L819" s="3" t="b">
        <f>Table1[[#This Row],[Remote_Work]]</f>
        <v>1</v>
      </c>
      <c r="M819" s="3" t="str">
        <f>PROPER(CONCATENATE(Table13[[#This Row],[First_Name]], Table13[[#This Row],[Last_Name]]))</f>
        <v>Gracewilliams</v>
      </c>
      <c r="N819" s="3" t="str">
        <f t="shared" si="12"/>
        <v>May</v>
      </c>
      <c r="O819" s="3" t="str">
        <f>TEXT(Table13[[#This Row],[Join_Date]],"yyyy")</f>
        <v>2020</v>
      </c>
      <c r="P819" s="3" t="str">
        <f>LEFT('Main Project Raw Data'!E819,FIND("-",'Main Project Raw Data'!E819)-1)</f>
        <v>Finance</v>
      </c>
      <c r="Q819" s="3" t="str">
        <f>RIGHT('Main Project Raw Data'!E819,LEN('Main Project Raw Data'!E819)-FIND("-",'Main Project Raw Data'!E819))</f>
        <v>Nevada</v>
      </c>
    </row>
    <row r="820" spans="1:17" x14ac:dyDescent="0.3">
      <c r="A820" s="3" t="str">
        <f>TRIM(Table1[[#This Row],[Employee_ID]])</f>
        <v>EMP1818</v>
      </c>
      <c r="B820" s="3" t="str">
        <f>TRIM(Table1[[#This Row],[First_Name]])</f>
        <v>Alice</v>
      </c>
      <c r="C820" s="3" t="str">
        <f>TRIM(Table1[[#This Row],[Last_Name]])</f>
        <v>Brown</v>
      </c>
      <c r="D820" s="3">
        <f>IF(Table1[[#This Row],[Age]]="",AVERAGE(Table1[Age]),Table1[[#This Row],[Age]])</f>
        <v>30</v>
      </c>
      <c r="E820" s="3" t="s">
        <v>56</v>
      </c>
      <c r="F820" s="3" t="s">
        <v>33</v>
      </c>
      <c r="G820" s="5">
        <f>IF(ISNUMBER('Main Project Raw Data'!G820),'Main Project Raw Data'!G820,IF(ISNUMBER(SEARCH("/",'Main Project Raw Data'!G820)),DATE(RIGHT('Main Project Raw Data'!G820,4),LEFT('Main Project Raw Data'!G820,FIND("/",'Main Project Raw Data'!G820)-1),MID('Main Project Raw Data'!G820,FIND("/",'Main Project Raw Data'!G820)+1,2)),DATE(RIGHT('Main Project Raw Data'!G820,4),MID('Main Project Raw Data'!G820,4,2),LEFT('Main Project Raw Data'!G820,2))))</f>
        <v>44919</v>
      </c>
      <c r="H820" s="3">
        <f>IF(Table1[[#This Row],[Salary]]="",AVERAGE(Table1[Salary]),Table1[[#This Row],[Salary]])</f>
        <v>70405.23</v>
      </c>
      <c r="I820" s="3" t="s">
        <v>80</v>
      </c>
      <c r="J820" s="3">
        <f>ABS(Table1[[#This Row],[Phone]])</f>
        <v>8065625903</v>
      </c>
      <c r="K820" s="3" t="str">
        <f>PROPER(TRIM(Table1[[#This Row],[Performance_Score]]))</f>
        <v>Poor</v>
      </c>
      <c r="L820" s="3" t="b">
        <f>Table1[[#This Row],[Remote_Work]]</f>
        <v>1</v>
      </c>
      <c r="M820" s="3" t="str">
        <f>PROPER(CONCATENATE(Table13[[#This Row],[First_Name]], Table13[[#This Row],[Last_Name]]))</f>
        <v>Alicebrown</v>
      </c>
      <c r="N820" s="3" t="str">
        <f t="shared" si="12"/>
        <v>Dec</v>
      </c>
      <c r="O820" s="3" t="str">
        <f>TEXT(Table13[[#This Row],[Join_Date]],"yyyy")</f>
        <v>2022</v>
      </c>
      <c r="P820" s="3" t="str">
        <f>LEFT('Main Project Raw Data'!E820,FIND("-",'Main Project Raw Data'!E820)-1)</f>
        <v>DevOps</v>
      </c>
      <c r="Q820" s="3" t="str">
        <f>RIGHT('Main Project Raw Data'!E820,LEN('Main Project Raw Data'!E820)-FIND("-",'Main Project Raw Data'!E820))</f>
        <v>New York</v>
      </c>
    </row>
    <row r="821" spans="1:17" x14ac:dyDescent="0.3">
      <c r="A821" s="3" t="str">
        <f>TRIM(Table1[[#This Row],[Employee_ID]])</f>
        <v>EMP1819</v>
      </c>
      <c r="B821" s="3" t="str">
        <f>TRIM(Table1[[#This Row],[First_Name]])</f>
        <v>Heidi</v>
      </c>
      <c r="C821" s="3" t="str">
        <f>TRIM(Table1[[#This Row],[Last_Name]])</f>
        <v>Smith</v>
      </c>
      <c r="D821" s="3">
        <f>IF(Table1[[#This Row],[Age]]="",AVERAGE(Table1[Age]),Table1[[#This Row],[Age]])</f>
        <v>30</v>
      </c>
      <c r="E821" s="3" t="s">
        <v>27</v>
      </c>
      <c r="F821" s="3" t="s">
        <v>33</v>
      </c>
      <c r="G821" s="5">
        <f>IF(ISNUMBER('Main Project Raw Data'!G821),'Main Project Raw Data'!G821,IF(ISNUMBER(SEARCH("/",'Main Project Raw Data'!G821)),DATE(RIGHT('Main Project Raw Data'!G821,4),LEFT('Main Project Raw Data'!G821,FIND("/",'Main Project Raw Data'!G821)-1),MID('Main Project Raw Data'!G821,FIND("/",'Main Project Raw Data'!G821)+1,2)),DATE(RIGHT('Main Project Raw Data'!G821,4),MID('Main Project Raw Data'!G821,4,2),LEFT('Main Project Raw Data'!G821,2))))</f>
        <v>44325</v>
      </c>
      <c r="H821" s="3">
        <f>IF(Table1[[#This Row],[Salary]]="",AVERAGE(Table1[Salary]),Table1[[#This Row],[Salary]])</f>
        <v>89919.35</v>
      </c>
      <c r="I821" s="3" t="s">
        <v>366</v>
      </c>
      <c r="J821" s="3">
        <f>ABS(Table1[[#This Row],[Phone]])</f>
        <v>5990802710</v>
      </c>
      <c r="K821" s="3" t="str">
        <f>PROPER(TRIM(Table1[[#This Row],[Performance_Score]]))</f>
        <v>Excellent</v>
      </c>
      <c r="L821" s="3" t="b">
        <f>Table1[[#This Row],[Remote_Work]]</f>
        <v>1</v>
      </c>
      <c r="M821" s="3" t="str">
        <f>PROPER(CONCATENATE(Table13[[#This Row],[First_Name]], Table13[[#This Row],[Last_Name]]))</f>
        <v>Heidismith</v>
      </c>
      <c r="N821" s="3" t="str">
        <f t="shared" si="12"/>
        <v>May</v>
      </c>
      <c r="O821" s="3" t="str">
        <f>TEXT(Table13[[#This Row],[Join_Date]],"yyyy")</f>
        <v>2021</v>
      </c>
      <c r="P821" s="3" t="str">
        <f>LEFT('Main Project Raw Data'!E821,FIND("-",'Main Project Raw Data'!E821)-1)</f>
        <v>Admin</v>
      </c>
      <c r="Q821" s="3" t="str">
        <f>RIGHT('Main Project Raw Data'!E821,LEN('Main Project Raw Data'!E821)-FIND("-",'Main Project Raw Data'!E821))</f>
        <v>Nevada</v>
      </c>
    </row>
    <row r="822" spans="1:17" x14ac:dyDescent="0.3">
      <c r="A822" s="3" t="str">
        <f>TRIM(Table1[[#This Row],[Employee_ID]])</f>
        <v>EMP1820</v>
      </c>
      <c r="B822" s="3" t="str">
        <f>TRIM(Table1[[#This Row],[First_Name]])</f>
        <v>Eva</v>
      </c>
      <c r="C822" s="3" t="str">
        <f>TRIM(Table1[[#This Row],[Last_Name]])</f>
        <v>Davis</v>
      </c>
      <c r="D822" s="3">
        <f>IF(Table1[[#This Row],[Age]]="",AVERAGE(Table1[Age]),Table1[[#This Row],[Age]])</f>
        <v>40</v>
      </c>
      <c r="E822" s="3" t="s">
        <v>15</v>
      </c>
      <c r="F822" s="3" t="s">
        <v>16</v>
      </c>
      <c r="G822" s="5">
        <f>IF(ISNUMBER('Main Project Raw Data'!G822),'Main Project Raw Data'!G822,IF(ISNUMBER(SEARCH("/",'Main Project Raw Data'!G822)),DATE(RIGHT('Main Project Raw Data'!G822,4),LEFT('Main Project Raw Data'!G822,FIND("/",'Main Project Raw Data'!G822)-1),MID('Main Project Raw Data'!G822,FIND("/",'Main Project Raw Data'!G822)+1,2)),DATE(RIGHT('Main Project Raw Data'!G822,4),MID('Main Project Raw Data'!G822,4,2),LEFT('Main Project Raw Data'!G822,2))))</f>
        <v>45142</v>
      </c>
      <c r="H822" s="3">
        <f>IF(Table1[[#This Row],[Salary]]="",AVERAGE(Table1[Salary]),Table1[[#This Row],[Salary]])</f>
        <v>50568.35</v>
      </c>
      <c r="I822" s="3" t="s">
        <v>35</v>
      </c>
      <c r="J822" s="3">
        <f>ABS(Table1[[#This Row],[Phone]])</f>
        <v>2218231554</v>
      </c>
      <c r="K822" s="3" t="str">
        <f>PROPER(TRIM(Table1[[#This Row],[Performance_Score]]))</f>
        <v>Good</v>
      </c>
      <c r="L822" s="3" t="b">
        <f>Table1[[#This Row],[Remote_Work]]</f>
        <v>1</v>
      </c>
      <c r="M822" s="3" t="str">
        <f>PROPER(CONCATENATE(Table13[[#This Row],[First_Name]], Table13[[#This Row],[Last_Name]]))</f>
        <v>Evadavis</v>
      </c>
      <c r="N822" s="3" t="str">
        <f t="shared" si="12"/>
        <v>Aug</v>
      </c>
      <c r="O822" s="3" t="str">
        <f>TEXT(Table13[[#This Row],[Join_Date]],"yyyy")</f>
        <v>2023</v>
      </c>
      <c r="P822" s="3" t="str">
        <f>LEFT('Main Project Raw Data'!E822,FIND("-",'Main Project Raw Data'!E822)-1)</f>
        <v>DevOps</v>
      </c>
      <c r="Q822" s="3" t="str">
        <f>RIGHT('Main Project Raw Data'!E822,LEN('Main Project Raw Data'!E822)-FIND("-",'Main Project Raw Data'!E822))</f>
        <v>California</v>
      </c>
    </row>
    <row r="823" spans="1:17" x14ac:dyDescent="0.3">
      <c r="A823" s="3" t="str">
        <f>TRIM(Table1[[#This Row],[Employee_ID]])</f>
        <v>EMP1821</v>
      </c>
      <c r="B823" s="3" t="str">
        <f>TRIM(Table1[[#This Row],[First_Name]])</f>
        <v>Grace</v>
      </c>
      <c r="C823" s="3" t="str">
        <f>TRIM(Table1[[#This Row],[Last_Name]])</f>
        <v>Brown</v>
      </c>
      <c r="D823" s="3">
        <f>IF(Table1[[#This Row],[Age]]="",AVERAGE(Table1[Age]),Table1[[#This Row],[Age]])</f>
        <v>30</v>
      </c>
      <c r="E823" s="3" t="s">
        <v>139</v>
      </c>
      <c r="F823" s="3" t="s">
        <v>33</v>
      </c>
      <c r="G823" s="5">
        <f>IF(ISNUMBER('Main Project Raw Data'!G823),'Main Project Raw Data'!G823,IF(ISNUMBER(SEARCH("/",'Main Project Raw Data'!G823)),DATE(RIGHT('Main Project Raw Data'!G823,4),LEFT('Main Project Raw Data'!G823,FIND("/",'Main Project Raw Data'!G823)-1),MID('Main Project Raw Data'!G823,FIND("/",'Main Project Raw Data'!G823)+1,2)),DATE(RIGHT('Main Project Raw Data'!G823,4),MID('Main Project Raw Data'!G823,4,2),LEFT('Main Project Raw Data'!G823,2))))</f>
        <v>44955</v>
      </c>
      <c r="H823" s="3">
        <f>IF(Table1[[#This Row],[Salary]]="",AVERAGE(Table1[Salary]),Table1[[#This Row],[Salary]])</f>
        <v>85155.056395582287</v>
      </c>
      <c r="I823" s="3" t="s">
        <v>201</v>
      </c>
      <c r="J823" s="3">
        <f>ABS(Table1[[#This Row],[Phone]])</f>
        <v>1651768085</v>
      </c>
      <c r="K823" s="3" t="str">
        <f>PROPER(TRIM(Table1[[#This Row],[Performance_Score]]))</f>
        <v>Good</v>
      </c>
      <c r="L823" s="3" t="b">
        <f>Table1[[#This Row],[Remote_Work]]</f>
        <v>0</v>
      </c>
      <c r="M823" s="3" t="str">
        <f>PROPER(CONCATENATE(Table13[[#This Row],[First_Name]], Table13[[#This Row],[Last_Name]]))</f>
        <v>Gracebrown</v>
      </c>
      <c r="N823" s="3" t="str">
        <f t="shared" si="12"/>
        <v>Jan</v>
      </c>
      <c r="O823" s="3" t="str">
        <f>TEXT(Table13[[#This Row],[Join_Date]],"yyyy")</f>
        <v>2023</v>
      </c>
      <c r="P823" s="3" t="str">
        <f>LEFT('Main Project Raw Data'!E823,FIND("-",'Main Project Raw Data'!E823)-1)</f>
        <v>HR</v>
      </c>
      <c r="Q823" s="3" t="str">
        <f>RIGHT('Main Project Raw Data'!E823,LEN('Main Project Raw Data'!E823)-FIND("-",'Main Project Raw Data'!E823))</f>
        <v>Texas</v>
      </c>
    </row>
    <row r="824" spans="1:17" x14ac:dyDescent="0.3">
      <c r="A824" s="3" t="str">
        <f>TRIM(Table1[[#This Row],[Employee_ID]])</f>
        <v>EMP1822</v>
      </c>
      <c r="B824" s="3" t="str">
        <f>TRIM(Table1[[#This Row],[First_Name]])</f>
        <v>Frank</v>
      </c>
      <c r="C824" s="3" t="str">
        <f>TRIM(Table1[[#This Row],[Last_Name]])</f>
        <v>Miller</v>
      </c>
      <c r="D824" s="3">
        <f>IF(Table1[[#This Row],[Age]]="",AVERAGE(Table1[Age]),Table1[[#This Row],[Age]])</f>
        <v>25</v>
      </c>
      <c r="E824" s="3" t="s">
        <v>139</v>
      </c>
      <c r="F824" s="3" t="s">
        <v>16</v>
      </c>
      <c r="G824" s="5">
        <f>IF(ISNUMBER('Main Project Raw Data'!G824),'Main Project Raw Data'!G824,IF(ISNUMBER(SEARCH("/",'Main Project Raw Data'!G824)),DATE(RIGHT('Main Project Raw Data'!G824,4),LEFT('Main Project Raw Data'!G824,FIND("/",'Main Project Raw Data'!G824)-1),MID('Main Project Raw Data'!G824,FIND("/",'Main Project Raw Data'!G824)+1,2)),DATE(RIGHT('Main Project Raw Data'!G824,4),MID('Main Project Raw Data'!G824,4,2),LEFT('Main Project Raw Data'!G824,2))))</f>
        <v>44626</v>
      </c>
      <c r="H824" s="3">
        <f>IF(Table1[[#This Row],[Salary]]="",AVERAGE(Table1[Salary]),Table1[[#This Row],[Salary]])</f>
        <v>99155.53</v>
      </c>
      <c r="I824" s="3" t="s">
        <v>110</v>
      </c>
      <c r="J824" s="3">
        <f>ABS(Table1[[#This Row],[Phone]])</f>
        <v>6281372142</v>
      </c>
      <c r="K824" s="3" t="str">
        <f>PROPER(TRIM(Table1[[#This Row],[Performance_Score]]))</f>
        <v>Poor</v>
      </c>
      <c r="L824" s="3" t="b">
        <f>Table1[[#This Row],[Remote_Work]]</f>
        <v>1</v>
      </c>
      <c r="M824" s="3" t="str">
        <f>PROPER(CONCATENATE(Table13[[#This Row],[First_Name]], Table13[[#This Row],[Last_Name]]))</f>
        <v>Frankmiller</v>
      </c>
      <c r="N824" s="3" t="str">
        <f t="shared" si="12"/>
        <v>Mar</v>
      </c>
      <c r="O824" s="3" t="str">
        <f>TEXT(Table13[[#This Row],[Join_Date]],"yyyy")</f>
        <v>2022</v>
      </c>
      <c r="P824" s="3" t="str">
        <f>LEFT('Main Project Raw Data'!E824,FIND("-",'Main Project Raw Data'!E824)-1)</f>
        <v>HR</v>
      </c>
      <c r="Q824" s="3" t="str">
        <f>RIGHT('Main Project Raw Data'!E824,LEN('Main Project Raw Data'!E824)-FIND("-",'Main Project Raw Data'!E824))</f>
        <v>Texas</v>
      </c>
    </row>
    <row r="825" spans="1:17" x14ac:dyDescent="0.3">
      <c r="A825" s="3" t="str">
        <f>TRIM(Table1[[#This Row],[Employee_ID]])</f>
        <v>EMP1823</v>
      </c>
      <c r="B825" s="3" t="str">
        <f>TRIM(Table1[[#This Row],[First_Name]])</f>
        <v>Frank</v>
      </c>
      <c r="C825" s="3" t="str">
        <f>TRIM(Table1[[#This Row],[Last_Name]])</f>
        <v>Davis</v>
      </c>
      <c r="D825" s="3">
        <f>IF(Table1[[#This Row],[Age]]="",AVERAGE(Table1[Age]),Table1[[#This Row],[Age]])</f>
        <v>40</v>
      </c>
      <c r="E825" s="3" t="s">
        <v>112</v>
      </c>
      <c r="F825" s="3" t="s">
        <v>33</v>
      </c>
      <c r="G825" s="5">
        <f>IF(ISNUMBER('Main Project Raw Data'!G825),'Main Project Raw Data'!G825,IF(ISNUMBER(SEARCH("/",'Main Project Raw Data'!G825)),DATE(RIGHT('Main Project Raw Data'!G825,4),LEFT('Main Project Raw Data'!G825,FIND("/",'Main Project Raw Data'!G825)-1),MID('Main Project Raw Data'!G825,FIND("/",'Main Project Raw Data'!G825)+1,2)),DATE(RIGHT('Main Project Raw Data'!G825,4),MID('Main Project Raw Data'!G825,4,2),LEFT('Main Project Raw Data'!G825,2))))</f>
        <v>44947</v>
      </c>
      <c r="H825" s="3">
        <f>IF(Table1[[#This Row],[Salary]]="",AVERAGE(Table1[Salary]),Table1[[#This Row],[Salary]])</f>
        <v>64785.13</v>
      </c>
      <c r="I825" s="3" t="s">
        <v>52</v>
      </c>
      <c r="J825" s="3">
        <f>ABS(Table1[[#This Row],[Phone]])</f>
        <v>3080037002</v>
      </c>
      <c r="K825" s="3" t="str">
        <f>PROPER(TRIM(Table1[[#This Row],[Performance_Score]]))</f>
        <v>Average</v>
      </c>
      <c r="L825" s="3" t="b">
        <f>Table1[[#This Row],[Remote_Work]]</f>
        <v>1</v>
      </c>
      <c r="M825" s="3" t="str">
        <f>PROPER(CONCATENATE(Table13[[#This Row],[First_Name]], Table13[[#This Row],[Last_Name]]))</f>
        <v>Frankdavis</v>
      </c>
      <c r="N825" s="3" t="str">
        <f t="shared" si="12"/>
        <v>Jan</v>
      </c>
      <c r="O825" s="3" t="str">
        <f>TEXT(Table13[[#This Row],[Join_Date]],"yyyy")</f>
        <v>2023</v>
      </c>
      <c r="P825" s="3" t="str">
        <f>LEFT('Main Project Raw Data'!E825,FIND("-",'Main Project Raw Data'!E825)-1)</f>
        <v>Finance</v>
      </c>
      <c r="Q825" s="3" t="str">
        <f>RIGHT('Main Project Raw Data'!E825,LEN('Main Project Raw Data'!E825)-FIND("-",'Main Project Raw Data'!E825))</f>
        <v>Florida</v>
      </c>
    </row>
    <row r="826" spans="1:17" x14ac:dyDescent="0.3">
      <c r="A826" s="3" t="str">
        <f>TRIM(Table1[[#This Row],[Employee_ID]])</f>
        <v>EMP1824</v>
      </c>
      <c r="B826" s="3" t="str">
        <f>TRIM(Table1[[#This Row],[First_Name]])</f>
        <v>Charlie</v>
      </c>
      <c r="C826" s="3" t="str">
        <f>TRIM(Table1[[#This Row],[Last_Name]])</f>
        <v>Garcia</v>
      </c>
      <c r="D826" s="3">
        <f>IF(Table1[[#This Row],[Age]]="",AVERAGE(Table1[Age]),Table1[[#This Row],[Age]])</f>
        <v>30</v>
      </c>
      <c r="E826" s="3" t="s">
        <v>74</v>
      </c>
      <c r="F826" s="3" t="s">
        <v>33</v>
      </c>
      <c r="G826" s="5">
        <f>IF(ISNUMBER('Main Project Raw Data'!G826),'Main Project Raw Data'!G826,IF(ISNUMBER(SEARCH("/",'Main Project Raw Data'!G826)),DATE(RIGHT('Main Project Raw Data'!G826,4),LEFT('Main Project Raw Data'!G826,FIND("/",'Main Project Raw Data'!G826)-1),MID('Main Project Raw Data'!G826,FIND("/",'Main Project Raw Data'!G826)+1,2)),DATE(RIGHT('Main Project Raw Data'!G826,4),MID('Main Project Raw Data'!G826,4,2),LEFT('Main Project Raw Data'!G826,2))))</f>
        <v>45551</v>
      </c>
      <c r="H826" s="3">
        <f>IF(Table1[[#This Row],[Salary]]="",AVERAGE(Table1[Salary]),Table1[[#This Row],[Salary]])</f>
        <v>79206.48</v>
      </c>
      <c r="I826" s="3" t="s">
        <v>87</v>
      </c>
      <c r="J826" s="3">
        <f>ABS(Table1[[#This Row],[Phone]])</f>
        <v>3228556607</v>
      </c>
      <c r="K826" s="3" t="str">
        <f>PROPER(TRIM(Table1[[#This Row],[Performance_Score]]))</f>
        <v>Good</v>
      </c>
      <c r="L826" s="3" t="b">
        <f>Table1[[#This Row],[Remote_Work]]</f>
        <v>0</v>
      </c>
      <c r="M826" s="3" t="str">
        <f>PROPER(CONCATENATE(Table13[[#This Row],[First_Name]], Table13[[#This Row],[Last_Name]]))</f>
        <v>Charliegarcia</v>
      </c>
      <c r="N826" s="3" t="str">
        <f t="shared" si="12"/>
        <v>Sep</v>
      </c>
      <c r="O826" s="3" t="str">
        <f>TEXT(Table13[[#This Row],[Join_Date]],"yyyy")</f>
        <v>2024</v>
      </c>
      <c r="P826" s="3" t="str">
        <f>LEFT('Main Project Raw Data'!E826,FIND("-",'Main Project Raw Data'!E826)-1)</f>
        <v>Sales</v>
      </c>
      <c r="Q826" s="3" t="str">
        <f>RIGHT('Main Project Raw Data'!E826,LEN('Main Project Raw Data'!E826)-FIND("-",'Main Project Raw Data'!E826))</f>
        <v>Florida</v>
      </c>
    </row>
    <row r="827" spans="1:17" x14ac:dyDescent="0.3">
      <c r="A827" s="3" t="str">
        <f>TRIM(Table1[[#This Row],[Employee_ID]])</f>
        <v>EMP1825</v>
      </c>
      <c r="B827" s="3" t="str">
        <f>TRIM(Table1[[#This Row],[First_Name]])</f>
        <v>Charlie</v>
      </c>
      <c r="C827" s="3" t="str">
        <f>TRIM(Table1[[#This Row],[Last_Name]])</f>
        <v>Brown</v>
      </c>
      <c r="D827" s="3">
        <f>IF(Table1[[#This Row],[Age]]="",AVERAGE(Table1[Age]),Table1[[#This Row],[Age]])</f>
        <v>30</v>
      </c>
      <c r="E827" s="3" t="s">
        <v>159</v>
      </c>
      <c r="F827" s="3" t="s">
        <v>28</v>
      </c>
      <c r="G827" s="5">
        <f>IF(ISNUMBER('Main Project Raw Data'!G827),'Main Project Raw Data'!G827,IF(ISNUMBER(SEARCH("/",'Main Project Raw Data'!G827)),DATE(RIGHT('Main Project Raw Data'!G827,4),LEFT('Main Project Raw Data'!G827,FIND("/",'Main Project Raw Data'!G827)-1),MID('Main Project Raw Data'!G827,FIND("/",'Main Project Raw Data'!G827)+1,2)),DATE(RIGHT('Main Project Raw Data'!G827,4),MID('Main Project Raw Data'!G827,4,2),LEFT('Main Project Raw Data'!G827,2))))</f>
        <v>43863</v>
      </c>
      <c r="H827" s="3">
        <f>IF(Table1[[#This Row],[Salary]]="",AVERAGE(Table1[Salary]),Table1[[#This Row],[Salary]])</f>
        <v>60079.71</v>
      </c>
      <c r="I827" s="3" t="s">
        <v>125</v>
      </c>
      <c r="J827" s="3">
        <f>ABS(Table1[[#This Row],[Phone]])</f>
        <v>4706810389</v>
      </c>
      <c r="K827" s="3" t="str">
        <f>PROPER(TRIM(Table1[[#This Row],[Performance_Score]]))</f>
        <v>Average</v>
      </c>
      <c r="L827" s="3" t="b">
        <f>Table1[[#This Row],[Remote_Work]]</f>
        <v>1</v>
      </c>
      <c r="M827" s="3" t="str">
        <f>PROPER(CONCATENATE(Table13[[#This Row],[First_Name]], Table13[[#This Row],[Last_Name]]))</f>
        <v>Charliebrown</v>
      </c>
      <c r="N827" s="3" t="str">
        <f t="shared" si="12"/>
        <v>Feb</v>
      </c>
      <c r="O827" s="3" t="str">
        <f>TEXT(Table13[[#This Row],[Join_Date]],"yyyy")</f>
        <v>2020</v>
      </c>
      <c r="P827" s="3" t="str">
        <f>LEFT('Main Project Raw Data'!E827,FIND("-",'Main Project Raw Data'!E827)-1)</f>
        <v>Cloud Tech</v>
      </c>
      <c r="Q827" s="3" t="str">
        <f>RIGHT('Main Project Raw Data'!E827,LEN('Main Project Raw Data'!E827)-FIND("-",'Main Project Raw Data'!E827))</f>
        <v>Texas</v>
      </c>
    </row>
    <row r="828" spans="1:17" x14ac:dyDescent="0.3">
      <c r="A828" s="3" t="str">
        <f>TRIM(Table1[[#This Row],[Employee_ID]])</f>
        <v>EMP1826</v>
      </c>
      <c r="B828" s="3" t="str">
        <f>TRIM(Table1[[#This Row],[First_Name]])</f>
        <v>Grace</v>
      </c>
      <c r="C828" s="3" t="str">
        <f>TRIM(Table1[[#This Row],[Last_Name]])</f>
        <v>Williams</v>
      </c>
      <c r="D828" s="3">
        <f>IF(Table1[[#This Row],[Age]]="",AVERAGE(Table1[Age]),Table1[[#This Row],[Age]])</f>
        <v>30</v>
      </c>
      <c r="E828" s="3" t="s">
        <v>60</v>
      </c>
      <c r="F828" s="3" t="s">
        <v>28</v>
      </c>
      <c r="G828" s="5">
        <f>IF(ISNUMBER('Main Project Raw Data'!G828),'Main Project Raw Data'!G828,IF(ISNUMBER(SEARCH("/",'Main Project Raw Data'!G828)),DATE(RIGHT('Main Project Raw Data'!G828,4),LEFT('Main Project Raw Data'!G828,FIND("/",'Main Project Raw Data'!G828)-1),MID('Main Project Raw Data'!G828,FIND("/",'Main Project Raw Data'!G828)+1,2)),DATE(RIGHT('Main Project Raw Data'!G828,4),MID('Main Project Raw Data'!G828,4,2),LEFT('Main Project Raw Data'!G828,2))))</f>
        <v>45511</v>
      </c>
      <c r="H828" s="3">
        <f>IF(Table1[[#This Row],[Salary]]="",AVERAGE(Table1[Salary]),Table1[[#This Row],[Salary]])</f>
        <v>79109.88</v>
      </c>
      <c r="I828" s="3" t="s">
        <v>71</v>
      </c>
      <c r="J828" s="3">
        <f>ABS(Table1[[#This Row],[Phone]])</f>
        <v>3397051957</v>
      </c>
      <c r="K828" s="3" t="str">
        <f>PROPER(TRIM(Table1[[#This Row],[Performance_Score]]))</f>
        <v>Poor</v>
      </c>
      <c r="L828" s="3" t="b">
        <f>Table1[[#This Row],[Remote_Work]]</f>
        <v>0</v>
      </c>
      <c r="M828" s="3" t="str">
        <f>PROPER(CONCATENATE(Table13[[#This Row],[First_Name]], Table13[[#This Row],[Last_Name]]))</f>
        <v>Gracewilliams</v>
      </c>
      <c r="N828" s="3" t="str">
        <f t="shared" si="12"/>
        <v>Aug</v>
      </c>
      <c r="O828" s="3" t="str">
        <f>TEXT(Table13[[#This Row],[Join_Date]],"yyyy")</f>
        <v>2024</v>
      </c>
      <c r="P828" s="3" t="str">
        <f>LEFT('Main Project Raw Data'!E828,FIND("-",'Main Project Raw Data'!E828)-1)</f>
        <v>Cloud Tech</v>
      </c>
      <c r="Q828" s="3" t="str">
        <f>RIGHT('Main Project Raw Data'!E828,LEN('Main Project Raw Data'!E828)-FIND("-",'Main Project Raw Data'!E828))</f>
        <v>New York</v>
      </c>
    </row>
    <row r="829" spans="1:17" x14ac:dyDescent="0.3">
      <c r="A829" s="3" t="str">
        <f>TRIM(Table1[[#This Row],[Employee_ID]])</f>
        <v>EMP1827</v>
      </c>
      <c r="B829" s="3" t="str">
        <f>TRIM(Table1[[#This Row],[First_Name]])</f>
        <v>Grace</v>
      </c>
      <c r="C829" s="3" t="str">
        <f>TRIM(Table1[[#This Row],[Last_Name]])</f>
        <v>Johnson</v>
      </c>
      <c r="D829" s="3">
        <f>IF(Table1[[#This Row],[Age]]="",AVERAGE(Table1[Age]),Table1[[#This Row],[Age]])</f>
        <v>32.484548825710753</v>
      </c>
      <c r="E829" s="3" t="s">
        <v>205</v>
      </c>
      <c r="F829" s="3" t="s">
        <v>28</v>
      </c>
      <c r="G829" s="5">
        <f>IF(ISNUMBER('Main Project Raw Data'!G829),'Main Project Raw Data'!G829,IF(ISNUMBER(SEARCH("/",'Main Project Raw Data'!G829)),DATE(RIGHT('Main Project Raw Data'!G829,4),LEFT('Main Project Raw Data'!G829,FIND("/",'Main Project Raw Data'!G829)-1),MID('Main Project Raw Data'!G829,FIND("/",'Main Project Raw Data'!G829)+1,2)),DATE(RIGHT('Main Project Raw Data'!G829,4),MID('Main Project Raw Data'!G829,4,2),LEFT('Main Project Raw Data'!G829,2))))</f>
        <v>44699</v>
      </c>
      <c r="H829" s="3">
        <f>IF(Table1[[#This Row],[Salary]]="",AVERAGE(Table1[Salary]),Table1[[#This Row],[Salary]])</f>
        <v>88643.5</v>
      </c>
      <c r="I829" s="3" t="s">
        <v>127</v>
      </c>
      <c r="J829" s="3">
        <f>ABS(Table1[[#This Row],[Phone]])</f>
        <v>2632809447</v>
      </c>
      <c r="K829" s="3" t="str">
        <f>PROPER(TRIM(Table1[[#This Row],[Performance_Score]]))</f>
        <v>Poor</v>
      </c>
      <c r="L829" s="3" t="b">
        <f>Table1[[#This Row],[Remote_Work]]</f>
        <v>0</v>
      </c>
      <c r="M829" s="3" t="str">
        <f>PROPER(CONCATENATE(Table13[[#This Row],[First_Name]], Table13[[#This Row],[Last_Name]]))</f>
        <v>Gracejohnson</v>
      </c>
      <c r="N829" s="3" t="str">
        <f t="shared" si="12"/>
        <v>May</v>
      </c>
      <c r="O829" s="3" t="str">
        <f>TEXT(Table13[[#This Row],[Join_Date]],"yyyy")</f>
        <v>2022</v>
      </c>
      <c r="P829" s="3" t="str">
        <f>LEFT('Main Project Raw Data'!E829,FIND("-",'Main Project Raw Data'!E829)-1)</f>
        <v>Admin</v>
      </c>
      <c r="Q829" s="3" t="str">
        <f>RIGHT('Main Project Raw Data'!E829,LEN('Main Project Raw Data'!E829)-FIND("-",'Main Project Raw Data'!E829))</f>
        <v>Florida</v>
      </c>
    </row>
    <row r="830" spans="1:17" x14ac:dyDescent="0.3">
      <c r="A830" s="3" t="str">
        <f>TRIM(Table1[[#This Row],[Employee_ID]])</f>
        <v>EMP1828</v>
      </c>
      <c r="B830" s="3" t="str">
        <f>TRIM(Table1[[#This Row],[First_Name]])</f>
        <v>Frank</v>
      </c>
      <c r="C830" s="3" t="str">
        <f>TRIM(Table1[[#This Row],[Last_Name]])</f>
        <v>Davis</v>
      </c>
      <c r="D830" s="3">
        <f>IF(Table1[[#This Row],[Age]]="",AVERAGE(Table1[Age]),Table1[[#This Row],[Age]])</f>
        <v>30</v>
      </c>
      <c r="E830" s="3" t="s">
        <v>205</v>
      </c>
      <c r="F830" s="3" t="s">
        <v>28</v>
      </c>
      <c r="G830" s="5">
        <f>IF(ISNUMBER('Main Project Raw Data'!G830),'Main Project Raw Data'!G830,IF(ISNUMBER(SEARCH("/",'Main Project Raw Data'!G830)),DATE(RIGHT('Main Project Raw Data'!G830,4),LEFT('Main Project Raw Data'!G830,FIND("/",'Main Project Raw Data'!G830)-1),MID('Main Project Raw Data'!G830,FIND("/",'Main Project Raw Data'!G830)+1,2)),DATE(RIGHT('Main Project Raw Data'!G830,4),MID('Main Project Raw Data'!G830,4,2),LEFT('Main Project Raw Data'!G830,2))))</f>
        <v>43846</v>
      </c>
      <c r="H830" s="3">
        <f>IF(Table1[[#This Row],[Salary]]="",AVERAGE(Table1[Salary]),Table1[[#This Row],[Salary]])</f>
        <v>90455.7</v>
      </c>
      <c r="I830" s="3" t="s">
        <v>52</v>
      </c>
      <c r="J830" s="3">
        <f>ABS(Table1[[#This Row],[Phone]])</f>
        <v>5862394534</v>
      </c>
      <c r="K830" s="3" t="str">
        <f>PROPER(TRIM(Table1[[#This Row],[Performance_Score]]))</f>
        <v>Excellent</v>
      </c>
      <c r="L830" s="3" t="b">
        <f>Table1[[#This Row],[Remote_Work]]</f>
        <v>0</v>
      </c>
      <c r="M830" s="3" t="str">
        <f>PROPER(CONCATENATE(Table13[[#This Row],[First_Name]], Table13[[#This Row],[Last_Name]]))</f>
        <v>Frankdavis</v>
      </c>
      <c r="N830" s="3" t="str">
        <f t="shared" si="12"/>
        <v>Jan</v>
      </c>
      <c r="O830" s="3" t="str">
        <f>TEXT(Table13[[#This Row],[Join_Date]],"yyyy")</f>
        <v>2020</v>
      </c>
      <c r="P830" s="3" t="str">
        <f>LEFT('Main Project Raw Data'!E830,FIND("-",'Main Project Raw Data'!E830)-1)</f>
        <v>Admin</v>
      </c>
      <c r="Q830" s="3" t="str">
        <f>RIGHT('Main Project Raw Data'!E830,LEN('Main Project Raw Data'!E830)-FIND("-",'Main Project Raw Data'!E830))</f>
        <v>Florida</v>
      </c>
    </row>
    <row r="831" spans="1:17" x14ac:dyDescent="0.3">
      <c r="A831" s="3" t="str">
        <f>TRIM(Table1[[#This Row],[Employee_ID]])</f>
        <v>EMP1829</v>
      </c>
      <c r="B831" s="3" t="str">
        <f>TRIM(Table1[[#This Row],[First_Name]])</f>
        <v>David</v>
      </c>
      <c r="C831" s="3" t="str">
        <f>TRIM(Table1[[#This Row],[Last_Name]])</f>
        <v>Garcia</v>
      </c>
      <c r="D831" s="3">
        <f>IF(Table1[[#This Row],[Age]]="",AVERAGE(Table1[Age]),Table1[[#This Row],[Age]])</f>
        <v>32.484548825710753</v>
      </c>
      <c r="E831" s="3" t="s">
        <v>212</v>
      </c>
      <c r="F831" s="3" t="s">
        <v>28</v>
      </c>
      <c r="G831" s="5">
        <f>IF(ISNUMBER('Main Project Raw Data'!G831),'Main Project Raw Data'!G831,IF(ISNUMBER(SEARCH("/",'Main Project Raw Data'!G831)),DATE(RIGHT('Main Project Raw Data'!G831,4),LEFT('Main Project Raw Data'!G831,FIND("/",'Main Project Raw Data'!G831)-1),MID('Main Project Raw Data'!G831,FIND("/",'Main Project Raw Data'!G831)+1,2)),DATE(RIGHT('Main Project Raw Data'!G831,4),MID('Main Project Raw Data'!G831,4,2),LEFT('Main Project Raw Data'!G831,2))))</f>
        <v>45011</v>
      </c>
      <c r="H831" s="3">
        <f>IF(Table1[[#This Row],[Salary]]="",AVERAGE(Table1[Salary]),Table1[[#This Row],[Salary]])</f>
        <v>75687.899999999994</v>
      </c>
      <c r="I831" s="3" t="s">
        <v>101</v>
      </c>
      <c r="J831" s="3">
        <f>ABS(Table1[[#This Row],[Phone]])</f>
        <v>4614707985</v>
      </c>
      <c r="K831" s="3" t="str">
        <f>PROPER(TRIM(Table1[[#This Row],[Performance_Score]]))</f>
        <v>Good</v>
      </c>
      <c r="L831" s="3" t="b">
        <f>Table1[[#This Row],[Remote_Work]]</f>
        <v>1</v>
      </c>
      <c r="M831" s="3" t="str">
        <f>PROPER(CONCATENATE(Table13[[#This Row],[First_Name]], Table13[[#This Row],[Last_Name]]))</f>
        <v>Davidgarcia</v>
      </c>
      <c r="N831" s="3" t="str">
        <f t="shared" si="12"/>
        <v>Mar</v>
      </c>
      <c r="O831" s="3" t="str">
        <f>TEXT(Table13[[#This Row],[Join_Date]],"yyyy")</f>
        <v>2023</v>
      </c>
      <c r="P831" s="3" t="str">
        <f>LEFT('Main Project Raw Data'!E831,FIND("-",'Main Project Raw Data'!E831)-1)</f>
        <v>HR</v>
      </c>
      <c r="Q831" s="3" t="str">
        <f>RIGHT('Main Project Raw Data'!E831,LEN('Main Project Raw Data'!E831)-FIND("-",'Main Project Raw Data'!E831))</f>
        <v>Florida</v>
      </c>
    </row>
    <row r="832" spans="1:17" x14ac:dyDescent="0.3">
      <c r="A832" s="3" t="str">
        <f>TRIM(Table1[[#This Row],[Employee_ID]])</f>
        <v>EMP1830</v>
      </c>
      <c r="B832" s="3" t="str">
        <f>TRIM(Table1[[#This Row],[First_Name]])</f>
        <v>Heidi</v>
      </c>
      <c r="C832" s="3" t="str">
        <f>TRIM(Table1[[#This Row],[Last_Name]])</f>
        <v>Jones</v>
      </c>
      <c r="D832" s="3">
        <f>IF(Table1[[#This Row],[Age]]="",AVERAGE(Table1[Age]),Table1[[#This Row],[Age]])</f>
        <v>35</v>
      </c>
      <c r="E832" s="3" t="s">
        <v>95</v>
      </c>
      <c r="F832" s="3" t="s">
        <v>33</v>
      </c>
      <c r="G832" s="5">
        <f>IF(ISNUMBER('Main Project Raw Data'!G832),'Main Project Raw Data'!G832,IF(ISNUMBER(SEARCH("/",'Main Project Raw Data'!G832)),DATE(RIGHT('Main Project Raw Data'!G832,4),LEFT('Main Project Raw Data'!G832,FIND("/",'Main Project Raw Data'!G832)-1),MID('Main Project Raw Data'!G832,FIND("/",'Main Project Raw Data'!G832)+1,2)),DATE(RIGHT('Main Project Raw Data'!G832,4),MID('Main Project Raw Data'!G832,4,2),LEFT('Main Project Raw Data'!G832,2))))</f>
        <v>45245</v>
      </c>
      <c r="H832" s="3">
        <f>IF(Table1[[#This Row],[Salary]]="",AVERAGE(Table1[Salary]),Table1[[#This Row],[Salary]])</f>
        <v>55604.42</v>
      </c>
      <c r="I832" s="3" t="s">
        <v>319</v>
      </c>
      <c r="J832" s="3">
        <f>ABS(Table1[[#This Row],[Phone]])</f>
        <v>3210613393</v>
      </c>
      <c r="K832" s="3" t="str">
        <f>PROPER(TRIM(Table1[[#This Row],[Performance_Score]]))</f>
        <v>Average</v>
      </c>
      <c r="L832" s="3" t="b">
        <f>Table1[[#This Row],[Remote_Work]]</f>
        <v>0</v>
      </c>
      <c r="M832" s="3" t="str">
        <f>PROPER(CONCATENATE(Table13[[#This Row],[First_Name]], Table13[[#This Row],[Last_Name]]))</f>
        <v>Heidijones</v>
      </c>
      <c r="N832" s="3" t="str">
        <f t="shared" si="12"/>
        <v>Nov</v>
      </c>
      <c r="O832" s="3" t="str">
        <f>TEXT(Table13[[#This Row],[Join_Date]],"yyyy")</f>
        <v>2023</v>
      </c>
      <c r="P832" s="3" t="str">
        <f>LEFT('Main Project Raw Data'!E832,FIND("-",'Main Project Raw Data'!E832)-1)</f>
        <v>Cloud Tech</v>
      </c>
      <c r="Q832" s="3" t="str">
        <f>RIGHT('Main Project Raw Data'!E832,LEN('Main Project Raw Data'!E832)-FIND("-",'Main Project Raw Data'!E832))</f>
        <v>Illinois</v>
      </c>
    </row>
    <row r="833" spans="1:17" x14ac:dyDescent="0.3">
      <c r="A833" s="3" t="str">
        <f>TRIM(Table1[[#This Row],[Employee_ID]])</f>
        <v>EMP1831</v>
      </c>
      <c r="B833" s="3" t="str">
        <f>TRIM(Table1[[#This Row],[First_Name]])</f>
        <v>Eva</v>
      </c>
      <c r="C833" s="3" t="str">
        <f>TRIM(Table1[[#This Row],[Last_Name]])</f>
        <v>Jones</v>
      </c>
      <c r="D833" s="3">
        <f>IF(Table1[[#This Row],[Age]]="",AVERAGE(Table1[Age]),Table1[[#This Row],[Age]])</f>
        <v>40</v>
      </c>
      <c r="E833" s="3" t="s">
        <v>44</v>
      </c>
      <c r="F833" s="3" t="s">
        <v>28</v>
      </c>
      <c r="G833" s="5">
        <f>IF(ISNUMBER('Main Project Raw Data'!G833),'Main Project Raw Data'!G833,IF(ISNUMBER(SEARCH("/",'Main Project Raw Data'!G833)),DATE(RIGHT('Main Project Raw Data'!G833,4),LEFT('Main Project Raw Data'!G833,FIND("/",'Main Project Raw Data'!G833)-1),MID('Main Project Raw Data'!G833,FIND("/",'Main Project Raw Data'!G833)+1,2)),DATE(RIGHT('Main Project Raw Data'!G833,4),MID('Main Project Raw Data'!G833,4,2),LEFT('Main Project Raw Data'!G833,2))))</f>
        <v>45653</v>
      </c>
      <c r="H833" s="3">
        <f>IF(Table1[[#This Row],[Salary]]="",AVERAGE(Table1[Salary]),Table1[[#This Row],[Salary]])</f>
        <v>92704.94</v>
      </c>
      <c r="I833" s="3" t="s">
        <v>277</v>
      </c>
      <c r="J833" s="3">
        <f>ABS(Table1[[#This Row],[Phone]])</f>
        <v>3945703942</v>
      </c>
      <c r="K833" s="3" t="str">
        <f>PROPER(TRIM(Table1[[#This Row],[Performance_Score]]))</f>
        <v>Excellent</v>
      </c>
      <c r="L833" s="3" t="b">
        <f>Table1[[#This Row],[Remote_Work]]</f>
        <v>0</v>
      </c>
      <c r="M833" s="3" t="str">
        <f>PROPER(CONCATENATE(Table13[[#This Row],[First_Name]], Table13[[#This Row],[Last_Name]]))</f>
        <v>Evajones</v>
      </c>
      <c r="N833" s="3" t="str">
        <f t="shared" si="12"/>
        <v>Dec</v>
      </c>
      <c r="O833" s="3" t="str">
        <f>TEXT(Table13[[#This Row],[Join_Date]],"yyyy")</f>
        <v>2024</v>
      </c>
      <c r="P833" s="3" t="str">
        <f>LEFT('Main Project Raw Data'!E833,FIND("-",'Main Project Raw Data'!E833)-1)</f>
        <v>Sales</v>
      </c>
      <c r="Q833" s="3" t="str">
        <f>RIGHT('Main Project Raw Data'!E833,LEN('Main Project Raw Data'!E833)-FIND("-",'Main Project Raw Data'!E833))</f>
        <v>Texas</v>
      </c>
    </row>
    <row r="834" spans="1:17" x14ac:dyDescent="0.3">
      <c r="A834" s="3" t="str">
        <f>TRIM(Table1[[#This Row],[Employee_ID]])</f>
        <v>EMP1832</v>
      </c>
      <c r="B834" s="3" t="str">
        <f>TRIM(Table1[[#This Row],[First_Name]])</f>
        <v>Bob</v>
      </c>
      <c r="C834" s="3" t="str">
        <f>TRIM(Table1[[#This Row],[Last_Name]])</f>
        <v>Williams</v>
      </c>
      <c r="D834" s="3">
        <f>IF(Table1[[#This Row],[Age]]="",AVERAGE(Table1[Age]),Table1[[#This Row],[Age]])</f>
        <v>32.484548825710753</v>
      </c>
      <c r="E834" s="3" t="s">
        <v>177</v>
      </c>
      <c r="F834" s="3" t="s">
        <v>28</v>
      </c>
      <c r="G834" s="5">
        <f>IF(ISNUMBER('Main Project Raw Data'!G834),'Main Project Raw Data'!G834,IF(ISNUMBER(SEARCH("/",'Main Project Raw Data'!G834)),DATE(RIGHT('Main Project Raw Data'!G834,4),LEFT('Main Project Raw Data'!G834,FIND("/",'Main Project Raw Data'!G834)-1),MID('Main Project Raw Data'!G834,FIND("/",'Main Project Raw Data'!G834)+1,2)),DATE(RIGHT('Main Project Raw Data'!G834,4),MID('Main Project Raw Data'!G834,4,2),LEFT('Main Project Raw Data'!G834,2))))</f>
        <v>43939</v>
      </c>
      <c r="H834" s="3">
        <f>IF(Table1[[#This Row],[Salary]]="",AVERAGE(Table1[Salary]),Table1[[#This Row],[Salary]])</f>
        <v>113250.97</v>
      </c>
      <c r="I834" s="3" t="s">
        <v>144</v>
      </c>
      <c r="J834" s="3">
        <f>ABS(Table1[[#This Row],[Phone]])</f>
        <v>8040325375</v>
      </c>
      <c r="K834" s="3" t="str">
        <f>PROPER(TRIM(Table1[[#This Row],[Performance_Score]]))</f>
        <v>Good</v>
      </c>
      <c r="L834" s="3" t="b">
        <f>Table1[[#This Row],[Remote_Work]]</f>
        <v>1</v>
      </c>
      <c r="M834" s="3" t="str">
        <f>PROPER(CONCATENATE(Table13[[#This Row],[First_Name]], Table13[[#This Row],[Last_Name]]))</f>
        <v>Bobwilliams</v>
      </c>
      <c r="N834" s="3" t="str">
        <f t="shared" ref="N834:N897" si="13">TEXT(G834,"mmm")</f>
        <v>Apr</v>
      </c>
      <c r="O834" s="3" t="str">
        <f>TEXT(Table13[[#This Row],[Join_Date]],"yyyy")</f>
        <v>2020</v>
      </c>
      <c r="P834" s="3" t="str">
        <f>LEFT('Main Project Raw Data'!E834,FIND("-",'Main Project Raw Data'!E834)-1)</f>
        <v>Sales</v>
      </c>
      <c r="Q834" s="3" t="str">
        <f>RIGHT('Main Project Raw Data'!E834,LEN('Main Project Raw Data'!E834)-FIND("-",'Main Project Raw Data'!E834))</f>
        <v>California</v>
      </c>
    </row>
    <row r="835" spans="1:17" x14ac:dyDescent="0.3">
      <c r="A835" s="3" t="str">
        <f>TRIM(Table1[[#This Row],[Employee_ID]])</f>
        <v>EMP1833</v>
      </c>
      <c r="B835" s="3" t="str">
        <f>TRIM(Table1[[#This Row],[First_Name]])</f>
        <v>Alice</v>
      </c>
      <c r="C835" s="3" t="str">
        <f>TRIM(Table1[[#This Row],[Last_Name]])</f>
        <v>Brown</v>
      </c>
      <c r="D835" s="3">
        <f>IF(Table1[[#This Row],[Age]]="",AVERAGE(Table1[Age]),Table1[[#This Row],[Age]])</f>
        <v>40</v>
      </c>
      <c r="E835" s="3" t="s">
        <v>265</v>
      </c>
      <c r="F835" s="3" t="s">
        <v>33</v>
      </c>
      <c r="G835" s="5">
        <f>IF(ISNUMBER('Main Project Raw Data'!G835),'Main Project Raw Data'!G835,IF(ISNUMBER(SEARCH("/",'Main Project Raw Data'!G835)),DATE(RIGHT('Main Project Raw Data'!G835,4),LEFT('Main Project Raw Data'!G835,FIND("/",'Main Project Raw Data'!G835)-1),MID('Main Project Raw Data'!G835,FIND("/",'Main Project Raw Data'!G835)+1,2)),DATE(RIGHT('Main Project Raw Data'!G835,4),MID('Main Project Raw Data'!G835,4,2),LEFT('Main Project Raw Data'!G835,2))))</f>
        <v>45006</v>
      </c>
      <c r="H835" s="3">
        <f>IF(Table1[[#This Row],[Salary]]="",AVERAGE(Table1[Salary]),Table1[[#This Row],[Salary]])</f>
        <v>101367.02</v>
      </c>
      <c r="I835" s="3" t="s">
        <v>80</v>
      </c>
      <c r="J835" s="3">
        <f>ABS(Table1[[#This Row],[Phone]])</f>
        <v>5769277893</v>
      </c>
      <c r="K835" s="3" t="str">
        <f>PROPER(TRIM(Table1[[#This Row],[Performance_Score]]))</f>
        <v>Excellent</v>
      </c>
      <c r="L835" s="3" t="b">
        <f>Table1[[#This Row],[Remote_Work]]</f>
        <v>0</v>
      </c>
      <c r="M835" s="3" t="str">
        <f>PROPER(CONCATENATE(Table13[[#This Row],[First_Name]], Table13[[#This Row],[Last_Name]]))</f>
        <v>Alicebrown</v>
      </c>
      <c r="N835" s="3" t="str">
        <f t="shared" si="13"/>
        <v>Mar</v>
      </c>
      <c r="O835" s="3" t="str">
        <f>TEXT(Table13[[#This Row],[Join_Date]],"yyyy")</f>
        <v>2023</v>
      </c>
      <c r="P835" s="3" t="str">
        <f>LEFT('Main Project Raw Data'!E835,FIND("-",'Main Project Raw Data'!E835)-1)</f>
        <v>Finance</v>
      </c>
      <c r="Q835" s="3" t="str">
        <f>RIGHT('Main Project Raw Data'!E835,LEN('Main Project Raw Data'!E835)-FIND("-",'Main Project Raw Data'!E835))</f>
        <v>Illinois</v>
      </c>
    </row>
    <row r="836" spans="1:17" x14ac:dyDescent="0.3">
      <c r="A836" s="3" t="str">
        <f>TRIM(Table1[[#This Row],[Employee_ID]])</f>
        <v>EMP1834</v>
      </c>
      <c r="B836" s="3" t="str">
        <f>TRIM(Table1[[#This Row],[First_Name]])</f>
        <v>Eva</v>
      </c>
      <c r="C836" s="3" t="str">
        <f>TRIM(Table1[[#This Row],[Last_Name]])</f>
        <v>Smith</v>
      </c>
      <c r="D836" s="3">
        <f>IF(Table1[[#This Row],[Age]]="",AVERAGE(Table1[Age]),Table1[[#This Row],[Age]])</f>
        <v>35</v>
      </c>
      <c r="E836" s="3" t="s">
        <v>103</v>
      </c>
      <c r="F836" s="3" t="s">
        <v>28</v>
      </c>
      <c r="G836" s="5">
        <f>IF(ISNUMBER('Main Project Raw Data'!G836),'Main Project Raw Data'!G836,IF(ISNUMBER(SEARCH("/",'Main Project Raw Data'!G836)),DATE(RIGHT('Main Project Raw Data'!G836,4),LEFT('Main Project Raw Data'!G836,FIND("/",'Main Project Raw Data'!G836)-1),MID('Main Project Raw Data'!G836,FIND("/",'Main Project Raw Data'!G836)+1,2)),DATE(RIGHT('Main Project Raw Data'!G836,4),MID('Main Project Raw Data'!G836,4,2),LEFT('Main Project Raw Data'!G836,2))))</f>
        <v>45143</v>
      </c>
      <c r="H836" s="3">
        <f>IF(Table1[[#This Row],[Salary]]="",AVERAGE(Table1[Salary]),Table1[[#This Row],[Salary]])</f>
        <v>102459.77</v>
      </c>
      <c r="I836" s="3" t="s">
        <v>521</v>
      </c>
      <c r="J836" s="3">
        <f>ABS(Table1[[#This Row],[Phone]])</f>
        <v>3191009003</v>
      </c>
      <c r="K836" s="3" t="str">
        <f>PROPER(TRIM(Table1[[#This Row],[Performance_Score]]))</f>
        <v>Poor</v>
      </c>
      <c r="L836" s="3" t="b">
        <f>Table1[[#This Row],[Remote_Work]]</f>
        <v>0</v>
      </c>
      <c r="M836" s="3" t="str">
        <f>PROPER(CONCATENATE(Table13[[#This Row],[First_Name]], Table13[[#This Row],[Last_Name]]))</f>
        <v>Evasmith</v>
      </c>
      <c r="N836" s="3" t="str">
        <f t="shared" si="13"/>
        <v>Aug</v>
      </c>
      <c r="O836" s="3" t="str">
        <f>TEXT(Table13[[#This Row],[Join_Date]],"yyyy")</f>
        <v>2023</v>
      </c>
      <c r="P836" s="3" t="str">
        <f>LEFT('Main Project Raw Data'!E836,FIND("-",'Main Project Raw Data'!E836)-1)</f>
        <v>Admin</v>
      </c>
      <c r="Q836" s="3" t="str">
        <f>RIGHT('Main Project Raw Data'!E836,LEN('Main Project Raw Data'!E836)-FIND("-",'Main Project Raw Data'!E836))</f>
        <v>Texas</v>
      </c>
    </row>
    <row r="837" spans="1:17" x14ac:dyDescent="0.3">
      <c r="A837" s="3" t="str">
        <f>TRIM(Table1[[#This Row],[Employee_ID]])</f>
        <v>EMP1835</v>
      </c>
      <c r="B837" s="3" t="str">
        <f>TRIM(Table1[[#This Row],[First_Name]])</f>
        <v>Eva</v>
      </c>
      <c r="C837" s="3" t="str">
        <f>TRIM(Table1[[#This Row],[Last_Name]])</f>
        <v>Brown</v>
      </c>
      <c r="D837" s="3">
        <f>IF(Table1[[#This Row],[Age]]="",AVERAGE(Table1[Age]),Table1[[#This Row],[Age]])</f>
        <v>25</v>
      </c>
      <c r="E837" s="3" t="s">
        <v>230</v>
      </c>
      <c r="F837" s="3" t="s">
        <v>28</v>
      </c>
      <c r="G837" s="5">
        <f>IF(ISNUMBER('Main Project Raw Data'!G837),'Main Project Raw Data'!G837,IF(ISNUMBER(SEARCH("/",'Main Project Raw Data'!G837)),DATE(RIGHT('Main Project Raw Data'!G837,4),LEFT('Main Project Raw Data'!G837,FIND("/",'Main Project Raw Data'!G837)-1),MID('Main Project Raw Data'!G837,FIND("/",'Main Project Raw Data'!G837)+1,2)),DATE(RIGHT('Main Project Raw Data'!G837,4),MID('Main Project Raw Data'!G837,4,2),LEFT('Main Project Raw Data'!G837,2))))</f>
        <v>44177</v>
      </c>
      <c r="H837" s="3">
        <f>IF(Table1[[#This Row],[Salary]]="",AVERAGE(Table1[Salary]),Table1[[#This Row],[Salary]])</f>
        <v>90100.2</v>
      </c>
      <c r="I837" s="3" t="s">
        <v>155</v>
      </c>
      <c r="J837" s="3">
        <f>ABS(Table1[[#This Row],[Phone]])</f>
        <v>476921052</v>
      </c>
      <c r="K837" s="3" t="str">
        <f>PROPER(TRIM(Table1[[#This Row],[Performance_Score]]))</f>
        <v>Good</v>
      </c>
      <c r="L837" s="3" t="b">
        <f>Table1[[#This Row],[Remote_Work]]</f>
        <v>0</v>
      </c>
      <c r="M837" s="3" t="str">
        <f>PROPER(CONCATENATE(Table13[[#This Row],[First_Name]], Table13[[#This Row],[Last_Name]]))</f>
        <v>Evabrown</v>
      </c>
      <c r="N837" s="3" t="str">
        <f t="shared" si="13"/>
        <v>Dec</v>
      </c>
      <c r="O837" s="3" t="str">
        <f>TEXT(Table13[[#This Row],[Join_Date]],"yyyy")</f>
        <v>2020</v>
      </c>
      <c r="P837" s="3" t="str">
        <f>LEFT('Main Project Raw Data'!E837,FIND("-",'Main Project Raw Data'!E837)-1)</f>
        <v>DevOps</v>
      </c>
      <c r="Q837" s="3" t="str">
        <f>RIGHT('Main Project Raw Data'!E837,LEN('Main Project Raw Data'!E837)-FIND("-",'Main Project Raw Data'!E837))</f>
        <v>Florida</v>
      </c>
    </row>
    <row r="838" spans="1:17" x14ac:dyDescent="0.3">
      <c r="A838" s="3" t="str">
        <f>TRIM(Table1[[#This Row],[Employee_ID]])</f>
        <v>EMP1836</v>
      </c>
      <c r="B838" s="3" t="str">
        <f>TRIM(Table1[[#This Row],[First_Name]])</f>
        <v>Eva</v>
      </c>
      <c r="C838" s="3" t="str">
        <f>TRIM(Table1[[#This Row],[Last_Name]])</f>
        <v>Williams</v>
      </c>
      <c r="D838" s="3">
        <f>IF(Table1[[#This Row],[Age]]="",AVERAGE(Table1[Age]),Table1[[#This Row],[Age]])</f>
        <v>32.484548825710753</v>
      </c>
      <c r="E838" s="3" t="s">
        <v>268</v>
      </c>
      <c r="F838" s="3" t="s">
        <v>33</v>
      </c>
      <c r="G838" s="5">
        <f>IF(ISNUMBER('Main Project Raw Data'!G838),'Main Project Raw Data'!G838,IF(ISNUMBER(SEARCH("/",'Main Project Raw Data'!G838)),DATE(RIGHT('Main Project Raw Data'!G838,4),LEFT('Main Project Raw Data'!G838,FIND("/",'Main Project Raw Data'!G838)-1),MID('Main Project Raw Data'!G838,FIND("/",'Main Project Raw Data'!G838)+1,2)),DATE(RIGHT('Main Project Raw Data'!G838,4),MID('Main Project Raw Data'!G838,4,2),LEFT('Main Project Raw Data'!G838,2))))</f>
        <v>43999</v>
      </c>
      <c r="H838" s="3">
        <f>IF(Table1[[#This Row],[Salary]]="",AVERAGE(Table1[Salary]),Table1[[#This Row],[Salary]])</f>
        <v>58877.49</v>
      </c>
      <c r="I838" s="3" t="s">
        <v>141</v>
      </c>
      <c r="J838" s="3">
        <f>ABS(Table1[[#This Row],[Phone]])</f>
        <v>3651460400</v>
      </c>
      <c r="K838" s="3" t="str">
        <f>PROPER(TRIM(Table1[[#This Row],[Performance_Score]]))</f>
        <v>Excellent</v>
      </c>
      <c r="L838" s="3" t="b">
        <f>Table1[[#This Row],[Remote_Work]]</f>
        <v>0</v>
      </c>
      <c r="M838" s="3" t="str">
        <f>PROPER(CONCATENATE(Table13[[#This Row],[First_Name]], Table13[[#This Row],[Last_Name]]))</f>
        <v>Evawilliams</v>
      </c>
      <c r="N838" s="3" t="str">
        <f t="shared" si="13"/>
        <v>Jun</v>
      </c>
      <c r="O838" s="3" t="str">
        <f>TEXT(Table13[[#This Row],[Join_Date]],"yyyy")</f>
        <v>2020</v>
      </c>
      <c r="P838" s="3" t="str">
        <f>LEFT('Main Project Raw Data'!E838,FIND("-",'Main Project Raw Data'!E838)-1)</f>
        <v>Cloud Tech</v>
      </c>
      <c r="Q838" s="3" t="str">
        <f>RIGHT('Main Project Raw Data'!E838,LEN('Main Project Raw Data'!E838)-FIND("-",'Main Project Raw Data'!E838))</f>
        <v>California</v>
      </c>
    </row>
    <row r="839" spans="1:17" x14ac:dyDescent="0.3">
      <c r="A839" s="3" t="str">
        <f>TRIM(Table1[[#This Row],[Employee_ID]])</f>
        <v>EMP1837</v>
      </c>
      <c r="B839" s="3" t="str">
        <f>TRIM(Table1[[#This Row],[First_Name]])</f>
        <v>Eva</v>
      </c>
      <c r="C839" s="3" t="str">
        <f>TRIM(Table1[[#This Row],[Last_Name]])</f>
        <v>Jones</v>
      </c>
      <c r="D839" s="3">
        <f>IF(Table1[[#This Row],[Age]]="",AVERAGE(Table1[Age]),Table1[[#This Row],[Age]])</f>
        <v>35</v>
      </c>
      <c r="E839" s="3" t="s">
        <v>89</v>
      </c>
      <c r="F839" s="3" t="s">
        <v>33</v>
      </c>
      <c r="G839" s="5">
        <f>IF(ISNUMBER('Main Project Raw Data'!G839),'Main Project Raw Data'!G839,IF(ISNUMBER(SEARCH("/",'Main Project Raw Data'!G839)),DATE(RIGHT('Main Project Raw Data'!G839,4),LEFT('Main Project Raw Data'!G839,FIND("/",'Main Project Raw Data'!G839)-1),MID('Main Project Raw Data'!G839,FIND("/",'Main Project Raw Data'!G839)+1,2)),DATE(RIGHT('Main Project Raw Data'!G839,4),MID('Main Project Raw Data'!G839,4,2),LEFT('Main Project Raw Data'!G839,2))))</f>
        <v>44394</v>
      </c>
      <c r="H839" s="3">
        <f>IF(Table1[[#This Row],[Salary]]="",AVERAGE(Table1[Salary]),Table1[[#This Row],[Salary]])</f>
        <v>85155.056395582287</v>
      </c>
      <c r="I839" s="3" t="s">
        <v>277</v>
      </c>
      <c r="J839" s="3">
        <f>ABS(Table1[[#This Row],[Phone]])</f>
        <v>4247310719</v>
      </c>
      <c r="K839" s="3" t="str">
        <f>PROPER(TRIM(Table1[[#This Row],[Performance_Score]]))</f>
        <v>Excellent</v>
      </c>
      <c r="L839" s="3" t="b">
        <f>Table1[[#This Row],[Remote_Work]]</f>
        <v>0</v>
      </c>
      <c r="M839" s="3" t="str">
        <f>PROPER(CONCATENATE(Table13[[#This Row],[First_Name]], Table13[[#This Row],[Last_Name]]))</f>
        <v>Evajones</v>
      </c>
      <c r="N839" s="3" t="str">
        <f t="shared" si="13"/>
        <v>Jul</v>
      </c>
      <c r="O839" s="3" t="str">
        <f>TEXT(Table13[[#This Row],[Join_Date]],"yyyy")</f>
        <v>2021</v>
      </c>
      <c r="P839" s="3" t="str">
        <f>LEFT('Main Project Raw Data'!E839,FIND("-",'Main Project Raw Data'!E839)-1)</f>
        <v>Admin</v>
      </c>
      <c r="Q839" s="3" t="str">
        <f>RIGHT('Main Project Raw Data'!E839,LEN('Main Project Raw Data'!E839)-FIND("-",'Main Project Raw Data'!E839))</f>
        <v>Illinois</v>
      </c>
    </row>
    <row r="840" spans="1:17" x14ac:dyDescent="0.3">
      <c r="A840" s="3" t="str">
        <f>TRIM(Table1[[#This Row],[Employee_ID]])</f>
        <v>EMP1838</v>
      </c>
      <c r="B840" s="3" t="str">
        <f>TRIM(Table1[[#This Row],[First_Name]])</f>
        <v>Bob</v>
      </c>
      <c r="C840" s="3" t="str">
        <f>TRIM(Table1[[#This Row],[Last_Name]])</f>
        <v>Brown</v>
      </c>
      <c r="D840" s="3">
        <f>IF(Table1[[#This Row],[Age]]="",AVERAGE(Table1[Age]),Table1[[#This Row],[Age]])</f>
        <v>32.484548825710753</v>
      </c>
      <c r="E840" s="3" t="s">
        <v>89</v>
      </c>
      <c r="F840" s="3" t="s">
        <v>28</v>
      </c>
      <c r="G840" s="5">
        <f>IF(ISNUMBER('Main Project Raw Data'!G840),'Main Project Raw Data'!G840,IF(ISNUMBER(SEARCH("/",'Main Project Raw Data'!G840)),DATE(RIGHT('Main Project Raw Data'!G840,4),LEFT('Main Project Raw Data'!G840,FIND("/",'Main Project Raw Data'!G840)-1),MID('Main Project Raw Data'!G840,FIND("/",'Main Project Raw Data'!G840)+1,2)),DATE(RIGHT('Main Project Raw Data'!G840,4),MID('Main Project Raw Data'!G840,4,2),LEFT('Main Project Raw Data'!G840,2))))</f>
        <v>43962</v>
      </c>
      <c r="H840" s="3">
        <f>IF(Table1[[#This Row],[Salary]]="",AVERAGE(Table1[Salary]),Table1[[#This Row],[Salary]])</f>
        <v>96140.89</v>
      </c>
      <c r="I840" s="3" t="s">
        <v>22</v>
      </c>
      <c r="J840" s="3">
        <f>ABS(Table1[[#This Row],[Phone]])</f>
        <v>1137984408</v>
      </c>
      <c r="K840" s="3" t="str">
        <f>PROPER(TRIM(Table1[[#This Row],[Performance_Score]]))</f>
        <v>Average</v>
      </c>
      <c r="L840" s="3" t="b">
        <f>Table1[[#This Row],[Remote_Work]]</f>
        <v>1</v>
      </c>
      <c r="M840" s="3" t="str">
        <f>PROPER(CONCATENATE(Table13[[#This Row],[First_Name]], Table13[[#This Row],[Last_Name]]))</f>
        <v>Bobbrown</v>
      </c>
      <c r="N840" s="3" t="str">
        <f t="shared" si="13"/>
        <v>May</v>
      </c>
      <c r="O840" s="3" t="str">
        <f>TEXT(Table13[[#This Row],[Join_Date]],"yyyy")</f>
        <v>2020</v>
      </c>
      <c r="P840" s="3" t="str">
        <f>LEFT('Main Project Raw Data'!E840,FIND("-",'Main Project Raw Data'!E840)-1)</f>
        <v>Admin</v>
      </c>
      <c r="Q840" s="3" t="str">
        <f>RIGHT('Main Project Raw Data'!E840,LEN('Main Project Raw Data'!E840)-FIND("-",'Main Project Raw Data'!E840))</f>
        <v>Illinois</v>
      </c>
    </row>
    <row r="841" spans="1:17" x14ac:dyDescent="0.3">
      <c r="A841" s="3" t="str">
        <f>TRIM(Table1[[#This Row],[Employee_ID]])</f>
        <v>EMP1839</v>
      </c>
      <c r="B841" s="3" t="str">
        <f>TRIM(Table1[[#This Row],[First_Name]])</f>
        <v>Charlie</v>
      </c>
      <c r="C841" s="3" t="str">
        <f>TRIM(Table1[[#This Row],[Last_Name]])</f>
        <v>Jones</v>
      </c>
      <c r="D841" s="3">
        <f>IF(Table1[[#This Row],[Age]]="",AVERAGE(Table1[Age]),Table1[[#This Row],[Age]])</f>
        <v>35</v>
      </c>
      <c r="E841" s="3" t="s">
        <v>56</v>
      </c>
      <c r="F841" s="3" t="s">
        <v>33</v>
      </c>
      <c r="G841" s="5">
        <f>IF(ISNUMBER('Main Project Raw Data'!G841),'Main Project Raw Data'!G841,IF(ISNUMBER(SEARCH("/",'Main Project Raw Data'!G841)),DATE(RIGHT('Main Project Raw Data'!G841,4),LEFT('Main Project Raw Data'!G841,FIND("/",'Main Project Raw Data'!G841)-1),MID('Main Project Raw Data'!G841,FIND("/",'Main Project Raw Data'!G841)+1,2)),DATE(RIGHT('Main Project Raw Data'!G841,4),MID('Main Project Raw Data'!G841,4,2),LEFT('Main Project Raw Data'!G841,2))))</f>
        <v>44317</v>
      </c>
      <c r="H841" s="3">
        <f>IF(Table1[[#This Row],[Salary]]="",AVERAGE(Table1[Salary]),Table1[[#This Row],[Salary]])</f>
        <v>105956.04</v>
      </c>
      <c r="I841" s="3" t="s">
        <v>120</v>
      </c>
      <c r="J841" s="3">
        <f>ABS(Table1[[#This Row],[Phone]])</f>
        <v>7123166006</v>
      </c>
      <c r="K841" s="3" t="str">
        <f>PROPER(TRIM(Table1[[#This Row],[Performance_Score]]))</f>
        <v>Excellent</v>
      </c>
      <c r="L841" s="3" t="b">
        <f>Table1[[#This Row],[Remote_Work]]</f>
        <v>0</v>
      </c>
      <c r="M841" s="3" t="str">
        <f>PROPER(CONCATENATE(Table13[[#This Row],[First_Name]], Table13[[#This Row],[Last_Name]]))</f>
        <v>Charliejones</v>
      </c>
      <c r="N841" s="3" t="str">
        <f t="shared" si="13"/>
        <v>May</v>
      </c>
      <c r="O841" s="3" t="str">
        <f>TEXT(Table13[[#This Row],[Join_Date]],"yyyy")</f>
        <v>2021</v>
      </c>
      <c r="P841" s="3" t="str">
        <f>LEFT('Main Project Raw Data'!E841,FIND("-",'Main Project Raw Data'!E841)-1)</f>
        <v>DevOps</v>
      </c>
      <c r="Q841" s="3" t="str">
        <f>RIGHT('Main Project Raw Data'!E841,LEN('Main Project Raw Data'!E841)-FIND("-",'Main Project Raw Data'!E841))</f>
        <v>New York</v>
      </c>
    </row>
    <row r="842" spans="1:17" x14ac:dyDescent="0.3">
      <c r="A842" s="3" t="str">
        <f>TRIM(Table1[[#This Row],[Employee_ID]])</f>
        <v>EMP1840</v>
      </c>
      <c r="B842" s="3" t="str">
        <f>TRIM(Table1[[#This Row],[First_Name]])</f>
        <v>Frank</v>
      </c>
      <c r="C842" s="3" t="str">
        <f>TRIM(Table1[[#This Row],[Last_Name]])</f>
        <v>Davis</v>
      </c>
      <c r="D842" s="3">
        <f>IF(Table1[[#This Row],[Age]]="",AVERAGE(Table1[Age]),Table1[[#This Row],[Age]])</f>
        <v>25</v>
      </c>
      <c r="E842" s="3" t="s">
        <v>89</v>
      </c>
      <c r="F842" s="3" t="s">
        <v>16</v>
      </c>
      <c r="G842" s="5">
        <f>IF(ISNUMBER('Main Project Raw Data'!G842),'Main Project Raw Data'!G842,IF(ISNUMBER(SEARCH("/",'Main Project Raw Data'!G842)),DATE(RIGHT('Main Project Raw Data'!G842,4),LEFT('Main Project Raw Data'!G842,FIND("/",'Main Project Raw Data'!G842)-1),MID('Main Project Raw Data'!G842,FIND("/",'Main Project Raw Data'!G842)+1,2)),DATE(RIGHT('Main Project Raw Data'!G842,4),MID('Main Project Raw Data'!G842,4,2),LEFT('Main Project Raw Data'!G842,2))))</f>
        <v>45605</v>
      </c>
      <c r="H842" s="3">
        <f>IF(Table1[[#This Row],[Salary]]="",AVERAGE(Table1[Salary]),Table1[[#This Row],[Salary]])</f>
        <v>84716.38</v>
      </c>
      <c r="I842" s="3" t="s">
        <v>52</v>
      </c>
      <c r="J842" s="3">
        <f>ABS(Table1[[#This Row],[Phone]])</f>
        <v>6762090143</v>
      </c>
      <c r="K842" s="3" t="str">
        <f>PROPER(TRIM(Table1[[#This Row],[Performance_Score]]))</f>
        <v>Good</v>
      </c>
      <c r="L842" s="3" t="b">
        <f>Table1[[#This Row],[Remote_Work]]</f>
        <v>0</v>
      </c>
      <c r="M842" s="3" t="str">
        <f>PROPER(CONCATENATE(Table13[[#This Row],[First_Name]], Table13[[#This Row],[Last_Name]]))</f>
        <v>Frankdavis</v>
      </c>
      <c r="N842" s="3" t="str">
        <f t="shared" si="13"/>
        <v>Nov</v>
      </c>
      <c r="O842" s="3" t="str">
        <f>TEXT(Table13[[#This Row],[Join_Date]],"yyyy")</f>
        <v>2024</v>
      </c>
      <c r="P842" s="3" t="str">
        <f>LEFT('Main Project Raw Data'!E842,FIND("-",'Main Project Raw Data'!E842)-1)</f>
        <v>Admin</v>
      </c>
      <c r="Q842" s="3" t="str">
        <f>RIGHT('Main Project Raw Data'!E842,LEN('Main Project Raw Data'!E842)-FIND("-",'Main Project Raw Data'!E842))</f>
        <v>Illinois</v>
      </c>
    </row>
    <row r="843" spans="1:17" x14ac:dyDescent="0.3">
      <c r="A843" s="3" t="str">
        <f>TRIM(Table1[[#This Row],[Employee_ID]])</f>
        <v>EMP1841</v>
      </c>
      <c r="B843" s="3" t="str">
        <f>TRIM(Table1[[#This Row],[First_Name]])</f>
        <v>Grace</v>
      </c>
      <c r="C843" s="3" t="str">
        <f>TRIM(Table1[[#This Row],[Last_Name]])</f>
        <v>Garcia</v>
      </c>
      <c r="D843" s="3">
        <f>IF(Table1[[#This Row],[Age]]="",AVERAGE(Table1[Age]),Table1[[#This Row],[Age]])</f>
        <v>30</v>
      </c>
      <c r="E843" s="3" t="s">
        <v>230</v>
      </c>
      <c r="F843" s="3" t="s">
        <v>28</v>
      </c>
      <c r="G843" s="5">
        <f>IF(ISNUMBER('Main Project Raw Data'!G843),'Main Project Raw Data'!G843,IF(ISNUMBER(SEARCH("/",'Main Project Raw Data'!G843)),DATE(RIGHT('Main Project Raw Data'!G843,4),LEFT('Main Project Raw Data'!G843,FIND("/",'Main Project Raw Data'!G843)-1),MID('Main Project Raw Data'!G843,FIND("/",'Main Project Raw Data'!G843)+1,2)),DATE(RIGHT('Main Project Raw Data'!G843,4),MID('Main Project Raw Data'!G843,4,2),LEFT('Main Project Raw Data'!G843,2))))</f>
        <v>45136</v>
      </c>
      <c r="H843" s="3">
        <f>IF(Table1[[#This Row],[Salary]]="",AVERAGE(Table1[Salary]),Table1[[#This Row],[Salary]])</f>
        <v>61709.83</v>
      </c>
      <c r="I843" s="3" t="s">
        <v>83</v>
      </c>
      <c r="J843" s="3">
        <f>ABS(Table1[[#This Row],[Phone]])</f>
        <v>7340433699</v>
      </c>
      <c r="K843" s="3" t="str">
        <f>PROPER(TRIM(Table1[[#This Row],[Performance_Score]]))</f>
        <v>Good</v>
      </c>
      <c r="L843" s="3" t="b">
        <f>Table1[[#This Row],[Remote_Work]]</f>
        <v>1</v>
      </c>
      <c r="M843" s="3" t="str">
        <f>PROPER(CONCATENATE(Table13[[#This Row],[First_Name]], Table13[[#This Row],[Last_Name]]))</f>
        <v>Gracegarcia</v>
      </c>
      <c r="N843" s="3" t="str">
        <f t="shared" si="13"/>
        <v>Jul</v>
      </c>
      <c r="O843" s="3" t="str">
        <f>TEXT(Table13[[#This Row],[Join_Date]],"yyyy")</f>
        <v>2023</v>
      </c>
      <c r="P843" s="3" t="str">
        <f>LEFT('Main Project Raw Data'!E843,FIND("-",'Main Project Raw Data'!E843)-1)</f>
        <v>DevOps</v>
      </c>
      <c r="Q843" s="3" t="str">
        <f>RIGHT('Main Project Raw Data'!E843,LEN('Main Project Raw Data'!E843)-FIND("-",'Main Project Raw Data'!E843))</f>
        <v>Florida</v>
      </c>
    </row>
    <row r="844" spans="1:17" x14ac:dyDescent="0.3">
      <c r="A844" s="3" t="str">
        <f>TRIM(Table1[[#This Row],[Employee_ID]])</f>
        <v>EMP1842</v>
      </c>
      <c r="B844" s="3" t="str">
        <f>TRIM(Table1[[#This Row],[First_Name]])</f>
        <v>Frank</v>
      </c>
      <c r="C844" s="3" t="str">
        <f>TRIM(Table1[[#This Row],[Last_Name]])</f>
        <v>Smith</v>
      </c>
      <c r="D844" s="3">
        <f>IF(Table1[[#This Row],[Age]]="",AVERAGE(Table1[Age]),Table1[[#This Row],[Age]])</f>
        <v>25</v>
      </c>
      <c r="E844" s="3" t="s">
        <v>15</v>
      </c>
      <c r="F844" s="3" t="s">
        <v>16</v>
      </c>
      <c r="G844" s="5">
        <f>IF(ISNUMBER('Main Project Raw Data'!G844),'Main Project Raw Data'!G844,IF(ISNUMBER(SEARCH("/",'Main Project Raw Data'!G844)),DATE(RIGHT('Main Project Raw Data'!G844,4),LEFT('Main Project Raw Data'!G844,FIND("/",'Main Project Raw Data'!G844)-1),MID('Main Project Raw Data'!G844,FIND("/",'Main Project Raw Data'!G844)+1,2)),DATE(RIGHT('Main Project Raw Data'!G844,4),MID('Main Project Raw Data'!G844,4,2),LEFT('Main Project Raw Data'!G844,2))))</f>
        <v>43938</v>
      </c>
      <c r="H844" s="3">
        <f>IF(Table1[[#This Row],[Salary]]="",AVERAGE(Table1[Salary]),Table1[[#This Row],[Salary]])</f>
        <v>61732.03</v>
      </c>
      <c r="I844" s="3" t="s">
        <v>137</v>
      </c>
      <c r="J844" s="3">
        <f>ABS(Table1[[#This Row],[Phone]])</f>
        <v>9687304518</v>
      </c>
      <c r="K844" s="3" t="str">
        <f>PROPER(TRIM(Table1[[#This Row],[Performance_Score]]))</f>
        <v>Average</v>
      </c>
      <c r="L844" s="3" t="b">
        <f>Table1[[#This Row],[Remote_Work]]</f>
        <v>1</v>
      </c>
      <c r="M844" s="3" t="str">
        <f>PROPER(CONCATENATE(Table13[[#This Row],[First_Name]], Table13[[#This Row],[Last_Name]]))</f>
        <v>Franksmith</v>
      </c>
      <c r="N844" s="3" t="str">
        <f t="shared" si="13"/>
        <v>Apr</v>
      </c>
      <c r="O844" s="3" t="str">
        <f>TEXT(Table13[[#This Row],[Join_Date]],"yyyy")</f>
        <v>2020</v>
      </c>
      <c r="P844" s="3" t="str">
        <f>LEFT('Main Project Raw Data'!E844,FIND("-",'Main Project Raw Data'!E844)-1)</f>
        <v>DevOps</v>
      </c>
      <c r="Q844" s="3" t="str">
        <f>RIGHT('Main Project Raw Data'!E844,LEN('Main Project Raw Data'!E844)-FIND("-",'Main Project Raw Data'!E844))</f>
        <v>California</v>
      </c>
    </row>
    <row r="845" spans="1:17" x14ac:dyDescent="0.3">
      <c r="A845" s="3" t="str">
        <f>TRIM(Table1[[#This Row],[Employee_ID]])</f>
        <v>EMP1843</v>
      </c>
      <c r="B845" s="3" t="str">
        <f>TRIM(Table1[[#This Row],[First_Name]])</f>
        <v>Eva</v>
      </c>
      <c r="C845" s="3" t="str">
        <f>TRIM(Table1[[#This Row],[Last_Name]])</f>
        <v>Davis</v>
      </c>
      <c r="D845" s="3">
        <f>IF(Table1[[#This Row],[Age]]="",AVERAGE(Table1[Age]),Table1[[#This Row],[Age]])</f>
        <v>40</v>
      </c>
      <c r="E845" s="3" t="s">
        <v>78</v>
      </c>
      <c r="F845" s="3" t="s">
        <v>16</v>
      </c>
      <c r="G845" s="5">
        <f>IF(ISNUMBER('Main Project Raw Data'!G845),'Main Project Raw Data'!G845,IF(ISNUMBER(SEARCH("/",'Main Project Raw Data'!G845)),DATE(RIGHT('Main Project Raw Data'!G845,4),LEFT('Main Project Raw Data'!G845,FIND("/",'Main Project Raw Data'!G845)-1),MID('Main Project Raw Data'!G845,FIND("/",'Main Project Raw Data'!G845)+1,2)),DATE(RIGHT('Main Project Raw Data'!G845,4),MID('Main Project Raw Data'!G845,4,2),LEFT('Main Project Raw Data'!G845,2))))</f>
        <v>44608</v>
      </c>
      <c r="H845" s="3">
        <f>IF(Table1[[#This Row],[Salary]]="",AVERAGE(Table1[Salary]),Table1[[#This Row],[Salary]])</f>
        <v>97845.7</v>
      </c>
      <c r="I845" s="3" t="s">
        <v>35</v>
      </c>
      <c r="J845" s="3">
        <f>ABS(Table1[[#This Row],[Phone]])</f>
        <v>5778255881</v>
      </c>
      <c r="K845" s="3" t="str">
        <f>PROPER(TRIM(Table1[[#This Row],[Performance_Score]]))</f>
        <v>Good</v>
      </c>
      <c r="L845" s="3" t="b">
        <f>Table1[[#This Row],[Remote_Work]]</f>
        <v>1</v>
      </c>
      <c r="M845" s="3" t="str">
        <f>PROPER(CONCATENATE(Table13[[#This Row],[First_Name]], Table13[[#This Row],[Last_Name]]))</f>
        <v>Evadavis</v>
      </c>
      <c r="N845" s="3" t="str">
        <f t="shared" si="13"/>
        <v>Feb</v>
      </c>
      <c r="O845" s="3" t="str">
        <f>TEXT(Table13[[#This Row],[Join_Date]],"yyyy")</f>
        <v>2022</v>
      </c>
      <c r="P845" s="3" t="str">
        <f>LEFT('Main Project Raw Data'!E845,FIND("-",'Main Project Raw Data'!E845)-1)</f>
        <v>DevOps</v>
      </c>
      <c r="Q845" s="3" t="str">
        <f>RIGHT('Main Project Raw Data'!E845,LEN('Main Project Raw Data'!E845)-FIND("-",'Main Project Raw Data'!E845))</f>
        <v>Illinois</v>
      </c>
    </row>
    <row r="846" spans="1:17" x14ac:dyDescent="0.3">
      <c r="A846" s="3" t="str">
        <f>TRIM(Table1[[#This Row],[Employee_ID]])</f>
        <v>EMP1844</v>
      </c>
      <c r="B846" s="3" t="str">
        <f>TRIM(Table1[[#This Row],[First_Name]])</f>
        <v>Eva</v>
      </c>
      <c r="C846" s="3" t="str">
        <f>TRIM(Table1[[#This Row],[Last_Name]])</f>
        <v>Jones</v>
      </c>
      <c r="D846" s="3">
        <f>IF(Table1[[#This Row],[Age]]="",AVERAGE(Table1[Age]),Table1[[#This Row],[Age]])</f>
        <v>30</v>
      </c>
      <c r="E846" s="3" t="s">
        <v>74</v>
      </c>
      <c r="F846" s="3" t="s">
        <v>16</v>
      </c>
      <c r="G846" s="5">
        <f>IF(ISNUMBER('Main Project Raw Data'!G846),'Main Project Raw Data'!G846,IF(ISNUMBER(SEARCH("/",'Main Project Raw Data'!G846)),DATE(RIGHT('Main Project Raw Data'!G846,4),LEFT('Main Project Raw Data'!G846,FIND("/",'Main Project Raw Data'!G846)-1),MID('Main Project Raw Data'!G846,FIND("/",'Main Project Raw Data'!G846)+1,2)),DATE(RIGHT('Main Project Raw Data'!G846,4),MID('Main Project Raw Data'!G846,4,2),LEFT('Main Project Raw Data'!G846,2))))</f>
        <v>44422</v>
      </c>
      <c r="H846" s="3">
        <f>IF(Table1[[#This Row],[Salary]]="",AVERAGE(Table1[Salary]),Table1[[#This Row],[Salary]])</f>
        <v>114905.58</v>
      </c>
      <c r="I846" s="3" t="s">
        <v>277</v>
      </c>
      <c r="J846" s="3">
        <f>ABS(Table1[[#This Row],[Phone]])</f>
        <v>5562965753</v>
      </c>
      <c r="K846" s="3" t="str">
        <f>PROPER(TRIM(Table1[[#This Row],[Performance_Score]]))</f>
        <v>Poor</v>
      </c>
      <c r="L846" s="3" t="b">
        <f>Table1[[#This Row],[Remote_Work]]</f>
        <v>0</v>
      </c>
      <c r="M846" s="3" t="str">
        <f>PROPER(CONCATENATE(Table13[[#This Row],[First_Name]], Table13[[#This Row],[Last_Name]]))</f>
        <v>Evajones</v>
      </c>
      <c r="N846" s="3" t="str">
        <f t="shared" si="13"/>
        <v>Aug</v>
      </c>
      <c r="O846" s="3" t="str">
        <f>TEXT(Table13[[#This Row],[Join_Date]],"yyyy")</f>
        <v>2021</v>
      </c>
      <c r="P846" s="3" t="str">
        <f>LEFT('Main Project Raw Data'!E846,FIND("-",'Main Project Raw Data'!E846)-1)</f>
        <v>Sales</v>
      </c>
      <c r="Q846" s="3" t="str">
        <f>RIGHT('Main Project Raw Data'!E846,LEN('Main Project Raw Data'!E846)-FIND("-",'Main Project Raw Data'!E846))</f>
        <v>Florida</v>
      </c>
    </row>
    <row r="847" spans="1:17" x14ac:dyDescent="0.3">
      <c r="A847" s="3" t="str">
        <f>TRIM(Table1[[#This Row],[Employee_ID]])</f>
        <v>EMP1845</v>
      </c>
      <c r="B847" s="3" t="str">
        <f>TRIM(Table1[[#This Row],[First_Name]])</f>
        <v>Frank</v>
      </c>
      <c r="C847" s="3" t="str">
        <f>TRIM(Table1[[#This Row],[Last_Name]])</f>
        <v>Jones</v>
      </c>
      <c r="D847" s="3">
        <f>IF(Table1[[#This Row],[Age]]="",AVERAGE(Table1[Age]),Table1[[#This Row],[Age]])</f>
        <v>32.484548825710753</v>
      </c>
      <c r="E847" s="3" t="s">
        <v>237</v>
      </c>
      <c r="F847" s="3" t="s">
        <v>16</v>
      </c>
      <c r="G847" s="5">
        <f>IF(ISNUMBER('Main Project Raw Data'!G847),'Main Project Raw Data'!G847,IF(ISNUMBER(SEARCH("/",'Main Project Raw Data'!G847)),DATE(RIGHT('Main Project Raw Data'!G847,4),LEFT('Main Project Raw Data'!G847,FIND("/",'Main Project Raw Data'!G847)-1),MID('Main Project Raw Data'!G847,FIND("/",'Main Project Raw Data'!G847)+1,2)),DATE(RIGHT('Main Project Raw Data'!G847,4),MID('Main Project Raw Data'!G847,4,2),LEFT('Main Project Raw Data'!G847,2))))</f>
        <v>44919</v>
      </c>
      <c r="H847" s="3">
        <f>IF(Table1[[#This Row],[Salary]]="",AVERAGE(Table1[Salary]),Table1[[#This Row],[Salary]])</f>
        <v>94619.69</v>
      </c>
      <c r="I847" s="3" t="s">
        <v>47</v>
      </c>
      <c r="J847" s="3">
        <f>ABS(Table1[[#This Row],[Phone]])</f>
        <v>2786561941</v>
      </c>
      <c r="K847" s="3" t="str">
        <f>PROPER(TRIM(Table1[[#This Row],[Performance_Score]]))</f>
        <v>Good</v>
      </c>
      <c r="L847" s="3" t="b">
        <f>Table1[[#This Row],[Remote_Work]]</f>
        <v>1</v>
      </c>
      <c r="M847" s="3" t="str">
        <f>PROPER(CONCATENATE(Table13[[#This Row],[First_Name]], Table13[[#This Row],[Last_Name]]))</f>
        <v>Frankjones</v>
      </c>
      <c r="N847" s="3" t="str">
        <f t="shared" si="13"/>
        <v>Dec</v>
      </c>
      <c r="O847" s="3" t="str">
        <f>TEXT(Table13[[#This Row],[Join_Date]],"yyyy")</f>
        <v>2022</v>
      </c>
      <c r="P847" s="3" t="str">
        <f>LEFT('Main Project Raw Data'!E847,FIND("-",'Main Project Raw Data'!E847)-1)</f>
        <v>DevOps</v>
      </c>
      <c r="Q847" s="3" t="str">
        <f>RIGHT('Main Project Raw Data'!E847,LEN('Main Project Raw Data'!E847)-FIND("-",'Main Project Raw Data'!E847))</f>
        <v>Texas</v>
      </c>
    </row>
    <row r="848" spans="1:17" x14ac:dyDescent="0.3">
      <c r="A848" s="3" t="str">
        <f>TRIM(Table1[[#This Row],[Employee_ID]])</f>
        <v>EMP1846</v>
      </c>
      <c r="B848" s="3" t="str">
        <f>TRIM(Table1[[#This Row],[First_Name]])</f>
        <v>Grace</v>
      </c>
      <c r="C848" s="3" t="str">
        <f>TRIM(Table1[[#This Row],[Last_Name]])</f>
        <v>Johnson</v>
      </c>
      <c r="D848" s="3">
        <f>IF(Table1[[#This Row],[Age]]="",AVERAGE(Table1[Age]),Table1[[#This Row],[Age]])</f>
        <v>32.484548825710753</v>
      </c>
      <c r="E848" s="3" t="s">
        <v>15</v>
      </c>
      <c r="F848" s="3" t="s">
        <v>33</v>
      </c>
      <c r="G848" s="5">
        <f>IF(ISNUMBER('Main Project Raw Data'!G848),'Main Project Raw Data'!G848,IF(ISNUMBER(SEARCH("/",'Main Project Raw Data'!G848)),DATE(RIGHT('Main Project Raw Data'!G848,4),LEFT('Main Project Raw Data'!G848,FIND("/",'Main Project Raw Data'!G848)-1),MID('Main Project Raw Data'!G848,FIND("/",'Main Project Raw Data'!G848)+1,2)),DATE(RIGHT('Main Project Raw Data'!G848,4),MID('Main Project Raw Data'!G848,4,2),LEFT('Main Project Raw Data'!G848,2))))</f>
        <v>44384</v>
      </c>
      <c r="H848" s="3">
        <f>IF(Table1[[#This Row],[Salary]]="",AVERAGE(Table1[Salary]),Table1[[#This Row],[Salary]])</f>
        <v>68696.149999999994</v>
      </c>
      <c r="I848" s="3" t="s">
        <v>127</v>
      </c>
      <c r="J848" s="3">
        <f>ABS(Table1[[#This Row],[Phone]])</f>
        <v>5577820581</v>
      </c>
      <c r="K848" s="3" t="str">
        <f>PROPER(TRIM(Table1[[#This Row],[Performance_Score]]))</f>
        <v>Good</v>
      </c>
      <c r="L848" s="3" t="b">
        <f>Table1[[#This Row],[Remote_Work]]</f>
        <v>0</v>
      </c>
      <c r="M848" s="3" t="str">
        <f>PROPER(CONCATENATE(Table13[[#This Row],[First_Name]], Table13[[#This Row],[Last_Name]]))</f>
        <v>Gracejohnson</v>
      </c>
      <c r="N848" s="3" t="str">
        <f t="shared" si="13"/>
        <v>Jul</v>
      </c>
      <c r="O848" s="3" t="str">
        <f>TEXT(Table13[[#This Row],[Join_Date]],"yyyy")</f>
        <v>2021</v>
      </c>
      <c r="P848" s="3" t="str">
        <f>LEFT('Main Project Raw Data'!E848,FIND("-",'Main Project Raw Data'!E848)-1)</f>
        <v>DevOps</v>
      </c>
      <c r="Q848" s="3" t="str">
        <f>RIGHT('Main Project Raw Data'!E848,LEN('Main Project Raw Data'!E848)-FIND("-",'Main Project Raw Data'!E848))</f>
        <v>California</v>
      </c>
    </row>
    <row r="849" spans="1:17" x14ac:dyDescent="0.3">
      <c r="A849" s="3" t="str">
        <f>TRIM(Table1[[#This Row],[Employee_ID]])</f>
        <v>EMP1847</v>
      </c>
      <c r="B849" s="3" t="str">
        <f>TRIM(Table1[[#This Row],[First_Name]])</f>
        <v>Grace</v>
      </c>
      <c r="C849" s="3" t="str">
        <f>TRIM(Table1[[#This Row],[Last_Name]])</f>
        <v>Johnson</v>
      </c>
      <c r="D849" s="3">
        <f>IF(Table1[[#This Row],[Age]]="",AVERAGE(Table1[Age]),Table1[[#This Row],[Age]])</f>
        <v>40</v>
      </c>
      <c r="E849" s="3" t="s">
        <v>328</v>
      </c>
      <c r="F849" s="3" t="s">
        <v>16</v>
      </c>
      <c r="G849" s="5">
        <f>IF(ISNUMBER('Main Project Raw Data'!G849),'Main Project Raw Data'!G849,IF(ISNUMBER(SEARCH("/",'Main Project Raw Data'!G849)),DATE(RIGHT('Main Project Raw Data'!G849,4),LEFT('Main Project Raw Data'!G849,FIND("/",'Main Project Raw Data'!G849)-1),MID('Main Project Raw Data'!G849,FIND("/",'Main Project Raw Data'!G849)+1,2)),DATE(RIGHT('Main Project Raw Data'!G849,4),MID('Main Project Raw Data'!G849,4,2),LEFT('Main Project Raw Data'!G849,2))))</f>
        <v>45628</v>
      </c>
      <c r="H849" s="3">
        <f>IF(Table1[[#This Row],[Salary]]="",AVERAGE(Table1[Salary]),Table1[[#This Row],[Salary]])</f>
        <v>97032.29</v>
      </c>
      <c r="I849" s="3" t="s">
        <v>127</v>
      </c>
      <c r="J849" s="3">
        <f>ABS(Table1[[#This Row],[Phone]])</f>
        <v>9582923615</v>
      </c>
      <c r="K849" s="3" t="str">
        <f>PROPER(TRIM(Table1[[#This Row],[Performance_Score]]))</f>
        <v>Excellent</v>
      </c>
      <c r="L849" s="3" t="b">
        <f>Table1[[#This Row],[Remote_Work]]</f>
        <v>0</v>
      </c>
      <c r="M849" s="3" t="str">
        <f>PROPER(CONCATENATE(Table13[[#This Row],[First_Name]], Table13[[#This Row],[Last_Name]]))</f>
        <v>Gracejohnson</v>
      </c>
      <c r="N849" s="3" t="str">
        <f t="shared" si="13"/>
        <v>Dec</v>
      </c>
      <c r="O849" s="3" t="str">
        <f>TEXT(Table13[[#This Row],[Join_Date]],"yyyy")</f>
        <v>2024</v>
      </c>
      <c r="P849" s="3" t="str">
        <f>LEFT('Main Project Raw Data'!E849,FIND("-",'Main Project Raw Data'!E849)-1)</f>
        <v>DevOps</v>
      </c>
      <c r="Q849" s="3" t="str">
        <f>RIGHT('Main Project Raw Data'!E849,LEN('Main Project Raw Data'!E849)-FIND("-",'Main Project Raw Data'!E849))</f>
        <v>Nevada</v>
      </c>
    </row>
    <row r="850" spans="1:17" x14ac:dyDescent="0.3">
      <c r="A850" s="3" t="str">
        <f>TRIM(Table1[[#This Row],[Employee_ID]])</f>
        <v>EMP1848</v>
      </c>
      <c r="B850" s="3" t="str">
        <f>TRIM(Table1[[#This Row],[First_Name]])</f>
        <v>Frank</v>
      </c>
      <c r="C850" s="3" t="str">
        <f>TRIM(Table1[[#This Row],[Last_Name]])</f>
        <v>Davis</v>
      </c>
      <c r="D850" s="3">
        <f>IF(Table1[[#This Row],[Age]]="",AVERAGE(Table1[Age]),Table1[[#This Row],[Age]])</f>
        <v>30</v>
      </c>
      <c r="E850" s="3" t="s">
        <v>192</v>
      </c>
      <c r="F850" s="3" t="s">
        <v>16</v>
      </c>
      <c r="G850" s="5">
        <f>IF(ISNUMBER('Main Project Raw Data'!G850),'Main Project Raw Data'!G850,IF(ISNUMBER(SEARCH("/",'Main Project Raw Data'!G850)),DATE(RIGHT('Main Project Raw Data'!G850,4),LEFT('Main Project Raw Data'!G850,FIND("/",'Main Project Raw Data'!G850)-1),MID('Main Project Raw Data'!G850,FIND("/",'Main Project Raw Data'!G850)+1,2)),DATE(RIGHT('Main Project Raw Data'!G850,4),MID('Main Project Raw Data'!G850,4,2),LEFT('Main Project Raw Data'!G850,2))))</f>
        <v>45179</v>
      </c>
      <c r="H850" s="3">
        <f>IF(Table1[[#This Row],[Salary]]="",AVERAGE(Table1[Salary]),Table1[[#This Row],[Salary]])</f>
        <v>50593.33</v>
      </c>
      <c r="I850" s="3" t="s">
        <v>52</v>
      </c>
      <c r="J850" s="3">
        <f>ABS(Table1[[#This Row],[Phone]])</f>
        <v>1880819047</v>
      </c>
      <c r="K850" s="3" t="str">
        <f>PROPER(TRIM(Table1[[#This Row],[Performance_Score]]))</f>
        <v>Excellent</v>
      </c>
      <c r="L850" s="3" t="b">
        <f>Table1[[#This Row],[Remote_Work]]</f>
        <v>1</v>
      </c>
      <c r="M850" s="3" t="str">
        <f>PROPER(CONCATENATE(Table13[[#This Row],[First_Name]], Table13[[#This Row],[Last_Name]]))</f>
        <v>Frankdavis</v>
      </c>
      <c r="N850" s="3" t="str">
        <f t="shared" si="13"/>
        <v>Sep</v>
      </c>
      <c r="O850" s="3" t="str">
        <f>TEXT(Table13[[#This Row],[Join_Date]],"yyyy")</f>
        <v>2023</v>
      </c>
      <c r="P850" s="3" t="str">
        <f>LEFT('Main Project Raw Data'!E850,FIND("-",'Main Project Raw Data'!E850)-1)</f>
        <v>HR</v>
      </c>
      <c r="Q850" s="3" t="str">
        <f>RIGHT('Main Project Raw Data'!E850,LEN('Main Project Raw Data'!E850)-FIND("-",'Main Project Raw Data'!E850))</f>
        <v>Illinois</v>
      </c>
    </row>
    <row r="851" spans="1:17" x14ac:dyDescent="0.3">
      <c r="A851" s="3" t="str">
        <f>TRIM(Table1[[#This Row],[Employee_ID]])</f>
        <v>EMP1849</v>
      </c>
      <c r="B851" s="3" t="str">
        <f>TRIM(Table1[[#This Row],[First_Name]])</f>
        <v>Grace</v>
      </c>
      <c r="C851" s="3" t="str">
        <f>TRIM(Table1[[#This Row],[Last_Name]])</f>
        <v>Miller</v>
      </c>
      <c r="D851" s="3">
        <f>IF(Table1[[#This Row],[Age]]="",AVERAGE(Table1[Age]),Table1[[#This Row],[Age]])</f>
        <v>25</v>
      </c>
      <c r="E851" s="3" t="s">
        <v>44</v>
      </c>
      <c r="F851" s="3" t="s">
        <v>28</v>
      </c>
      <c r="G851" s="5">
        <f>IF(ISNUMBER('Main Project Raw Data'!G851),'Main Project Raw Data'!G851,IF(ISNUMBER(SEARCH("/",'Main Project Raw Data'!G851)),DATE(RIGHT('Main Project Raw Data'!G851,4),LEFT('Main Project Raw Data'!G851,FIND("/",'Main Project Raw Data'!G851)-1),MID('Main Project Raw Data'!G851,FIND("/",'Main Project Raw Data'!G851)+1,2)),DATE(RIGHT('Main Project Raw Data'!G851,4),MID('Main Project Raw Data'!G851,4,2),LEFT('Main Project Raw Data'!G851,2))))</f>
        <v>44599</v>
      </c>
      <c r="H851" s="3">
        <f>IF(Table1[[#This Row],[Salary]]="",AVERAGE(Table1[Salary]),Table1[[#This Row],[Salary]])</f>
        <v>74606.149999999994</v>
      </c>
      <c r="I851" s="3" t="s">
        <v>168</v>
      </c>
      <c r="J851" s="3">
        <f>ABS(Table1[[#This Row],[Phone]])</f>
        <v>2357155867</v>
      </c>
      <c r="K851" s="3" t="str">
        <f>PROPER(TRIM(Table1[[#This Row],[Performance_Score]]))</f>
        <v>Good</v>
      </c>
      <c r="L851" s="3" t="b">
        <f>Table1[[#This Row],[Remote_Work]]</f>
        <v>1</v>
      </c>
      <c r="M851" s="3" t="str">
        <f>PROPER(CONCATENATE(Table13[[#This Row],[First_Name]], Table13[[#This Row],[Last_Name]]))</f>
        <v>Gracemiller</v>
      </c>
      <c r="N851" s="3" t="str">
        <f t="shared" si="13"/>
        <v>Feb</v>
      </c>
      <c r="O851" s="3" t="str">
        <f>TEXT(Table13[[#This Row],[Join_Date]],"yyyy")</f>
        <v>2022</v>
      </c>
      <c r="P851" s="3" t="str">
        <f>LEFT('Main Project Raw Data'!E851,FIND("-",'Main Project Raw Data'!E851)-1)</f>
        <v>Sales</v>
      </c>
      <c r="Q851" s="3" t="str">
        <f>RIGHT('Main Project Raw Data'!E851,LEN('Main Project Raw Data'!E851)-FIND("-",'Main Project Raw Data'!E851))</f>
        <v>Texas</v>
      </c>
    </row>
    <row r="852" spans="1:17" x14ac:dyDescent="0.3">
      <c r="A852" s="3" t="str">
        <f>TRIM(Table1[[#This Row],[Employee_ID]])</f>
        <v>EMP1850</v>
      </c>
      <c r="B852" s="3" t="str">
        <f>TRIM(Table1[[#This Row],[First_Name]])</f>
        <v>Eva</v>
      </c>
      <c r="C852" s="3" t="str">
        <f>TRIM(Table1[[#This Row],[Last_Name]])</f>
        <v>Davis</v>
      </c>
      <c r="D852" s="3">
        <f>IF(Table1[[#This Row],[Age]]="",AVERAGE(Table1[Age]),Table1[[#This Row],[Age]])</f>
        <v>30</v>
      </c>
      <c r="E852" s="3" t="s">
        <v>159</v>
      </c>
      <c r="F852" s="3" t="s">
        <v>28</v>
      </c>
      <c r="G852" s="5">
        <f>IF(ISNUMBER('Main Project Raw Data'!G852),'Main Project Raw Data'!G852,IF(ISNUMBER(SEARCH("/",'Main Project Raw Data'!G852)),DATE(RIGHT('Main Project Raw Data'!G852,4),LEFT('Main Project Raw Data'!G852,FIND("/",'Main Project Raw Data'!G852)-1),MID('Main Project Raw Data'!G852,FIND("/",'Main Project Raw Data'!G852)+1,2)),DATE(RIGHT('Main Project Raw Data'!G852,4),MID('Main Project Raw Data'!G852,4,2),LEFT('Main Project Raw Data'!G852,2))))</f>
        <v>44019</v>
      </c>
      <c r="H852" s="3">
        <f>IF(Table1[[#This Row],[Salary]]="",AVERAGE(Table1[Salary]),Table1[[#This Row],[Salary]])</f>
        <v>53981.73</v>
      </c>
      <c r="I852" s="3" t="s">
        <v>35</v>
      </c>
      <c r="J852" s="3">
        <f>ABS(Table1[[#This Row],[Phone]])</f>
        <v>6395613722</v>
      </c>
      <c r="K852" s="3" t="str">
        <f>PROPER(TRIM(Table1[[#This Row],[Performance_Score]]))</f>
        <v>Average</v>
      </c>
      <c r="L852" s="3" t="b">
        <f>Table1[[#This Row],[Remote_Work]]</f>
        <v>0</v>
      </c>
      <c r="M852" s="3" t="str">
        <f>PROPER(CONCATENATE(Table13[[#This Row],[First_Name]], Table13[[#This Row],[Last_Name]]))</f>
        <v>Evadavis</v>
      </c>
      <c r="N852" s="3" t="str">
        <f t="shared" si="13"/>
        <v>Jul</v>
      </c>
      <c r="O852" s="3" t="str">
        <f>TEXT(Table13[[#This Row],[Join_Date]],"yyyy")</f>
        <v>2020</v>
      </c>
      <c r="P852" s="3" t="str">
        <f>LEFT('Main Project Raw Data'!E852,FIND("-",'Main Project Raw Data'!E852)-1)</f>
        <v>Cloud Tech</v>
      </c>
      <c r="Q852" s="3" t="str">
        <f>RIGHT('Main Project Raw Data'!E852,LEN('Main Project Raw Data'!E852)-FIND("-",'Main Project Raw Data'!E852))</f>
        <v>Texas</v>
      </c>
    </row>
    <row r="853" spans="1:17" x14ac:dyDescent="0.3">
      <c r="A853" s="3" t="str">
        <f>TRIM(Table1[[#This Row],[Employee_ID]])</f>
        <v>EMP1851</v>
      </c>
      <c r="B853" s="3" t="str">
        <f>TRIM(Table1[[#This Row],[First_Name]])</f>
        <v>David</v>
      </c>
      <c r="C853" s="3" t="str">
        <f>TRIM(Table1[[#This Row],[Last_Name]])</f>
        <v>Johnson</v>
      </c>
      <c r="D853" s="3">
        <f>IF(Table1[[#This Row],[Age]]="",AVERAGE(Table1[Age]),Table1[[#This Row],[Age]])</f>
        <v>32.484548825710753</v>
      </c>
      <c r="E853" s="3" t="s">
        <v>237</v>
      </c>
      <c r="F853" s="3" t="s">
        <v>28</v>
      </c>
      <c r="G853" s="5">
        <f>IF(ISNUMBER('Main Project Raw Data'!G853),'Main Project Raw Data'!G853,IF(ISNUMBER(SEARCH("/",'Main Project Raw Data'!G853)),DATE(RIGHT('Main Project Raw Data'!G853,4),LEFT('Main Project Raw Data'!G853,FIND("/",'Main Project Raw Data'!G853)-1),MID('Main Project Raw Data'!G853,FIND("/",'Main Project Raw Data'!G853)+1,2)),DATE(RIGHT('Main Project Raw Data'!G853,4),MID('Main Project Raw Data'!G853,4,2),LEFT('Main Project Raw Data'!G853,2))))</f>
        <v>43870</v>
      </c>
      <c r="H853" s="3">
        <f>IF(Table1[[#This Row],[Salary]]="",AVERAGE(Table1[Salary]),Table1[[#This Row],[Salary]])</f>
        <v>56047.05</v>
      </c>
      <c r="I853" s="3" t="s">
        <v>217</v>
      </c>
      <c r="J853" s="3">
        <f>ABS(Table1[[#This Row],[Phone]])</f>
        <v>817214363</v>
      </c>
      <c r="K853" s="3" t="str">
        <f>PROPER(TRIM(Table1[[#This Row],[Performance_Score]]))</f>
        <v>Excellent</v>
      </c>
      <c r="L853" s="3" t="b">
        <f>Table1[[#This Row],[Remote_Work]]</f>
        <v>1</v>
      </c>
      <c r="M853" s="3" t="str">
        <f>PROPER(CONCATENATE(Table13[[#This Row],[First_Name]], Table13[[#This Row],[Last_Name]]))</f>
        <v>Davidjohnson</v>
      </c>
      <c r="N853" s="3" t="str">
        <f t="shared" si="13"/>
        <v>Feb</v>
      </c>
      <c r="O853" s="3" t="str">
        <f>TEXT(Table13[[#This Row],[Join_Date]],"yyyy")</f>
        <v>2020</v>
      </c>
      <c r="P853" s="3" t="str">
        <f>LEFT('Main Project Raw Data'!E853,FIND("-",'Main Project Raw Data'!E853)-1)</f>
        <v>DevOps</v>
      </c>
      <c r="Q853" s="3" t="str">
        <f>RIGHT('Main Project Raw Data'!E853,LEN('Main Project Raw Data'!E853)-FIND("-",'Main Project Raw Data'!E853))</f>
        <v>Texas</v>
      </c>
    </row>
    <row r="854" spans="1:17" x14ac:dyDescent="0.3">
      <c r="A854" s="3" t="str">
        <f>TRIM(Table1[[#This Row],[Employee_ID]])</f>
        <v>EMP1852</v>
      </c>
      <c r="B854" s="3" t="str">
        <f>TRIM(Table1[[#This Row],[First_Name]])</f>
        <v>Grace</v>
      </c>
      <c r="C854" s="3" t="str">
        <f>TRIM(Table1[[#This Row],[Last_Name]])</f>
        <v>Jones</v>
      </c>
      <c r="D854" s="3">
        <f>IF(Table1[[#This Row],[Age]]="",AVERAGE(Table1[Age]),Table1[[#This Row],[Age]])</f>
        <v>32.484548825710753</v>
      </c>
      <c r="E854" s="3" t="s">
        <v>103</v>
      </c>
      <c r="F854" s="3" t="s">
        <v>28</v>
      </c>
      <c r="G854" s="5">
        <f>IF(ISNUMBER('Main Project Raw Data'!G854),'Main Project Raw Data'!G854,IF(ISNUMBER(SEARCH("/",'Main Project Raw Data'!G854)),DATE(RIGHT('Main Project Raw Data'!G854,4),LEFT('Main Project Raw Data'!G854,FIND("/",'Main Project Raw Data'!G854)-1),MID('Main Project Raw Data'!G854,FIND("/",'Main Project Raw Data'!G854)+1,2)),DATE(RIGHT('Main Project Raw Data'!G854,4),MID('Main Project Raw Data'!G854,4,2),LEFT('Main Project Raw Data'!G854,2))))</f>
        <v>44531</v>
      </c>
      <c r="H854" s="3">
        <f>IF(Table1[[#This Row],[Salary]]="",AVERAGE(Table1[Salary]),Table1[[#This Row],[Salary]])</f>
        <v>67733.5</v>
      </c>
      <c r="I854" s="3" t="s">
        <v>76</v>
      </c>
      <c r="J854" s="3">
        <f>ABS(Table1[[#This Row],[Phone]])</f>
        <v>3813000412</v>
      </c>
      <c r="K854" s="3" t="str">
        <f>PROPER(TRIM(Table1[[#This Row],[Performance_Score]]))</f>
        <v>Average</v>
      </c>
      <c r="L854" s="3" t="b">
        <f>Table1[[#This Row],[Remote_Work]]</f>
        <v>0</v>
      </c>
      <c r="M854" s="3" t="str">
        <f>PROPER(CONCATENATE(Table13[[#This Row],[First_Name]], Table13[[#This Row],[Last_Name]]))</f>
        <v>Gracejones</v>
      </c>
      <c r="N854" s="3" t="str">
        <f t="shared" si="13"/>
        <v>Dec</v>
      </c>
      <c r="O854" s="3" t="str">
        <f>TEXT(Table13[[#This Row],[Join_Date]],"yyyy")</f>
        <v>2021</v>
      </c>
      <c r="P854" s="3" t="str">
        <f>LEFT('Main Project Raw Data'!E854,FIND("-",'Main Project Raw Data'!E854)-1)</f>
        <v>Admin</v>
      </c>
      <c r="Q854" s="3" t="str">
        <f>RIGHT('Main Project Raw Data'!E854,LEN('Main Project Raw Data'!E854)-FIND("-",'Main Project Raw Data'!E854))</f>
        <v>Texas</v>
      </c>
    </row>
    <row r="855" spans="1:17" x14ac:dyDescent="0.3">
      <c r="A855" s="3" t="str">
        <f>TRIM(Table1[[#This Row],[Employee_ID]])</f>
        <v>EMP1853</v>
      </c>
      <c r="B855" s="3" t="str">
        <f>TRIM(Table1[[#This Row],[First_Name]])</f>
        <v>Bob</v>
      </c>
      <c r="C855" s="3" t="str">
        <f>TRIM(Table1[[#This Row],[Last_Name]])</f>
        <v>Williams</v>
      </c>
      <c r="D855" s="3">
        <f>IF(Table1[[#This Row],[Age]]="",AVERAGE(Table1[Age]),Table1[[#This Row],[Age]])</f>
        <v>40</v>
      </c>
      <c r="E855" s="3" t="s">
        <v>212</v>
      </c>
      <c r="F855" s="3" t="s">
        <v>28</v>
      </c>
      <c r="G855" s="5">
        <f>IF(ISNUMBER('Main Project Raw Data'!G855),'Main Project Raw Data'!G855,IF(ISNUMBER(SEARCH("/",'Main Project Raw Data'!G855)),DATE(RIGHT('Main Project Raw Data'!G855,4),LEFT('Main Project Raw Data'!G855,FIND("/",'Main Project Raw Data'!G855)-1),MID('Main Project Raw Data'!G855,FIND("/",'Main Project Raw Data'!G855)+1,2)),DATE(RIGHT('Main Project Raw Data'!G855,4),MID('Main Project Raw Data'!G855,4,2),LEFT('Main Project Raw Data'!G855,2))))</f>
        <v>45198</v>
      </c>
      <c r="H855" s="3">
        <f>IF(Table1[[#This Row],[Salary]]="",AVERAGE(Table1[Salary]),Table1[[#This Row],[Salary]])</f>
        <v>103891.64</v>
      </c>
      <c r="I855" s="3" t="s">
        <v>144</v>
      </c>
      <c r="J855" s="3">
        <f>ABS(Table1[[#This Row],[Phone]])</f>
        <v>2114716559</v>
      </c>
      <c r="K855" s="3" t="str">
        <f>PROPER(TRIM(Table1[[#This Row],[Performance_Score]]))</f>
        <v>Good</v>
      </c>
      <c r="L855" s="3" t="b">
        <f>Table1[[#This Row],[Remote_Work]]</f>
        <v>1</v>
      </c>
      <c r="M855" s="3" t="str">
        <f>PROPER(CONCATENATE(Table13[[#This Row],[First_Name]], Table13[[#This Row],[Last_Name]]))</f>
        <v>Bobwilliams</v>
      </c>
      <c r="N855" s="3" t="str">
        <f t="shared" si="13"/>
        <v>Sep</v>
      </c>
      <c r="O855" s="3" t="str">
        <f>TEXT(Table13[[#This Row],[Join_Date]],"yyyy")</f>
        <v>2023</v>
      </c>
      <c r="P855" s="3" t="str">
        <f>LEFT('Main Project Raw Data'!E855,FIND("-",'Main Project Raw Data'!E855)-1)</f>
        <v>HR</v>
      </c>
      <c r="Q855" s="3" t="str">
        <f>RIGHT('Main Project Raw Data'!E855,LEN('Main Project Raw Data'!E855)-FIND("-",'Main Project Raw Data'!E855))</f>
        <v>Florida</v>
      </c>
    </row>
    <row r="856" spans="1:17" x14ac:dyDescent="0.3">
      <c r="A856" s="3" t="str">
        <f>TRIM(Table1[[#This Row],[Employee_ID]])</f>
        <v>EMP1854</v>
      </c>
      <c r="B856" s="3" t="str">
        <f>TRIM(Table1[[#This Row],[First_Name]])</f>
        <v>Charlie</v>
      </c>
      <c r="C856" s="3" t="str">
        <f>TRIM(Table1[[#This Row],[Last_Name]])</f>
        <v>Davis</v>
      </c>
      <c r="D856" s="3">
        <f>IF(Table1[[#This Row],[Age]]="",AVERAGE(Table1[Age]),Table1[[#This Row],[Age]])</f>
        <v>25</v>
      </c>
      <c r="E856" s="3" t="s">
        <v>139</v>
      </c>
      <c r="F856" s="3" t="s">
        <v>33</v>
      </c>
      <c r="G856" s="5">
        <f>IF(ISNUMBER('Main Project Raw Data'!G856),'Main Project Raw Data'!G856,IF(ISNUMBER(SEARCH("/",'Main Project Raw Data'!G856)),DATE(RIGHT('Main Project Raw Data'!G856,4),LEFT('Main Project Raw Data'!G856,FIND("/",'Main Project Raw Data'!G856)-1),MID('Main Project Raw Data'!G856,FIND("/",'Main Project Raw Data'!G856)+1,2)),DATE(RIGHT('Main Project Raw Data'!G856,4),MID('Main Project Raw Data'!G856,4,2),LEFT('Main Project Raw Data'!G856,2))))</f>
        <v>44715</v>
      </c>
      <c r="H856" s="3">
        <f>IF(Table1[[#This Row],[Salary]]="",AVERAGE(Table1[Salary]),Table1[[#This Row],[Salary]])</f>
        <v>73285.83</v>
      </c>
      <c r="I856" s="3" t="s">
        <v>170</v>
      </c>
      <c r="J856" s="3">
        <f>ABS(Table1[[#This Row],[Phone]])</f>
        <v>9456534698</v>
      </c>
      <c r="K856" s="3" t="str">
        <f>PROPER(TRIM(Table1[[#This Row],[Performance_Score]]))</f>
        <v>Good</v>
      </c>
      <c r="L856" s="3" t="b">
        <f>Table1[[#This Row],[Remote_Work]]</f>
        <v>1</v>
      </c>
      <c r="M856" s="3" t="str">
        <f>PROPER(CONCATENATE(Table13[[#This Row],[First_Name]], Table13[[#This Row],[Last_Name]]))</f>
        <v>Charliedavis</v>
      </c>
      <c r="N856" s="3" t="str">
        <f t="shared" si="13"/>
        <v>Jun</v>
      </c>
      <c r="O856" s="3" t="str">
        <f>TEXT(Table13[[#This Row],[Join_Date]],"yyyy")</f>
        <v>2022</v>
      </c>
      <c r="P856" s="3" t="str">
        <f>LEFT('Main Project Raw Data'!E856,FIND("-",'Main Project Raw Data'!E856)-1)</f>
        <v>HR</v>
      </c>
      <c r="Q856" s="3" t="str">
        <f>RIGHT('Main Project Raw Data'!E856,LEN('Main Project Raw Data'!E856)-FIND("-",'Main Project Raw Data'!E856))</f>
        <v>Texas</v>
      </c>
    </row>
    <row r="857" spans="1:17" x14ac:dyDescent="0.3">
      <c r="A857" s="3" t="str">
        <f>TRIM(Table1[[#This Row],[Employee_ID]])</f>
        <v>EMP1855</v>
      </c>
      <c r="B857" s="3" t="str">
        <f>TRIM(Table1[[#This Row],[First_Name]])</f>
        <v>Eva</v>
      </c>
      <c r="C857" s="3" t="str">
        <f>TRIM(Table1[[#This Row],[Last_Name]])</f>
        <v>Jones</v>
      </c>
      <c r="D857" s="3">
        <f>IF(Table1[[#This Row],[Age]]="",AVERAGE(Table1[Age]),Table1[[#This Row],[Age]])</f>
        <v>30</v>
      </c>
      <c r="E857" s="3" t="s">
        <v>21</v>
      </c>
      <c r="F857" s="3" t="s">
        <v>33</v>
      </c>
      <c r="G857" s="5">
        <f>IF(ISNUMBER('Main Project Raw Data'!G857),'Main Project Raw Data'!G857,IF(ISNUMBER(SEARCH("/",'Main Project Raw Data'!G857)),DATE(RIGHT('Main Project Raw Data'!G857,4),LEFT('Main Project Raw Data'!G857,FIND("/",'Main Project Raw Data'!G857)-1),MID('Main Project Raw Data'!G857,FIND("/",'Main Project Raw Data'!G857)+1,2)),DATE(RIGHT('Main Project Raw Data'!G857,4),MID('Main Project Raw Data'!G857,4,2),LEFT('Main Project Raw Data'!G857,2))))</f>
        <v>44241</v>
      </c>
      <c r="H857" s="3">
        <f>IF(Table1[[#This Row],[Salary]]="",AVERAGE(Table1[Salary]),Table1[[#This Row],[Salary]])</f>
        <v>92721.13</v>
      </c>
      <c r="I857" s="3" t="s">
        <v>277</v>
      </c>
      <c r="J857" s="3">
        <f>ABS(Table1[[#This Row],[Phone]])</f>
        <v>7990707549</v>
      </c>
      <c r="K857" s="3" t="str">
        <f>PROPER(TRIM(Table1[[#This Row],[Performance_Score]]))</f>
        <v>Poor</v>
      </c>
      <c r="L857" s="3" t="b">
        <f>Table1[[#This Row],[Remote_Work]]</f>
        <v>1</v>
      </c>
      <c r="M857" s="3" t="str">
        <f>PROPER(CONCATENATE(Table13[[#This Row],[First_Name]], Table13[[#This Row],[Last_Name]]))</f>
        <v>Evajones</v>
      </c>
      <c r="N857" s="3" t="str">
        <f t="shared" si="13"/>
        <v>Feb</v>
      </c>
      <c r="O857" s="3" t="str">
        <f>TEXT(Table13[[#This Row],[Join_Date]],"yyyy")</f>
        <v>2021</v>
      </c>
      <c r="P857" s="3" t="str">
        <f>LEFT('Main Project Raw Data'!E857,FIND("-",'Main Project Raw Data'!E857)-1)</f>
        <v>Finance</v>
      </c>
      <c r="Q857" s="3" t="str">
        <f>RIGHT('Main Project Raw Data'!E857,LEN('Main Project Raw Data'!E857)-FIND("-",'Main Project Raw Data'!E857))</f>
        <v>Texas</v>
      </c>
    </row>
    <row r="858" spans="1:17" x14ac:dyDescent="0.3">
      <c r="A858" s="3" t="str">
        <f>TRIM(Table1[[#This Row],[Employee_ID]])</f>
        <v>EMP1856</v>
      </c>
      <c r="B858" s="3" t="str">
        <f>TRIM(Table1[[#This Row],[First_Name]])</f>
        <v>Heidi</v>
      </c>
      <c r="C858" s="3" t="str">
        <f>TRIM(Table1[[#This Row],[Last_Name]])</f>
        <v>Williams</v>
      </c>
      <c r="D858" s="3">
        <f>IF(Table1[[#This Row],[Age]]="",AVERAGE(Table1[Age]),Table1[[#This Row],[Age]])</f>
        <v>25</v>
      </c>
      <c r="E858" s="3" t="s">
        <v>89</v>
      </c>
      <c r="F858" s="3" t="s">
        <v>33</v>
      </c>
      <c r="G858" s="5">
        <f>IF(ISNUMBER('Main Project Raw Data'!G858),'Main Project Raw Data'!G858,IF(ISNUMBER(SEARCH("/",'Main Project Raw Data'!G858)),DATE(RIGHT('Main Project Raw Data'!G858,4),LEFT('Main Project Raw Data'!G858,FIND("/",'Main Project Raw Data'!G858)-1),MID('Main Project Raw Data'!G858,FIND("/",'Main Project Raw Data'!G858)+1,2)),DATE(RIGHT('Main Project Raw Data'!G858,4),MID('Main Project Raw Data'!G858,4,2),LEFT('Main Project Raw Data'!G858,2))))</f>
        <v>44278</v>
      </c>
      <c r="H858" s="3">
        <f>IF(Table1[[#This Row],[Salary]]="",AVERAGE(Table1[Salary]),Table1[[#This Row],[Salary]])</f>
        <v>92977.64</v>
      </c>
      <c r="I858" s="3" t="s">
        <v>67</v>
      </c>
      <c r="J858" s="3">
        <f>ABS(Table1[[#This Row],[Phone]])</f>
        <v>4768169956</v>
      </c>
      <c r="K858" s="3" t="str">
        <f>PROPER(TRIM(Table1[[#This Row],[Performance_Score]]))</f>
        <v>Excellent</v>
      </c>
      <c r="L858" s="3" t="b">
        <f>Table1[[#This Row],[Remote_Work]]</f>
        <v>0</v>
      </c>
      <c r="M858" s="3" t="str">
        <f>PROPER(CONCATENATE(Table13[[#This Row],[First_Name]], Table13[[#This Row],[Last_Name]]))</f>
        <v>Heidiwilliams</v>
      </c>
      <c r="N858" s="3" t="str">
        <f t="shared" si="13"/>
        <v>Mar</v>
      </c>
      <c r="O858" s="3" t="str">
        <f>TEXT(Table13[[#This Row],[Join_Date]],"yyyy")</f>
        <v>2021</v>
      </c>
      <c r="P858" s="3" t="str">
        <f>LEFT('Main Project Raw Data'!E858,FIND("-",'Main Project Raw Data'!E858)-1)</f>
        <v>Admin</v>
      </c>
      <c r="Q858" s="3" t="str">
        <f>RIGHT('Main Project Raw Data'!E858,LEN('Main Project Raw Data'!E858)-FIND("-",'Main Project Raw Data'!E858))</f>
        <v>Illinois</v>
      </c>
    </row>
    <row r="859" spans="1:17" x14ac:dyDescent="0.3">
      <c r="A859" s="3" t="str">
        <f>TRIM(Table1[[#This Row],[Employee_ID]])</f>
        <v>EMP1857</v>
      </c>
      <c r="B859" s="3" t="str">
        <f>TRIM(Table1[[#This Row],[First_Name]])</f>
        <v>Heidi</v>
      </c>
      <c r="C859" s="3" t="str">
        <f>TRIM(Table1[[#This Row],[Last_Name]])</f>
        <v>Williams</v>
      </c>
      <c r="D859" s="3">
        <f>IF(Table1[[#This Row],[Age]]="",AVERAGE(Table1[Age]),Table1[[#This Row],[Age]])</f>
        <v>35</v>
      </c>
      <c r="E859" s="3" t="s">
        <v>159</v>
      </c>
      <c r="F859" s="3" t="s">
        <v>16</v>
      </c>
      <c r="G859" s="5">
        <f>IF(ISNUMBER('Main Project Raw Data'!G859),'Main Project Raw Data'!G859,IF(ISNUMBER(SEARCH("/",'Main Project Raw Data'!G859)),DATE(RIGHT('Main Project Raw Data'!G859,4),LEFT('Main Project Raw Data'!G859,FIND("/",'Main Project Raw Data'!G859)-1),MID('Main Project Raw Data'!G859,FIND("/",'Main Project Raw Data'!G859)+1,2)),DATE(RIGHT('Main Project Raw Data'!G859,4),MID('Main Project Raw Data'!G859,4,2),LEFT('Main Project Raw Data'!G859,2))))</f>
        <v>43975</v>
      </c>
      <c r="H859" s="3">
        <f>IF(Table1[[#This Row],[Salary]]="",AVERAGE(Table1[Salary]),Table1[[#This Row],[Salary]])</f>
        <v>89994.12</v>
      </c>
      <c r="I859" s="3" t="s">
        <v>67</v>
      </c>
      <c r="J859" s="3">
        <f>ABS(Table1[[#This Row],[Phone]])</f>
        <v>607174810</v>
      </c>
      <c r="K859" s="3" t="str">
        <f>PROPER(TRIM(Table1[[#This Row],[Performance_Score]]))</f>
        <v>Good</v>
      </c>
      <c r="L859" s="3" t="b">
        <f>Table1[[#This Row],[Remote_Work]]</f>
        <v>1</v>
      </c>
      <c r="M859" s="3" t="str">
        <f>PROPER(CONCATENATE(Table13[[#This Row],[First_Name]], Table13[[#This Row],[Last_Name]]))</f>
        <v>Heidiwilliams</v>
      </c>
      <c r="N859" s="3" t="str">
        <f t="shared" si="13"/>
        <v>May</v>
      </c>
      <c r="O859" s="3" t="str">
        <f>TEXT(Table13[[#This Row],[Join_Date]],"yyyy")</f>
        <v>2020</v>
      </c>
      <c r="P859" s="3" t="str">
        <f>LEFT('Main Project Raw Data'!E859,FIND("-",'Main Project Raw Data'!E859)-1)</f>
        <v>Cloud Tech</v>
      </c>
      <c r="Q859" s="3" t="str">
        <f>RIGHT('Main Project Raw Data'!E859,LEN('Main Project Raw Data'!E859)-FIND("-",'Main Project Raw Data'!E859))</f>
        <v>Texas</v>
      </c>
    </row>
    <row r="860" spans="1:17" x14ac:dyDescent="0.3">
      <c r="A860" s="3" t="str">
        <f>TRIM(Table1[[#This Row],[Employee_ID]])</f>
        <v>EMP1858</v>
      </c>
      <c r="B860" s="3" t="str">
        <f>TRIM(Table1[[#This Row],[First_Name]])</f>
        <v>Heidi</v>
      </c>
      <c r="C860" s="3" t="str">
        <f>TRIM(Table1[[#This Row],[Last_Name]])</f>
        <v>Johnson</v>
      </c>
      <c r="D860" s="3">
        <f>IF(Table1[[#This Row],[Age]]="",AVERAGE(Table1[Age]),Table1[[#This Row],[Age]])</f>
        <v>25</v>
      </c>
      <c r="E860" s="3" t="s">
        <v>227</v>
      </c>
      <c r="F860" s="3" t="s">
        <v>28</v>
      </c>
      <c r="G860" s="5">
        <f>IF(ISNUMBER('Main Project Raw Data'!G860),'Main Project Raw Data'!G860,IF(ISNUMBER(SEARCH("/",'Main Project Raw Data'!G860)),DATE(RIGHT('Main Project Raw Data'!G860,4),LEFT('Main Project Raw Data'!G860,FIND("/",'Main Project Raw Data'!G860)-1),MID('Main Project Raw Data'!G860,FIND("/",'Main Project Raw Data'!G860)+1,2)),DATE(RIGHT('Main Project Raw Data'!G860,4),MID('Main Project Raw Data'!G860,4,2),LEFT('Main Project Raw Data'!G860,2))))</f>
        <v>45024</v>
      </c>
      <c r="H860" s="3">
        <f>IF(Table1[[#This Row],[Salary]]="",AVERAGE(Table1[Salary]),Table1[[#This Row],[Salary]])</f>
        <v>50060.73</v>
      </c>
      <c r="I860" s="3" t="s">
        <v>113</v>
      </c>
      <c r="J860" s="3">
        <f>ABS(Table1[[#This Row],[Phone]])</f>
        <v>3176539704</v>
      </c>
      <c r="K860" s="3" t="str">
        <f>PROPER(TRIM(Table1[[#This Row],[Performance_Score]]))</f>
        <v>Poor</v>
      </c>
      <c r="L860" s="3" t="b">
        <f>Table1[[#This Row],[Remote_Work]]</f>
        <v>0</v>
      </c>
      <c r="M860" s="3" t="str">
        <f>PROPER(CONCATENATE(Table13[[#This Row],[First_Name]], Table13[[#This Row],[Last_Name]]))</f>
        <v>Heidijohnson</v>
      </c>
      <c r="N860" s="3" t="str">
        <f t="shared" si="13"/>
        <v>Apr</v>
      </c>
      <c r="O860" s="3" t="str">
        <f>TEXT(Table13[[#This Row],[Join_Date]],"yyyy")</f>
        <v>2023</v>
      </c>
      <c r="P860" s="3" t="str">
        <f>LEFT('Main Project Raw Data'!E860,FIND("-",'Main Project Raw Data'!E860)-1)</f>
        <v>Finance</v>
      </c>
      <c r="Q860" s="3" t="str">
        <f>RIGHT('Main Project Raw Data'!E860,LEN('Main Project Raw Data'!E860)-FIND("-",'Main Project Raw Data'!E860))</f>
        <v>New York</v>
      </c>
    </row>
    <row r="861" spans="1:17" x14ac:dyDescent="0.3">
      <c r="A861" s="3" t="str">
        <f>TRIM(Table1[[#This Row],[Employee_ID]])</f>
        <v>EMP1859</v>
      </c>
      <c r="B861" s="3" t="str">
        <f>TRIM(Table1[[#This Row],[First_Name]])</f>
        <v>Grace</v>
      </c>
      <c r="C861" s="3" t="str">
        <f>TRIM(Table1[[#This Row],[Last_Name]])</f>
        <v>Davis</v>
      </c>
      <c r="D861" s="3">
        <f>IF(Table1[[#This Row],[Age]]="",AVERAGE(Table1[Age]),Table1[[#This Row],[Age]])</f>
        <v>35</v>
      </c>
      <c r="E861" s="3" t="s">
        <v>27</v>
      </c>
      <c r="F861" s="3" t="s">
        <v>33</v>
      </c>
      <c r="G861" s="5">
        <f>IF(ISNUMBER('Main Project Raw Data'!G861),'Main Project Raw Data'!G861,IF(ISNUMBER(SEARCH("/",'Main Project Raw Data'!G861)),DATE(RIGHT('Main Project Raw Data'!G861,4),LEFT('Main Project Raw Data'!G861,FIND("/",'Main Project Raw Data'!G861)-1),MID('Main Project Raw Data'!G861,FIND("/",'Main Project Raw Data'!G861)+1,2)),DATE(RIGHT('Main Project Raw Data'!G861,4),MID('Main Project Raw Data'!G861,4,2),LEFT('Main Project Raw Data'!G861,2))))</f>
        <v>44898</v>
      </c>
      <c r="H861" s="3">
        <f>IF(Table1[[#This Row],[Salary]]="",AVERAGE(Table1[Salary]),Table1[[#This Row],[Salary]])</f>
        <v>90224.82</v>
      </c>
      <c r="I861" s="3" t="s">
        <v>235</v>
      </c>
      <c r="J861" s="3">
        <f>ABS(Table1[[#This Row],[Phone]])</f>
        <v>4873961028</v>
      </c>
      <c r="K861" s="3" t="str">
        <f>PROPER(TRIM(Table1[[#This Row],[Performance_Score]]))</f>
        <v>Excellent</v>
      </c>
      <c r="L861" s="3" t="b">
        <f>Table1[[#This Row],[Remote_Work]]</f>
        <v>0</v>
      </c>
      <c r="M861" s="3" t="str">
        <f>PROPER(CONCATENATE(Table13[[#This Row],[First_Name]], Table13[[#This Row],[Last_Name]]))</f>
        <v>Gracedavis</v>
      </c>
      <c r="N861" s="3" t="str">
        <f t="shared" si="13"/>
        <v>Dec</v>
      </c>
      <c r="O861" s="3" t="str">
        <f>TEXT(Table13[[#This Row],[Join_Date]],"yyyy")</f>
        <v>2022</v>
      </c>
      <c r="P861" s="3" t="str">
        <f>LEFT('Main Project Raw Data'!E861,FIND("-",'Main Project Raw Data'!E861)-1)</f>
        <v>Admin</v>
      </c>
      <c r="Q861" s="3" t="str">
        <f>RIGHT('Main Project Raw Data'!E861,LEN('Main Project Raw Data'!E861)-FIND("-",'Main Project Raw Data'!E861))</f>
        <v>Nevada</v>
      </c>
    </row>
    <row r="862" spans="1:17" x14ac:dyDescent="0.3">
      <c r="A862" s="3" t="str">
        <f>TRIM(Table1[[#This Row],[Employee_ID]])</f>
        <v>EMP1860</v>
      </c>
      <c r="B862" s="3" t="str">
        <f>TRIM(Table1[[#This Row],[First_Name]])</f>
        <v>Heidi</v>
      </c>
      <c r="C862" s="3" t="str">
        <f>TRIM(Table1[[#This Row],[Last_Name]])</f>
        <v>Brown</v>
      </c>
      <c r="D862" s="3">
        <f>IF(Table1[[#This Row],[Age]]="",AVERAGE(Table1[Age]),Table1[[#This Row],[Age]])</f>
        <v>40</v>
      </c>
      <c r="E862" s="3" t="s">
        <v>112</v>
      </c>
      <c r="F862" s="3" t="s">
        <v>28</v>
      </c>
      <c r="G862" s="5">
        <f>IF(ISNUMBER('Main Project Raw Data'!G862),'Main Project Raw Data'!G862,IF(ISNUMBER(SEARCH("/",'Main Project Raw Data'!G862)),DATE(RIGHT('Main Project Raw Data'!G862,4),LEFT('Main Project Raw Data'!G862,FIND("/",'Main Project Raw Data'!G862)-1),MID('Main Project Raw Data'!G862,FIND("/",'Main Project Raw Data'!G862)+1,2)),DATE(RIGHT('Main Project Raw Data'!G862,4),MID('Main Project Raw Data'!G862,4,2),LEFT('Main Project Raw Data'!G862,2))))</f>
        <v>45430</v>
      </c>
      <c r="H862" s="3">
        <f>IF(Table1[[#This Row],[Salary]]="",AVERAGE(Table1[Salary]),Table1[[#This Row],[Salary]])</f>
        <v>106859.3</v>
      </c>
      <c r="I862" s="3" t="s">
        <v>403</v>
      </c>
      <c r="J862" s="3">
        <f>ABS(Table1[[#This Row],[Phone]])</f>
        <v>871827495</v>
      </c>
      <c r="K862" s="3" t="str">
        <f>PROPER(TRIM(Table1[[#This Row],[Performance_Score]]))</f>
        <v>Good</v>
      </c>
      <c r="L862" s="3" t="b">
        <f>Table1[[#This Row],[Remote_Work]]</f>
        <v>0</v>
      </c>
      <c r="M862" s="3" t="str">
        <f>PROPER(CONCATENATE(Table13[[#This Row],[First_Name]], Table13[[#This Row],[Last_Name]]))</f>
        <v>Heidibrown</v>
      </c>
      <c r="N862" s="3" t="str">
        <f t="shared" si="13"/>
        <v>May</v>
      </c>
      <c r="O862" s="3" t="str">
        <f>TEXT(Table13[[#This Row],[Join_Date]],"yyyy")</f>
        <v>2024</v>
      </c>
      <c r="P862" s="3" t="str">
        <f>LEFT('Main Project Raw Data'!E862,FIND("-",'Main Project Raw Data'!E862)-1)</f>
        <v>Finance</v>
      </c>
      <c r="Q862" s="3" t="str">
        <f>RIGHT('Main Project Raw Data'!E862,LEN('Main Project Raw Data'!E862)-FIND("-",'Main Project Raw Data'!E862))</f>
        <v>Florida</v>
      </c>
    </row>
    <row r="863" spans="1:17" x14ac:dyDescent="0.3">
      <c r="A863" s="3" t="str">
        <f>TRIM(Table1[[#This Row],[Employee_ID]])</f>
        <v>EMP1861</v>
      </c>
      <c r="B863" s="3" t="str">
        <f>TRIM(Table1[[#This Row],[First_Name]])</f>
        <v>David</v>
      </c>
      <c r="C863" s="3" t="str">
        <f>TRIM(Table1[[#This Row],[Last_Name]])</f>
        <v>Smith</v>
      </c>
      <c r="D863" s="3">
        <f>IF(Table1[[#This Row],[Age]]="",AVERAGE(Table1[Age]),Table1[[#This Row],[Age]])</f>
        <v>25</v>
      </c>
      <c r="E863" s="3" t="s">
        <v>100</v>
      </c>
      <c r="F863" s="3" t="s">
        <v>33</v>
      </c>
      <c r="G863" s="5">
        <f>IF(ISNUMBER('Main Project Raw Data'!G863),'Main Project Raw Data'!G863,IF(ISNUMBER(SEARCH("/",'Main Project Raw Data'!G863)),DATE(RIGHT('Main Project Raw Data'!G863,4),LEFT('Main Project Raw Data'!G863,FIND("/",'Main Project Raw Data'!G863)-1),MID('Main Project Raw Data'!G863,FIND("/",'Main Project Raw Data'!G863)+1,2)),DATE(RIGHT('Main Project Raw Data'!G863,4),MID('Main Project Raw Data'!G863,4,2),LEFT('Main Project Raw Data'!G863,2))))</f>
        <v>43960</v>
      </c>
      <c r="H863" s="3">
        <f>IF(Table1[[#This Row],[Salary]]="",AVERAGE(Table1[Salary]),Table1[[#This Row],[Salary]])</f>
        <v>89707.07</v>
      </c>
      <c r="I863" s="3" t="s">
        <v>340</v>
      </c>
      <c r="J863" s="3">
        <f>ABS(Table1[[#This Row],[Phone]])</f>
        <v>8049187273</v>
      </c>
      <c r="K863" s="3" t="str">
        <f>PROPER(TRIM(Table1[[#This Row],[Performance_Score]]))</f>
        <v>Good</v>
      </c>
      <c r="L863" s="3" t="b">
        <f>Table1[[#This Row],[Remote_Work]]</f>
        <v>0</v>
      </c>
      <c r="M863" s="3" t="str">
        <f>PROPER(CONCATENATE(Table13[[#This Row],[First_Name]], Table13[[#This Row],[Last_Name]]))</f>
        <v>Davidsmith</v>
      </c>
      <c r="N863" s="3" t="str">
        <f t="shared" si="13"/>
        <v>May</v>
      </c>
      <c r="O863" s="3" t="str">
        <f>TEXT(Table13[[#This Row],[Join_Date]],"yyyy")</f>
        <v>2020</v>
      </c>
      <c r="P863" s="3" t="str">
        <f>LEFT('Main Project Raw Data'!E863,FIND("-",'Main Project Raw Data'!E863)-1)</f>
        <v>Finance</v>
      </c>
      <c r="Q863" s="3" t="str">
        <f>RIGHT('Main Project Raw Data'!E863,LEN('Main Project Raw Data'!E863)-FIND("-",'Main Project Raw Data'!E863))</f>
        <v>Nevada</v>
      </c>
    </row>
    <row r="864" spans="1:17" x14ac:dyDescent="0.3">
      <c r="A864" s="3" t="str">
        <f>TRIM(Table1[[#This Row],[Employee_ID]])</f>
        <v>EMP1862</v>
      </c>
      <c r="B864" s="3" t="str">
        <f>TRIM(Table1[[#This Row],[First_Name]])</f>
        <v>Frank</v>
      </c>
      <c r="C864" s="3" t="str">
        <f>TRIM(Table1[[#This Row],[Last_Name]])</f>
        <v>Johnson</v>
      </c>
      <c r="D864" s="3">
        <f>IF(Table1[[#This Row],[Age]]="",AVERAGE(Table1[Age]),Table1[[#This Row],[Age]])</f>
        <v>35</v>
      </c>
      <c r="E864" s="3" t="s">
        <v>15</v>
      </c>
      <c r="F864" s="3" t="s">
        <v>33</v>
      </c>
      <c r="G864" s="5">
        <f>IF(ISNUMBER('Main Project Raw Data'!G864),'Main Project Raw Data'!G864,IF(ISNUMBER(SEARCH("/",'Main Project Raw Data'!G864)),DATE(RIGHT('Main Project Raw Data'!G864,4),LEFT('Main Project Raw Data'!G864,FIND("/",'Main Project Raw Data'!G864)-1),MID('Main Project Raw Data'!G864,FIND("/",'Main Project Raw Data'!G864)+1,2)),DATE(RIGHT('Main Project Raw Data'!G864,4),MID('Main Project Raw Data'!G864,4,2),LEFT('Main Project Raw Data'!G864,2))))</f>
        <v>43944</v>
      </c>
      <c r="H864" s="3">
        <f>IF(Table1[[#This Row],[Salary]]="",AVERAGE(Table1[Salary]),Table1[[#This Row],[Salary]])</f>
        <v>94259.08</v>
      </c>
      <c r="I864" s="3" t="s">
        <v>271</v>
      </c>
      <c r="J864" s="3">
        <f>ABS(Table1[[#This Row],[Phone]])</f>
        <v>2049561212</v>
      </c>
      <c r="K864" s="3" t="str">
        <f>PROPER(TRIM(Table1[[#This Row],[Performance_Score]]))</f>
        <v>Excellent</v>
      </c>
      <c r="L864" s="3" t="b">
        <f>Table1[[#This Row],[Remote_Work]]</f>
        <v>1</v>
      </c>
      <c r="M864" s="3" t="str">
        <f>PROPER(CONCATENATE(Table13[[#This Row],[First_Name]], Table13[[#This Row],[Last_Name]]))</f>
        <v>Frankjohnson</v>
      </c>
      <c r="N864" s="3" t="str">
        <f t="shared" si="13"/>
        <v>Apr</v>
      </c>
      <c r="O864" s="3" t="str">
        <f>TEXT(Table13[[#This Row],[Join_Date]],"yyyy")</f>
        <v>2020</v>
      </c>
      <c r="P864" s="3" t="str">
        <f>LEFT('Main Project Raw Data'!E864,FIND("-",'Main Project Raw Data'!E864)-1)</f>
        <v>DevOps</v>
      </c>
      <c r="Q864" s="3" t="str">
        <f>RIGHT('Main Project Raw Data'!E864,LEN('Main Project Raw Data'!E864)-FIND("-",'Main Project Raw Data'!E864))</f>
        <v>California</v>
      </c>
    </row>
    <row r="865" spans="1:17" x14ac:dyDescent="0.3">
      <c r="A865" s="3" t="str">
        <f>TRIM(Table1[[#This Row],[Employee_ID]])</f>
        <v>EMP1863</v>
      </c>
      <c r="B865" s="3" t="str">
        <f>TRIM(Table1[[#This Row],[First_Name]])</f>
        <v>Bob</v>
      </c>
      <c r="C865" s="3" t="str">
        <f>TRIM(Table1[[#This Row],[Last_Name]])</f>
        <v>Johnson</v>
      </c>
      <c r="D865" s="3">
        <f>IF(Table1[[#This Row],[Age]]="",AVERAGE(Table1[Age]),Table1[[#This Row],[Age]])</f>
        <v>35</v>
      </c>
      <c r="E865" s="3" t="s">
        <v>177</v>
      </c>
      <c r="F865" s="3" t="s">
        <v>16</v>
      </c>
      <c r="G865" s="5">
        <f>IF(ISNUMBER('Main Project Raw Data'!G865),'Main Project Raw Data'!G865,IF(ISNUMBER(SEARCH("/",'Main Project Raw Data'!G865)),DATE(RIGHT('Main Project Raw Data'!G865,4),LEFT('Main Project Raw Data'!G865,FIND("/",'Main Project Raw Data'!G865)-1),MID('Main Project Raw Data'!G865,FIND("/",'Main Project Raw Data'!G865)+1,2)),DATE(RIGHT('Main Project Raw Data'!G865,4),MID('Main Project Raw Data'!G865,4,2),LEFT('Main Project Raw Data'!G865,2))))</f>
        <v>45553</v>
      </c>
      <c r="H865" s="3">
        <f>IF(Table1[[#This Row],[Salary]]="",AVERAGE(Table1[Salary]),Table1[[#This Row],[Salary]])</f>
        <v>82174.75</v>
      </c>
      <c r="I865" s="3" t="s">
        <v>199</v>
      </c>
      <c r="J865" s="3">
        <f>ABS(Table1[[#This Row],[Phone]])</f>
        <v>7730626041</v>
      </c>
      <c r="K865" s="3" t="str">
        <f>PROPER(TRIM(Table1[[#This Row],[Performance_Score]]))</f>
        <v>Excellent</v>
      </c>
      <c r="L865" s="3" t="b">
        <f>Table1[[#This Row],[Remote_Work]]</f>
        <v>0</v>
      </c>
      <c r="M865" s="3" t="str">
        <f>PROPER(CONCATENATE(Table13[[#This Row],[First_Name]], Table13[[#This Row],[Last_Name]]))</f>
        <v>Bobjohnson</v>
      </c>
      <c r="N865" s="3" t="str">
        <f t="shared" si="13"/>
        <v>Sep</v>
      </c>
      <c r="O865" s="3" t="str">
        <f>TEXT(Table13[[#This Row],[Join_Date]],"yyyy")</f>
        <v>2024</v>
      </c>
      <c r="P865" s="3" t="str">
        <f>LEFT('Main Project Raw Data'!E865,FIND("-",'Main Project Raw Data'!E865)-1)</f>
        <v>Sales</v>
      </c>
      <c r="Q865" s="3" t="str">
        <f>RIGHT('Main Project Raw Data'!E865,LEN('Main Project Raw Data'!E865)-FIND("-",'Main Project Raw Data'!E865))</f>
        <v>California</v>
      </c>
    </row>
    <row r="866" spans="1:17" x14ac:dyDescent="0.3">
      <c r="A866" s="3" t="str">
        <f>TRIM(Table1[[#This Row],[Employee_ID]])</f>
        <v>EMP1864</v>
      </c>
      <c r="B866" s="3" t="str">
        <f>TRIM(Table1[[#This Row],[First_Name]])</f>
        <v>David</v>
      </c>
      <c r="C866" s="3" t="str">
        <f>TRIM(Table1[[#This Row],[Last_Name]])</f>
        <v>Brown</v>
      </c>
      <c r="D866" s="3">
        <f>IF(Table1[[#This Row],[Age]]="",AVERAGE(Table1[Age]),Table1[[#This Row],[Age]])</f>
        <v>30</v>
      </c>
      <c r="E866" s="3" t="s">
        <v>44</v>
      </c>
      <c r="F866" s="3" t="s">
        <v>33</v>
      </c>
      <c r="G866" s="5">
        <f>IF(ISNUMBER('Main Project Raw Data'!G866),'Main Project Raw Data'!G866,IF(ISNUMBER(SEARCH("/",'Main Project Raw Data'!G866)),DATE(RIGHT('Main Project Raw Data'!G866,4),LEFT('Main Project Raw Data'!G866,FIND("/",'Main Project Raw Data'!G866)-1),MID('Main Project Raw Data'!G866,FIND("/",'Main Project Raw Data'!G866)+1,2)),DATE(RIGHT('Main Project Raw Data'!G866,4),MID('Main Project Raw Data'!G866,4,2),LEFT('Main Project Raw Data'!G866,2))))</f>
        <v>45184</v>
      </c>
      <c r="H866" s="3">
        <f>IF(Table1[[#This Row],[Salary]]="",AVERAGE(Table1[Salary]),Table1[[#This Row],[Salary]])</f>
        <v>63370.22</v>
      </c>
      <c r="I866" s="3" t="s">
        <v>225</v>
      </c>
      <c r="J866" s="3">
        <f>ABS(Table1[[#This Row],[Phone]])</f>
        <v>3597371121</v>
      </c>
      <c r="K866" s="3" t="str">
        <f>PROPER(TRIM(Table1[[#This Row],[Performance_Score]]))</f>
        <v>Excellent</v>
      </c>
      <c r="L866" s="3" t="b">
        <f>Table1[[#This Row],[Remote_Work]]</f>
        <v>0</v>
      </c>
      <c r="M866" s="3" t="str">
        <f>PROPER(CONCATENATE(Table13[[#This Row],[First_Name]], Table13[[#This Row],[Last_Name]]))</f>
        <v>Davidbrown</v>
      </c>
      <c r="N866" s="3" t="str">
        <f t="shared" si="13"/>
        <v>Sep</v>
      </c>
      <c r="O866" s="3" t="str">
        <f>TEXT(Table13[[#This Row],[Join_Date]],"yyyy")</f>
        <v>2023</v>
      </c>
      <c r="P866" s="3" t="str">
        <f>LEFT('Main Project Raw Data'!E866,FIND("-",'Main Project Raw Data'!E866)-1)</f>
        <v>Sales</v>
      </c>
      <c r="Q866" s="3" t="str">
        <f>RIGHT('Main Project Raw Data'!E866,LEN('Main Project Raw Data'!E866)-FIND("-",'Main Project Raw Data'!E866))</f>
        <v>Texas</v>
      </c>
    </row>
    <row r="867" spans="1:17" x14ac:dyDescent="0.3">
      <c r="A867" s="3" t="str">
        <f>TRIM(Table1[[#This Row],[Employee_ID]])</f>
        <v>EMP1865</v>
      </c>
      <c r="B867" s="3" t="str">
        <f>TRIM(Table1[[#This Row],[First_Name]])</f>
        <v>Bob</v>
      </c>
      <c r="C867" s="3" t="str">
        <f>TRIM(Table1[[#This Row],[Last_Name]])</f>
        <v>Smith</v>
      </c>
      <c r="D867" s="3">
        <f>IF(Table1[[#This Row],[Age]]="",AVERAGE(Table1[Age]),Table1[[#This Row],[Age]])</f>
        <v>35</v>
      </c>
      <c r="E867" s="3" t="s">
        <v>21</v>
      </c>
      <c r="F867" s="3" t="s">
        <v>28</v>
      </c>
      <c r="G867" s="5">
        <f>IF(ISNUMBER('Main Project Raw Data'!G867),'Main Project Raw Data'!G867,IF(ISNUMBER(SEARCH("/",'Main Project Raw Data'!G867)),DATE(RIGHT('Main Project Raw Data'!G867,4),LEFT('Main Project Raw Data'!G867,FIND("/",'Main Project Raw Data'!G867)-1),MID('Main Project Raw Data'!G867,FIND("/",'Main Project Raw Data'!G867)+1,2)),DATE(RIGHT('Main Project Raw Data'!G867,4),MID('Main Project Raw Data'!G867,4,2),LEFT('Main Project Raw Data'!G867,2))))</f>
        <v>44727</v>
      </c>
      <c r="H867" s="3">
        <f>IF(Table1[[#This Row],[Salary]]="",AVERAGE(Table1[Salary]),Table1[[#This Row],[Salary]])</f>
        <v>101472.69</v>
      </c>
      <c r="I867" s="3" t="s">
        <v>123</v>
      </c>
      <c r="J867" s="3">
        <f>ABS(Table1[[#This Row],[Phone]])</f>
        <v>2990775607</v>
      </c>
      <c r="K867" s="3" t="str">
        <f>PROPER(TRIM(Table1[[#This Row],[Performance_Score]]))</f>
        <v>Good</v>
      </c>
      <c r="L867" s="3" t="b">
        <f>Table1[[#This Row],[Remote_Work]]</f>
        <v>1</v>
      </c>
      <c r="M867" s="3" t="str">
        <f>PROPER(CONCATENATE(Table13[[#This Row],[First_Name]], Table13[[#This Row],[Last_Name]]))</f>
        <v>Bobsmith</v>
      </c>
      <c r="N867" s="3" t="str">
        <f t="shared" si="13"/>
        <v>Jun</v>
      </c>
      <c r="O867" s="3" t="str">
        <f>TEXT(Table13[[#This Row],[Join_Date]],"yyyy")</f>
        <v>2022</v>
      </c>
      <c r="P867" s="3" t="str">
        <f>LEFT('Main Project Raw Data'!E867,FIND("-",'Main Project Raw Data'!E867)-1)</f>
        <v>Finance</v>
      </c>
      <c r="Q867" s="3" t="str">
        <f>RIGHT('Main Project Raw Data'!E867,LEN('Main Project Raw Data'!E867)-FIND("-",'Main Project Raw Data'!E867))</f>
        <v>Texas</v>
      </c>
    </row>
    <row r="868" spans="1:17" x14ac:dyDescent="0.3">
      <c r="A868" s="3" t="str">
        <f>TRIM(Table1[[#This Row],[Employee_ID]])</f>
        <v>EMP1866</v>
      </c>
      <c r="B868" s="3" t="str">
        <f>TRIM(Table1[[#This Row],[First_Name]])</f>
        <v>David</v>
      </c>
      <c r="C868" s="3" t="str">
        <f>TRIM(Table1[[#This Row],[Last_Name]])</f>
        <v>Jones</v>
      </c>
      <c r="D868" s="3">
        <f>IF(Table1[[#This Row],[Age]]="",AVERAGE(Table1[Age]),Table1[[#This Row],[Age]])</f>
        <v>25</v>
      </c>
      <c r="E868" s="3" t="s">
        <v>78</v>
      </c>
      <c r="F868" s="3" t="s">
        <v>16</v>
      </c>
      <c r="G868" s="5">
        <f>IF(ISNUMBER('Main Project Raw Data'!G868),'Main Project Raw Data'!G868,IF(ISNUMBER(SEARCH("/",'Main Project Raw Data'!G868)),DATE(RIGHT('Main Project Raw Data'!G868,4),LEFT('Main Project Raw Data'!G868,FIND("/",'Main Project Raw Data'!G868)-1),MID('Main Project Raw Data'!G868,FIND("/",'Main Project Raw Data'!G868)+1,2)),DATE(RIGHT('Main Project Raw Data'!G868,4),MID('Main Project Raw Data'!G868,4,2),LEFT('Main Project Raw Data'!G868,2))))</f>
        <v>44832</v>
      </c>
      <c r="H868" s="3">
        <f>IF(Table1[[#This Row],[Salary]]="",AVERAGE(Table1[Salary]),Table1[[#This Row],[Salary]])</f>
        <v>77213.73</v>
      </c>
      <c r="I868" s="3" t="s">
        <v>242</v>
      </c>
      <c r="J868" s="3">
        <f>ABS(Table1[[#This Row],[Phone]])</f>
        <v>5816704685</v>
      </c>
      <c r="K868" s="3" t="str">
        <f>PROPER(TRIM(Table1[[#This Row],[Performance_Score]]))</f>
        <v>Good</v>
      </c>
      <c r="L868" s="3" t="b">
        <f>Table1[[#This Row],[Remote_Work]]</f>
        <v>0</v>
      </c>
      <c r="M868" s="3" t="str">
        <f>PROPER(CONCATENATE(Table13[[#This Row],[First_Name]], Table13[[#This Row],[Last_Name]]))</f>
        <v>Davidjones</v>
      </c>
      <c r="N868" s="3" t="str">
        <f t="shared" si="13"/>
        <v>Sep</v>
      </c>
      <c r="O868" s="3" t="str">
        <f>TEXT(Table13[[#This Row],[Join_Date]],"yyyy")</f>
        <v>2022</v>
      </c>
      <c r="P868" s="3" t="str">
        <f>LEFT('Main Project Raw Data'!E868,FIND("-",'Main Project Raw Data'!E868)-1)</f>
        <v>DevOps</v>
      </c>
      <c r="Q868" s="3" t="str">
        <f>RIGHT('Main Project Raw Data'!E868,LEN('Main Project Raw Data'!E868)-FIND("-",'Main Project Raw Data'!E868))</f>
        <v>Illinois</v>
      </c>
    </row>
    <row r="869" spans="1:17" x14ac:dyDescent="0.3">
      <c r="A869" s="3" t="str">
        <f>TRIM(Table1[[#This Row],[Employee_ID]])</f>
        <v>EMP1867</v>
      </c>
      <c r="B869" s="3" t="str">
        <f>TRIM(Table1[[#This Row],[First_Name]])</f>
        <v>Eva</v>
      </c>
      <c r="C869" s="3" t="str">
        <f>TRIM(Table1[[#This Row],[Last_Name]])</f>
        <v>Miller</v>
      </c>
      <c r="D869" s="3">
        <f>IF(Table1[[#This Row],[Age]]="",AVERAGE(Table1[Age]),Table1[[#This Row],[Age]])</f>
        <v>40</v>
      </c>
      <c r="E869" s="3" t="s">
        <v>74</v>
      </c>
      <c r="F869" s="3" t="s">
        <v>16</v>
      </c>
      <c r="G869" s="5">
        <f>IF(ISNUMBER('Main Project Raw Data'!G869),'Main Project Raw Data'!G869,IF(ISNUMBER(SEARCH("/",'Main Project Raw Data'!G869)),DATE(RIGHT('Main Project Raw Data'!G869,4),LEFT('Main Project Raw Data'!G869,FIND("/",'Main Project Raw Data'!G869)-1),MID('Main Project Raw Data'!G869,FIND("/",'Main Project Raw Data'!G869)+1,2)),DATE(RIGHT('Main Project Raw Data'!G869,4),MID('Main Project Raw Data'!G869,4,2),LEFT('Main Project Raw Data'!G869,2))))</f>
        <v>43906</v>
      </c>
      <c r="H869" s="3">
        <f>IF(Table1[[#This Row],[Salary]]="",AVERAGE(Table1[Salary]),Table1[[#This Row],[Salary]])</f>
        <v>73749.960000000006</v>
      </c>
      <c r="I869" s="3" t="s">
        <v>263</v>
      </c>
      <c r="J869" s="3">
        <f>ABS(Table1[[#This Row],[Phone]])</f>
        <v>1114576831</v>
      </c>
      <c r="K869" s="3" t="str">
        <f>PROPER(TRIM(Table1[[#This Row],[Performance_Score]]))</f>
        <v>Poor</v>
      </c>
      <c r="L869" s="3" t="b">
        <f>Table1[[#This Row],[Remote_Work]]</f>
        <v>1</v>
      </c>
      <c r="M869" s="3" t="str">
        <f>PROPER(CONCATENATE(Table13[[#This Row],[First_Name]], Table13[[#This Row],[Last_Name]]))</f>
        <v>Evamiller</v>
      </c>
      <c r="N869" s="3" t="str">
        <f t="shared" si="13"/>
        <v>Mar</v>
      </c>
      <c r="O869" s="3" t="str">
        <f>TEXT(Table13[[#This Row],[Join_Date]],"yyyy")</f>
        <v>2020</v>
      </c>
      <c r="P869" s="3" t="str">
        <f>LEFT('Main Project Raw Data'!E869,FIND("-",'Main Project Raw Data'!E869)-1)</f>
        <v>Sales</v>
      </c>
      <c r="Q869" s="3" t="str">
        <f>RIGHT('Main Project Raw Data'!E869,LEN('Main Project Raw Data'!E869)-FIND("-",'Main Project Raw Data'!E869))</f>
        <v>Florida</v>
      </c>
    </row>
    <row r="870" spans="1:17" x14ac:dyDescent="0.3">
      <c r="A870" s="3" t="str">
        <f>TRIM(Table1[[#This Row],[Employee_ID]])</f>
        <v>EMP1868</v>
      </c>
      <c r="B870" s="3" t="str">
        <f>TRIM(Table1[[#This Row],[First_Name]])</f>
        <v>Alice</v>
      </c>
      <c r="C870" s="3" t="str">
        <f>TRIM(Table1[[#This Row],[Last_Name]])</f>
        <v>Davis</v>
      </c>
      <c r="D870" s="3">
        <f>IF(Table1[[#This Row],[Age]]="",AVERAGE(Table1[Age]),Table1[[#This Row],[Age]])</f>
        <v>40</v>
      </c>
      <c r="E870" s="3" t="s">
        <v>60</v>
      </c>
      <c r="F870" s="3" t="s">
        <v>28</v>
      </c>
      <c r="G870" s="5">
        <f>IF(ISNUMBER('Main Project Raw Data'!G870),'Main Project Raw Data'!G870,IF(ISNUMBER(SEARCH("/",'Main Project Raw Data'!G870)),DATE(RIGHT('Main Project Raw Data'!G870,4),LEFT('Main Project Raw Data'!G870,FIND("/",'Main Project Raw Data'!G870)-1),MID('Main Project Raw Data'!G870,FIND("/",'Main Project Raw Data'!G870)+1,2)),DATE(RIGHT('Main Project Raw Data'!G870,4),MID('Main Project Raw Data'!G870,4,2),LEFT('Main Project Raw Data'!G870,2))))</f>
        <v>45197</v>
      </c>
      <c r="H870" s="3">
        <f>IF(Table1[[#This Row],[Salary]]="",AVERAGE(Table1[Salary]),Table1[[#This Row],[Salary]])</f>
        <v>86618.37</v>
      </c>
      <c r="I870" s="3" t="s">
        <v>163</v>
      </c>
      <c r="J870" s="3">
        <f>ABS(Table1[[#This Row],[Phone]])</f>
        <v>1021923784</v>
      </c>
      <c r="K870" s="3" t="str">
        <f>PROPER(TRIM(Table1[[#This Row],[Performance_Score]]))</f>
        <v>Average</v>
      </c>
      <c r="L870" s="3" t="b">
        <f>Table1[[#This Row],[Remote_Work]]</f>
        <v>0</v>
      </c>
      <c r="M870" s="3" t="str">
        <f>PROPER(CONCATENATE(Table13[[#This Row],[First_Name]], Table13[[#This Row],[Last_Name]]))</f>
        <v>Alicedavis</v>
      </c>
      <c r="N870" s="3" t="str">
        <f t="shared" si="13"/>
        <v>Sep</v>
      </c>
      <c r="O870" s="3" t="str">
        <f>TEXT(Table13[[#This Row],[Join_Date]],"yyyy")</f>
        <v>2023</v>
      </c>
      <c r="P870" s="3" t="str">
        <f>LEFT('Main Project Raw Data'!E870,FIND("-",'Main Project Raw Data'!E870)-1)</f>
        <v>Cloud Tech</v>
      </c>
      <c r="Q870" s="3" t="str">
        <f>RIGHT('Main Project Raw Data'!E870,LEN('Main Project Raw Data'!E870)-FIND("-",'Main Project Raw Data'!E870))</f>
        <v>New York</v>
      </c>
    </row>
    <row r="871" spans="1:17" x14ac:dyDescent="0.3">
      <c r="A871" s="3" t="str">
        <f>TRIM(Table1[[#This Row],[Employee_ID]])</f>
        <v>EMP1869</v>
      </c>
      <c r="B871" s="3" t="str">
        <f>TRIM(Table1[[#This Row],[First_Name]])</f>
        <v>Charlie</v>
      </c>
      <c r="C871" s="3" t="str">
        <f>TRIM(Table1[[#This Row],[Last_Name]])</f>
        <v>Miller</v>
      </c>
      <c r="D871" s="3">
        <f>IF(Table1[[#This Row],[Age]]="",AVERAGE(Table1[Age]),Table1[[#This Row],[Age]])</f>
        <v>32.484548825710753</v>
      </c>
      <c r="E871" s="3" t="s">
        <v>103</v>
      </c>
      <c r="F871" s="3" t="s">
        <v>16</v>
      </c>
      <c r="G871" s="5">
        <f>IF(ISNUMBER('Main Project Raw Data'!G871),'Main Project Raw Data'!G871,IF(ISNUMBER(SEARCH("/",'Main Project Raw Data'!G871)),DATE(RIGHT('Main Project Raw Data'!G871,4),LEFT('Main Project Raw Data'!G871,FIND("/",'Main Project Raw Data'!G871)-1),MID('Main Project Raw Data'!G871,FIND("/",'Main Project Raw Data'!G871)+1,2)),DATE(RIGHT('Main Project Raw Data'!G871,4),MID('Main Project Raw Data'!G871,4,2),LEFT('Main Project Raw Data'!G871,2))))</f>
        <v>45337</v>
      </c>
      <c r="H871" s="3">
        <f>IF(Table1[[#This Row],[Salary]]="",AVERAGE(Table1[Salary]),Table1[[#This Row],[Salary]])</f>
        <v>59911.33</v>
      </c>
      <c r="I871" s="3" t="s">
        <v>501</v>
      </c>
      <c r="J871" s="3">
        <f>ABS(Table1[[#This Row],[Phone]])</f>
        <v>8471296179</v>
      </c>
      <c r="K871" s="3" t="str">
        <f>PROPER(TRIM(Table1[[#This Row],[Performance_Score]]))</f>
        <v>Excellent</v>
      </c>
      <c r="L871" s="3" t="b">
        <f>Table1[[#This Row],[Remote_Work]]</f>
        <v>1</v>
      </c>
      <c r="M871" s="3" t="str">
        <f>PROPER(CONCATENATE(Table13[[#This Row],[First_Name]], Table13[[#This Row],[Last_Name]]))</f>
        <v>Charliemiller</v>
      </c>
      <c r="N871" s="3" t="str">
        <f t="shared" si="13"/>
        <v>Feb</v>
      </c>
      <c r="O871" s="3" t="str">
        <f>TEXT(Table13[[#This Row],[Join_Date]],"yyyy")</f>
        <v>2024</v>
      </c>
      <c r="P871" s="3" t="str">
        <f>LEFT('Main Project Raw Data'!E871,FIND("-",'Main Project Raw Data'!E871)-1)</f>
        <v>Admin</v>
      </c>
      <c r="Q871" s="3" t="str">
        <f>RIGHT('Main Project Raw Data'!E871,LEN('Main Project Raw Data'!E871)-FIND("-",'Main Project Raw Data'!E871))</f>
        <v>Texas</v>
      </c>
    </row>
    <row r="872" spans="1:17" x14ac:dyDescent="0.3">
      <c r="A872" s="3" t="str">
        <f>TRIM(Table1[[#This Row],[Employee_ID]])</f>
        <v>EMP1870</v>
      </c>
      <c r="B872" s="3" t="str">
        <f>TRIM(Table1[[#This Row],[First_Name]])</f>
        <v>Heidi</v>
      </c>
      <c r="C872" s="3" t="str">
        <f>TRIM(Table1[[#This Row],[Last_Name]])</f>
        <v>Jones</v>
      </c>
      <c r="D872" s="3">
        <f>IF(Table1[[#This Row],[Age]]="",AVERAGE(Table1[Age]),Table1[[#This Row],[Age]])</f>
        <v>32.484548825710753</v>
      </c>
      <c r="E872" s="3" t="s">
        <v>60</v>
      </c>
      <c r="F872" s="3" t="s">
        <v>28</v>
      </c>
      <c r="G872" s="5">
        <f>IF(ISNUMBER('Main Project Raw Data'!G872),'Main Project Raw Data'!G872,IF(ISNUMBER(SEARCH("/",'Main Project Raw Data'!G872)),DATE(RIGHT('Main Project Raw Data'!G872,4),LEFT('Main Project Raw Data'!G872,FIND("/",'Main Project Raw Data'!G872)-1),MID('Main Project Raw Data'!G872,FIND("/",'Main Project Raw Data'!G872)+1,2)),DATE(RIGHT('Main Project Raw Data'!G872,4),MID('Main Project Raw Data'!G872,4,2),LEFT('Main Project Raw Data'!G872,2))))</f>
        <v>45159</v>
      </c>
      <c r="H872" s="3">
        <f>IF(Table1[[#This Row],[Salary]]="",AVERAGE(Table1[Salary]),Table1[[#This Row],[Salary]])</f>
        <v>59137.64</v>
      </c>
      <c r="I872" s="3" t="s">
        <v>319</v>
      </c>
      <c r="J872" s="3">
        <f>ABS(Table1[[#This Row],[Phone]])</f>
        <v>3324260507</v>
      </c>
      <c r="K872" s="3" t="str">
        <f>PROPER(TRIM(Table1[[#This Row],[Performance_Score]]))</f>
        <v>Good</v>
      </c>
      <c r="L872" s="3" t="b">
        <f>Table1[[#This Row],[Remote_Work]]</f>
        <v>0</v>
      </c>
      <c r="M872" s="3" t="str">
        <f>PROPER(CONCATENATE(Table13[[#This Row],[First_Name]], Table13[[#This Row],[Last_Name]]))</f>
        <v>Heidijones</v>
      </c>
      <c r="N872" s="3" t="str">
        <f t="shared" si="13"/>
        <v>Aug</v>
      </c>
      <c r="O872" s="3" t="str">
        <f>TEXT(Table13[[#This Row],[Join_Date]],"yyyy")</f>
        <v>2023</v>
      </c>
      <c r="P872" s="3" t="str">
        <f>LEFT('Main Project Raw Data'!E872,FIND("-",'Main Project Raw Data'!E872)-1)</f>
        <v>Cloud Tech</v>
      </c>
      <c r="Q872" s="3" t="str">
        <f>RIGHT('Main Project Raw Data'!E872,LEN('Main Project Raw Data'!E872)-FIND("-",'Main Project Raw Data'!E872))</f>
        <v>New York</v>
      </c>
    </row>
    <row r="873" spans="1:17" x14ac:dyDescent="0.3">
      <c r="A873" s="3" t="str">
        <f>TRIM(Table1[[#This Row],[Employee_ID]])</f>
        <v>EMP1871</v>
      </c>
      <c r="B873" s="3" t="str">
        <f>TRIM(Table1[[#This Row],[First_Name]])</f>
        <v>Alice</v>
      </c>
      <c r="C873" s="3" t="str">
        <f>TRIM(Table1[[#This Row],[Last_Name]])</f>
        <v>Garcia</v>
      </c>
      <c r="D873" s="3">
        <f>IF(Table1[[#This Row],[Age]]="",AVERAGE(Table1[Age]),Table1[[#This Row],[Age]])</f>
        <v>35</v>
      </c>
      <c r="E873" s="3" t="s">
        <v>39</v>
      </c>
      <c r="F873" s="3" t="s">
        <v>28</v>
      </c>
      <c r="G873" s="5">
        <f>IF(ISNUMBER('Main Project Raw Data'!G873),'Main Project Raw Data'!G873,IF(ISNUMBER(SEARCH("/",'Main Project Raw Data'!G873)),DATE(RIGHT('Main Project Raw Data'!G873,4),LEFT('Main Project Raw Data'!G873,FIND("/",'Main Project Raw Data'!G873)-1),MID('Main Project Raw Data'!G873,FIND("/",'Main Project Raw Data'!G873)+1,2)),DATE(RIGHT('Main Project Raw Data'!G873,4),MID('Main Project Raw Data'!G873,4,2),LEFT('Main Project Raw Data'!G873,2))))</f>
        <v>44180</v>
      </c>
      <c r="H873" s="3">
        <f>IF(Table1[[#This Row],[Salary]]="",AVERAGE(Table1[Salary]),Table1[[#This Row],[Salary]])</f>
        <v>108474.65</v>
      </c>
      <c r="I873" s="3" t="s">
        <v>45</v>
      </c>
      <c r="J873" s="3">
        <f>ABS(Table1[[#This Row],[Phone]])</f>
        <v>184980424</v>
      </c>
      <c r="K873" s="3" t="str">
        <f>PROPER(TRIM(Table1[[#This Row],[Performance_Score]]))</f>
        <v>Good</v>
      </c>
      <c r="L873" s="3" t="b">
        <f>Table1[[#This Row],[Remote_Work]]</f>
        <v>1</v>
      </c>
      <c r="M873" s="3" t="str">
        <f>PROPER(CONCATENATE(Table13[[#This Row],[First_Name]], Table13[[#This Row],[Last_Name]]))</f>
        <v>Alicegarcia</v>
      </c>
      <c r="N873" s="3" t="str">
        <f t="shared" si="13"/>
        <v>Dec</v>
      </c>
      <c r="O873" s="3" t="str">
        <f>TEXT(Table13[[#This Row],[Join_Date]],"yyyy")</f>
        <v>2020</v>
      </c>
      <c r="P873" s="3" t="str">
        <f>LEFT('Main Project Raw Data'!E873,FIND("-",'Main Project Raw Data'!E873)-1)</f>
        <v>Cloud Tech</v>
      </c>
      <c r="Q873" s="3" t="str">
        <f>RIGHT('Main Project Raw Data'!E873,LEN('Main Project Raw Data'!E873)-FIND("-",'Main Project Raw Data'!E873))</f>
        <v>Florida</v>
      </c>
    </row>
    <row r="874" spans="1:17" x14ac:dyDescent="0.3">
      <c r="A874" s="3" t="str">
        <f>TRIM(Table1[[#This Row],[Employee_ID]])</f>
        <v>EMP1872</v>
      </c>
      <c r="B874" s="3" t="str">
        <f>TRIM(Table1[[#This Row],[First_Name]])</f>
        <v>Bob</v>
      </c>
      <c r="C874" s="3" t="str">
        <f>TRIM(Table1[[#This Row],[Last_Name]])</f>
        <v>Johnson</v>
      </c>
      <c r="D874" s="3">
        <f>IF(Table1[[#This Row],[Age]]="",AVERAGE(Table1[Age]),Table1[[#This Row],[Age]])</f>
        <v>25</v>
      </c>
      <c r="E874" s="3" t="s">
        <v>265</v>
      </c>
      <c r="F874" s="3" t="s">
        <v>28</v>
      </c>
      <c r="G874" s="5">
        <f>IF(ISNUMBER('Main Project Raw Data'!G874),'Main Project Raw Data'!G874,IF(ISNUMBER(SEARCH("/",'Main Project Raw Data'!G874)),DATE(RIGHT('Main Project Raw Data'!G874,4),LEFT('Main Project Raw Data'!G874,FIND("/",'Main Project Raw Data'!G874)-1),MID('Main Project Raw Data'!G874,FIND("/",'Main Project Raw Data'!G874)+1,2)),DATE(RIGHT('Main Project Raw Data'!G874,4),MID('Main Project Raw Data'!G874,4,2),LEFT('Main Project Raw Data'!G874,2))))</f>
        <v>44282</v>
      </c>
      <c r="H874" s="3">
        <f>IF(Table1[[#This Row],[Salary]]="",AVERAGE(Table1[Salary]),Table1[[#This Row],[Salary]])</f>
        <v>54417.71</v>
      </c>
      <c r="I874" s="3" t="s">
        <v>199</v>
      </c>
      <c r="J874" s="3">
        <f>ABS(Table1[[#This Row],[Phone]])</f>
        <v>3733777311</v>
      </c>
      <c r="K874" s="3" t="str">
        <f>PROPER(TRIM(Table1[[#This Row],[Performance_Score]]))</f>
        <v>Excellent</v>
      </c>
      <c r="L874" s="3" t="b">
        <f>Table1[[#This Row],[Remote_Work]]</f>
        <v>0</v>
      </c>
      <c r="M874" s="3" t="str">
        <f>PROPER(CONCATENATE(Table13[[#This Row],[First_Name]], Table13[[#This Row],[Last_Name]]))</f>
        <v>Bobjohnson</v>
      </c>
      <c r="N874" s="3" t="str">
        <f t="shared" si="13"/>
        <v>Mar</v>
      </c>
      <c r="O874" s="3" t="str">
        <f>TEXT(Table13[[#This Row],[Join_Date]],"yyyy")</f>
        <v>2021</v>
      </c>
      <c r="P874" s="3" t="str">
        <f>LEFT('Main Project Raw Data'!E874,FIND("-",'Main Project Raw Data'!E874)-1)</f>
        <v>Finance</v>
      </c>
      <c r="Q874" s="3" t="str">
        <f>RIGHT('Main Project Raw Data'!E874,LEN('Main Project Raw Data'!E874)-FIND("-",'Main Project Raw Data'!E874))</f>
        <v>Illinois</v>
      </c>
    </row>
    <row r="875" spans="1:17" x14ac:dyDescent="0.3">
      <c r="A875" s="3" t="str">
        <f>TRIM(Table1[[#This Row],[Employee_ID]])</f>
        <v>EMP1873</v>
      </c>
      <c r="B875" s="3" t="str">
        <f>TRIM(Table1[[#This Row],[First_Name]])</f>
        <v>Frank</v>
      </c>
      <c r="C875" s="3" t="str">
        <f>TRIM(Table1[[#This Row],[Last_Name]])</f>
        <v>Smith</v>
      </c>
      <c r="D875" s="3">
        <f>IF(Table1[[#This Row],[Age]]="",AVERAGE(Table1[Age]),Table1[[#This Row],[Age]])</f>
        <v>40</v>
      </c>
      <c r="E875" s="3" t="s">
        <v>139</v>
      </c>
      <c r="F875" s="3" t="s">
        <v>28</v>
      </c>
      <c r="G875" s="5">
        <f>IF(ISNUMBER('Main Project Raw Data'!G875),'Main Project Raw Data'!G875,IF(ISNUMBER(SEARCH("/",'Main Project Raw Data'!G875)),DATE(RIGHT('Main Project Raw Data'!G875,4),LEFT('Main Project Raw Data'!G875,FIND("/",'Main Project Raw Data'!G875)-1),MID('Main Project Raw Data'!G875,FIND("/",'Main Project Raw Data'!G875)+1,2)),DATE(RIGHT('Main Project Raw Data'!G875,4),MID('Main Project Raw Data'!G875,4,2),LEFT('Main Project Raw Data'!G875,2))))</f>
        <v>45010</v>
      </c>
      <c r="H875" s="3">
        <f>IF(Table1[[#This Row],[Salary]]="",AVERAGE(Table1[Salary]),Table1[[#This Row],[Salary]])</f>
        <v>88211.94</v>
      </c>
      <c r="I875" s="3" t="s">
        <v>137</v>
      </c>
      <c r="J875" s="3">
        <f>ABS(Table1[[#This Row],[Phone]])</f>
        <v>6881228216</v>
      </c>
      <c r="K875" s="3" t="str">
        <f>PROPER(TRIM(Table1[[#This Row],[Performance_Score]]))</f>
        <v>Average</v>
      </c>
      <c r="L875" s="3" t="b">
        <f>Table1[[#This Row],[Remote_Work]]</f>
        <v>0</v>
      </c>
      <c r="M875" s="3" t="str">
        <f>PROPER(CONCATENATE(Table13[[#This Row],[First_Name]], Table13[[#This Row],[Last_Name]]))</f>
        <v>Franksmith</v>
      </c>
      <c r="N875" s="3" t="str">
        <f t="shared" si="13"/>
        <v>Mar</v>
      </c>
      <c r="O875" s="3" t="str">
        <f>TEXT(Table13[[#This Row],[Join_Date]],"yyyy")</f>
        <v>2023</v>
      </c>
      <c r="P875" s="3" t="str">
        <f>LEFT('Main Project Raw Data'!E875,FIND("-",'Main Project Raw Data'!E875)-1)</f>
        <v>HR</v>
      </c>
      <c r="Q875" s="3" t="str">
        <f>RIGHT('Main Project Raw Data'!E875,LEN('Main Project Raw Data'!E875)-FIND("-",'Main Project Raw Data'!E875))</f>
        <v>Texas</v>
      </c>
    </row>
    <row r="876" spans="1:17" x14ac:dyDescent="0.3">
      <c r="A876" s="3" t="str">
        <f>TRIM(Table1[[#This Row],[Employee_ID]])</f>
        <v>EMP1874</v>
      </c>
      <c r="B876" s="3" t="str">
        <f>TRIM(Table1[[#This Row],[First_Name]])</f>
        <v>David</v>
      </c>
      <c r="C876" s="3" t="str">
        <f>TRIM(Table1[[#This Row],[Last_Name]])</f>
        <v>Johnson</v>
      </c>
      <c r="D876" s="3">
        <f>IF(Table1[[#This Row],[Age]]="",AVERAGE(Table1[Age]),Table1[[#This Row],[Age]])</f>
        <v>25</v>
      </c>
      <c r="E876" s="3" t="s">
        <v>109</v>
      </c>
      <c r="F876" s="3" t="s">
        <v>33</v>
      </c>
      <c r="G876" s="5">
        <f>IF(ISNUMBER('Main Project Raw Data'!G876),'Main Project Raw Data'!G876,IF(ISNUMBER(SEARCH("/",'Main Project Raw Data'!G876)),DATE(RIGHT('Main Project Raw Data'!G876,4),LEFT('Main Project Raw Data'!G876,FIND("/",'Main Project Raw Data'!G876)-1),MID('Main Project Raw Data'!G876,FIND("/",'Main Project Raw Data'!G876)+1,2)),DATE(RIGHT('Main Project Raw Data'!G876,4),MID('Main Project Raw Data'!G876,4,2),LEFT('Main Project Raw Data'!G876,2))))</f>
        <v>44079</v>
      </c>
      <c r="H876" s="3">
        <f>IF(Table1[[#This Row],[Salary]]="",AVERAGE(Table1[Salary]),Table1[[#This Row],[Salary]])</f>
        <v>58452.18</v>
      </c>
      <c r="I876" s="3" t="s">
        <v>217</v>
      </c>
      <c r="J876" s="3">
        <f>ABS(Table1[[#This Row],[Phone]])</f>
        <v>8192365345</v>
      </c>
      <c r="K876" s="3" t="str">
        <f>PROPER(TRIM(Table1[[#This Row],[Performance_Score]]))</f>
        <v>Excellent</v>
      </c>
      <c r="L876" s="3" t="b">
        <f>Table1[[#This Row],[Remote_Work]]</f>
        <v>1</v>
      </c>
      <c r="M876" s="3" t="str">
        <f>PROPER(CONCATENATE(Table13[[#This Row],[First_Name]], Table13[[#This Row],[Last_Name]]))</f>
        <v>Davidjohnson</v>
      </c>
      <c r="N876" s="3" t="str">
        <f t="shared" si="13"/>
        <v>Sep</v>
      </c>
      <c r="O876" s="3" t="str">
        <f>TEXT(Table13[[#This Row],[Join_Date]],"yyyy")</f>
        <v>2020</v>
      </c>
      <c r="P876" s="3" t="str">
        <f>LEFT('Main Project Raw Data'!E876,FIND("-",'Main Project Raw Data'!E876)-1)</f>
        <v>Sales</v>
      </c>
      <c r="Q876" s="3" t="str">
        <f>RIGHT('Main Project Raw Data'!E876,LEN('Main Project Raw Data'!E876)-FIND("-",'Main Project Raw Data'!E876))</f>
        <v>New York</v>
      </c>
    </row>
    <row r="877" spans="1:17" x14ac:dyDescent="0.3">
      <c r="A877" s="3" t="str">
        <f>TRIM(Table1[[#This Row],[Employee_ID]])</f>
        <v>EMP1875</v>
      </c>
      <c r="B877" s="3" t="str">
        <f>TRIM(Table1[[#This Row],[First_Name]])</f>
        <v>Grace</v>
      </c>
      <c r="C877" s="3" t="str">
        <f>TRIM(Table1[[#This Row],[Last_Name]])</f>
        <v>Williams</v>
      </c>
      <c r="D877" s="3">
        <f>IF(Table1[[#This Row],[Age]]="",AVERAGE(Table1[Age]),Table1[[#This Row],[Age]])</f>
        <v>30</v>
      </c>
      <c r="E877" s="3" t="s">
        <v>15</v>
      </c>
      <c r="F877" s="3" t="s">
        <v>28</v>
      </c>
      <c r="G877" s="5">
        <f>IF(ISNUMBER('Main Project Raw Data'!G877),'Main Project Raw Data'!G877,IF(ISNUMBER(SEARCH("/",'Main Project Raw Data'!G877)),DATE(RIGHT('Main Project Raw Data'!G877,4),LEFT('Main Project Raw Data'!G877,FIND("/",'Main Project Raw Data'!G877)-1),MID('Main Project Raw Data'!G877,FIND("/",'Main Project Raw Data'!G877)+1,2)),DATE(RIGHT('Main Project Raw Data'!G877,4),MID('Main Project Raw Data'!G877,4,2),LEFT('Main Project Raw Data'!G877,2))))</f>
        <v>43902</v>
      </c>
      <c r="H877" s="3">
        <f>IF(Table1[[#This Row],[Salary]]="",AVERAGE(Table1[Salary]),Table1[[#This Row],[Salary]])</f>
        <v>80706.28</v>
      </c>
      <c r="I877" s="3" t="s">
        <v>71</v>
      </c>
      <c r="J877" s="3">
        <f>ABS(Table1[[#This Row],[Phone]])</f>
        <v>605603566</v>
      </c>
      <c r="K877" s="3" t="str">
        <f>PROPER(TRIM(Table1[[#This Row],[Performance_Score]]))</f>
        <v>Average</v>
      </c>
      <c r="L877" s="3" t="b">
        <f>Table1[[#This Row],[Remote_Work]]</f>
        <v>1</v>
      </c>
      <c r="M877" s="3" t="str">
        <f>PROPER(CONCATENATE(Table13[[#This Row],[First_Name]], Table13[[#This Row],[Last_Name]]))</f>
        <v>Gracewilliams</v>
      </c>
      <c r="N877" s="3" t="str">
        <f t="shared" si="13"/>
        <v>Mar</v>
      </c>
      <c r="O877" s="3" t="str">
        <f>TEXT(Table13[[#This Row],[Join_Date]],"yyyy")</f>
        <v>2020</v>
      </c>
      <c r="P877" s="3" t="str">
        <f>LEFT('Main Project Raw Data'!E877,FIND("-",'Main Project Raw Data'!E877)-1)</f>
        <v>DevOps</v>
      </c>
      <c r="Q877" s="3" t="str">
        <f>RIGHT('Main Project Raw Data'!E877,LEN('Main Project Raw Data'!E877)-FIND("-",'Main Project Raw Data'!E877))</f>
        <v>California</v>
      </c>
    </row>
    <row r="878" spans="1:17" x14ac:dyDescent="0.3">
      <c r="A878" s="3" t="str">
        <f>TRIM(Table1[[#This Row],[Employee_ID]])</f>
        <v>EMP1876</v>
      </c>
      <c r="B878" s="3" t="str">
        <f>TRIM(Table1[[#This Row],[First_Name]])</f>
        <v>Alice</v>
      </c>
      <c r="C878" s="3" t="str">
        <f>TRIM(Table1[[#This Row],[Last_Name]])</f>
        <v>Johnson</v>
      </c>
      <c r="D878" s="3">
        <f>IF(Table1[[#This Row],[Age]]="",AVERAGE(Table1[Age]),Table1[[#This Row],[Age]])</f>
        <v>30</v>
      </c>
      <c r="E878" s="3" t="s">
        <v>85</v>
      </c>
      <c r="F878" s="3" t="s">
        <v>28</v>
      </c>
      <c r="G878" s="5">
        <f>IF(ISNUMBER('Main Project Raw Data'!G878),'Main Project Raw Data'!G878,IF(ISNUMBER(SEARCH("/",'Main Project Raw Data'!G878)),DATE(RIGHT('Main Project Raw Data'!G878,4),LEFT('Main Project Raw Data'!G878,FIND("/",'Main Project Raw Data'!G878)-1),MID('Main Project Raw Data'!G878,FIND("/",'Main Project Raw Data'!G878)+1,2)),DATE(RIGHT('Main Project Raw Data'!G878,4),MID('Main Project Raw Data'!G878,4,2),LEFT('Main Project Raw Data'!G878,2))))</f>
        <v>44806</v>
      </c>
      <c r="H878" s="3">
        <f>IF(Table1[[#This Row],[Salary]]="",AVERAGE(Table1[Salary]),Table1[[#This Row],[Salary]])</f>
        <v>85155.056395582287</v>
      </c>
      <c r="I878" s="3" t="s">
        <v>150</v>
      </c>
      <c r="J878" s="3">
        <f>ABS(Table1[[#This Row],[Phone]])</f>
        <v>9327986238</v>
      </c>
      <c r="K878" s="3" t="str">
        <f>PROPER(TRIM(Table1[[#This Row],[Performance_Score]]))</f>
        <v>Good</v>
      </c>
      <c r="L878" s="3" t="b">
        <f>Table1[[#This Row],[Remote_Work]]</f>
        <v>1</v>
      </c>
      <c r="M878" s="3" t="str">
        <f>PROPER(CONCATENATE(Table13[[#This Row],[First_Name]], Table13[[#This Row],[Last_Name]]))</f>
        <v>Alicejohnson</v>
      </c>
      <c r="N878" s="3" t="str">
        <f t="shared" si="13"/>
        <v>Sep</v>
      </c>
      <c r="O878" s="3" t="str">
        <f>TEXT(Table13[[#This Row],[Join_Date]],"yyyy")</f>
        <v>2022</v>
      </c>
      <c r="P878" s="3" t="str">
        <f>LEFT('Main Project Raw Data'!E878,FIND("-",'Main Project Raw Data'!E878)-1)</f>
        <v>Cloud Tech</v>
      </c>
      <c r="Q878" s="3" t="str">
        <f>RIGHT('Main Project Raw Data'!E878,LEN('Main Project Raw Data'!E878)-FIND("-",'Main Project Raw Data'!E878))</f>
        <v>Nevada</v>
      </c>
    </row>
    <row r="879" spans="1:17" x14ac:dyDescent="0.3">
      <c r="A879" s="3" t="str">
        <f>TRIM(Table1[[#This Row],[Employee_ID]])</f>
        <v>EMP1877</v>
      </c>
      <c r="B879" s="3" t="str">
        <f>TRIM(Table1[[#This Row],[First_Name]])</f>
        <v>Heidi</v>
      </c>
      <c r="C879" s="3" t="str">
        <f>TRIM(Table1[[#This Row],[Last_Name]])</f>
        <v>Johnson</v>
      </c>
      <c r="D879" s="3">
        <f>IF(Table1[[#This Row],[Age]]="",AVERAGE(Table1[Age]),Table1[[#This Row],[Age]])</f>
        <v>25</v>
      </c>
      <c r="E879" s="3" t="s">
        <v>159</v>
      </c>
      <c r="F879" s="3" t="s">
        <v>16</v>
      </c>
      <c r="G879" s="5">
        <f>IF(ISNUMBER('Main Project Raw Data'!G879),'Main Project Raw Data'!G879,IF(ISNUMBER(SEARCH("/",'Main Project Raw Data'!G879)),DATE(RIGHT('Main Project Raw Data'!G879,4),LEFT('Main Project Raw Data'!G879,FIND("/",'Main Project Raw Data'!G879)-1),MID('Main Project Raw Data'!G879,FIND("/",'Main Project Raw Data'!G879)+1,2)),DATE(RIGHT('Main Project Raw Data'!G879,4),MID('Main Project Raw Data'!G879,4,2),LEFT('Main Project Raw Data'!G879,2))))</f>
        <v>43837</v>
      </c>
      <c r="H879" s="3">
        <f>IF(Table1[[#This Row],[Salary]]="",AVERAGE(Table1[Salary]),Table1[[#This Row],[Salary]])</f>
        <v>99471.89</v>
      </c>
      <c r="I879" s="3" t="s">
        <v>113</v>
      </c>
      <c r="J879" s="3">
        <f>ABS(Table1[[#This Row],[Phone]])</f>
        <v>8471690617</v>
      </c>
      <c r="K879" s="3" t="str">
        <f>PROPER(TRIM(Table1[[#This Row],[Performance_Score]]))</f>
        <v>Average</v>
      </c>
      <c r="L879" s="3" t="b">
        <f>Table1[[#This Row],[Remote_Work]]</f>
        <v>1</v>
      </c>
      <c r="M879" s="3" t="str">
        <f>PROPER(CONCATENATE(Table13[[#This Row],[First_Name]], Table13[[#This Row],[Last_Name]]))</f>
        <v>Heidijohnson</v>
      </c>
      <c r="N879" s="3" t="str">
        <f t="shared" si="13"/>
        <v>Jan</v>
      </c>
      <c r="O879" s="3" t="str">
        <f>TEXT(Table13[[#This Row],[Join_Date]],"yyyy")</f>
        <v>2020</v>
      </c>
      <c r="P879" s="3" t="str">
        <f>LEFT('Main Project Raw Data'!E879,FIND("-",'Main Project Raw Data'!E879)-1)</f>
        <v>Cloud Tech</v>
      </c>
      <c r="Q879" s="3" t="str">
        <f>RIGHT('Main Project Raw Data'!E879,LEN('Main Project Raw Data'!E879)-FIND("-",'Main Project Raw Data'!E879))</f>
        <v>Texas</v>
      </c>
    </row>
    <row r="880" spans="1:17" x14ac:dyDescent="0.3">
      <c r="A880" s="3" t="str">
        <f>TRIM(Table1[[#This Row],[Employee_ID]])</f>
        <v>EMP1878</v>
      </c>
      <c r="B880" s="3" t="str">
        <f>TRIM(Table1[[#This Row],[First_Name]])</f>
        <v>Eva</v>
      </c>
      <c r="C880" s="3" t="str">
        <f>TRIM(Table1[[#This Row],[Last_Name]])</f>
        <v>Jones</v>
      </c>
      <c r="D880" s="3">
        <f>IF(Table1[[#This Row],[Age]]="",AVERAGE(Table1[Age]),Table1[[#This Row],[Age]])</f>
        <v>40</v>
      </c>
      <c r="E880" s="3" t="s">
        <v>230</v>
      </c>
      <c r="F880" s="3" t="s">
        <v>28</v>
      </c>
      <c r="G880" s="5">
        <f>IF(ISNUMBER('Main Project Raw Data'!G880),'Main Project Raw Data'!G880,IF(ISNUMBER(SEARCH("/",'Main Project Raw Data'!G880)),DATE(RIGHT('Main Project Raw Data'!G880,4),LEFT('Main Project Raw Data'!G880,FIND("/",'Main Project Raw Data'!G880)-1),MID('Main Project Raw Data'!G880,FIND("/",'Main Project Raw Data'!G880)+1,2)),DATE(RIGHT('Main Project Raw Data'!G880,4),MID('Main Project Raw Data'!G880,4,2),LEFT('Main Project Raw Data'!G880,2))))</f>
        <v>44090</v>
      </c>
      <c r="H880" s="3">
        <f>IF(Table1[[#This Row],[Salary]]="",AVERAGE(Table1[Salary]),Table1[[#This Row],[Salary]])</f>
        <v>64431.22</v>
      </c>
      <c r="I880" s="3" t="s">
        <v>277</v>
      </c>
      <c r="J880" s="3">
        <f>ABS(Table1[[#This Row],[Phone]])</f>
        <v>1205464753</v>
      </c>
      <c r="K880" s="3" t="str">
        <f>PROPER(TRIM(Table1[[#This Row],[Performance_Score]]))</f>
        <v>Poor</v>
      </c>
      <c r="L880" s="3" t="b">
        <f>Table1[[#This Row],[Remote_Work]]</f>
        <v>0</v>
      </c>
      <c r="M880" s="3" t="str">
        <f>PROPER(CONCATENATE(Table13[[#This Row],[First_Name]], Table13[[#This Row],[Last_Name]]))</f>
        <v>Evajones</v>
      </c>
      <c r="N880" s="3" t="str">
        <f t="shared" si="13"/>
        <v>Sep</v>
      </c>
      <c r="O880" s="3" t="str">
        <f>TEXT(Table13[[#This Row],[Join_Date]],"yyyy")</f>
        <v>2020</v>
      </c>
      <c r="P880" s="3" t="str">
        <f>LEFT('Main Project Raw Data'!E880,FIND("-",'Main Project Raw Data'!E880)-1)</f>
        <v>DevOps</v>
      </c>
      <c r="Q880" s="3" t="str">
        <f>RIGHT('Main Project Raw Data'!E880,LEN('Main Project Raw Data'!E880)-FIND("-",'Main Project Raw Data'!E880))</f>
        <v>Florida</v>
      </c>
    </row>
    <row r="881" spans="1:17" x14ac:dyDescent="0.3">
      <c r="A881" s="3" t="str">
        <f>TRIM(Table1[[#This Row],[Employee_ID]])</f>
        <v>EMP1879</v>
      </c>
      <c r="B881" s="3" t="str">
        <f>TRIM(Table1[[#This Row],[First_Name]])</f>
        <v>Heidi</v>
      </c>
      <c r="C881" s="3" t="str">
        <f>TRIM(Table1[[#This Row],[Last_Name]])</f>
        <v>Jones</v>
      </c>
      <c r="D881" s="3">
        <f>IF(Table1[[#This Row],[Age]]="",AVERAGE(Table1[Age]),Table1[[#This Row],[Age]])</f>
        <v>40</v>
      </c>
      <c r="E881" s="3" t="s">
        <v>196</v>
      </c>
      <c r="F881" s="3" t="s">
        <v>28</v>
      </c>
      <c r="G881" s="5">
        <f>IF(ISNUMBER('Main Project Raw Data'!G881),'Main Project Raw Data'!G881,IF(ISNUMBER(SEARCH("/",'Main Project Raw Data'!G881)),DATE(RIGHT('Main Project Raw Data'!G881,4),LEFT('Main Project Raw Data'!G881,FIND("/",'Main Project Raw Data'!G881)-1),MID('Main Project Raw Data'!G881,FIND("/",'Main Project Raw Data'!G881)+1,2)),DATE(RIGHT('Main Project Raw Data'!G881,4),MID('Main Project Raw Data'!G881,4,2),LEFT('Main Project Raw Data'!G881,2))))</f>
        <v>45247</v>
      </c>
      <c r="H881" s="3">
        <f>IF(Table1[[#This Row],[Salary]]="",AVERAGE(Table1[Salary]),Table1[[#This Row],[Salary]])</f>
        <v>52633.48</v>
      </c>
      <c r="I881" s="3" t="s">
        <v>319</v>
      </c>
      <c r="J881" s="3">
        <f>ABS(Table1[[#This Row],[Phone]])</f>
        <v>8954787697</v>
      </c>
      <c r="K881" s="3" t="str">
        <f>PROPER(TRIM(Table1[[#This Row],[Performance_Score]]))</f>
        <v>Good</v>
      </c>
      <c r="L881" s="3" t="b">
        <f>Table1[[#This Row],[Remote_Work]]</f>
        <v>0</v>
      </c>
      <c r="M881" s="3" t="str">
        <f>PROPER(CONCATENATE(Table13[[#This Row],[First_Name]], Table13[[#This Row],[Last_Name]]))</f>
        <v>Heidijones</v>
      </c>
      <c r="N881" s="3" t="str">
        <f t="shared" si="13"/>
        <v>Nov</v>
      </c>
      <c r="O881" s="3" t="str">
        <f>TEXT(Table13[[#This Row],[Join_Date]],"yyyy")</f>
        <v>2023</v>
      </c>
      <c r="P881" s="3" t="str">
        <f>LEFT('Main Project Raw Data'!E881,FIND("-",'Main Project Raw Data'!E881)-1)</f>
        <v>Admin</v>
      </c>
      <c r="Q881" s="3" t="str">
        <f>RIGHT('Main Project Raw Data'!E881,LEN('Main Project Raw Data'!E881)-FIND("-",'Main Project Raw Data'!E881))</f>
        <v>New York</v>
      </c>
    </row>
    <row r="882" spans="1:17" x14ac:dyDescent="0.3">
      <c r="A882" s="3" t="str">
        <f>TRIM(Table1[[#This Row],[Employee_ID]])</f>
        <v>EMP1880</v>
      </c>
      <c r="B882" s="3" t="str">
        <f>TRIM(Table1[[#This Row],[First_Name]])</f>
        <v>Heidi</v>
      </c>
      <c r="C882" s="3" t="str">
        <f>TRIM(Table1[[#This Row],[Last_Name]])</f>
        <v>Jones</v>
      </c>
      <c r="D882" s="3">
        <f>IF(Table1[[#This Row],[Age]]="",AVERAGE(Table1[Age]),Table1[[#This Row],[Age]])</f>
        <v>32.484548825710753</v>
      </c>
      <c r="E882" s="3" t="s">
        <v>85</v>
      </c>
      <c r="F882" s="3" t="s">
        <v>33</v>
      </c>
      <c r="G882" s="5">
        <f>IF(ISNUMBER('Main Project Raw Data'!G882),'Main Project Raw Data'!G882,IF(ISNUMBER(SEARCH("/",'Main Project Raw Data'!G882)),DATE(RIGHT('Main Project Raw Data'!G882,4),LEFT('Main Project Raw Data'!G882,FIND("/",'Main Project Raw Data'!G882)-1),MID('Main Project Raw Data'!G882,FIND("/",'Main Project Raw Data'!G882)+1,2)),DATE(RIGHT('Main Project Raw Data'!G882,4),MID('Main Project Raw Data'!G882,4,2),LEFT('Main Project Raw Data'!G882,2))))</f>
        <v>44543</v>
      </c>
      <c r="H882" s="3">
        <f>IF(Table1[[#This Row],[Salary]]="",AVERAGE(Table1[Salary]),Table1[[#This Row],[Salary]])</f>
        <v>79315.009999999995</v>
      </c>
      <c r="I882" s="3" t="s">
        <v>319</v>
      </c>
      <c r="J882" s="3">
        <f>ABS(Table1[[#This Row],[Phone]])</f>
        <v>9992751757</v>
      </c>
      <c r="K882" s="3" t="str">
        <f>PROPER(TRIM(Table1[[#This Row],[Performance_Score]]))</f>
        <v>Poor</v>
      </c>
      <c r="L882" s="3" t="b">
        <f>Table1[[#This Row],[Remote_Work]]</f>
        <v>1</v>
      </c>
      <c r="M882" s="3" t="str">
        <f>PROPER(CONCATENATE(Table13[[#This Row],[First_Name]], Table13[[#This Row],[Last_Name]]))</f>
        <v>Heidijones</v>
      </c>
      <c r="N882" s="3" t="str">
        <f t="shared" si="13"/>
        <v>Dec</v>
      </c>
      <c r="O882" s="3" t="str">
        <f>TEXT(Table13[[#This Row],[Join_Date]],"yyyy")</f>
        <v>2021</v>
      </c>
      <c r="P882" s="3" t="str">
        <f>LEFT('Main Project Raw Data'!E882,FIND("-",'Main Project Raw Data'!E882)-1)</f>
        <v>Cloud Tech</v>
      </c>
      <c r="Q882" s="3" t="str">
        <f>RIGHT('Main Project Raw Data'!E882,LEN('Main Project Raw Data'!E882)-FIND("-",'Main Project Raw Data'!E882))</f>
        <v>Nevada</v>
      </c>
    </row>
    <row r="883" spans="1:17" x14ac:dyDescent="0.3">
      <c r="A883" s="3" t="str">
        <f>TRIM(Table1[[#This Row],[Employee_ID]])</f>
        <v>EMP1881</v>
      </c>
      <c r="B883" s="3" t="str">
        <f>TRIM(Table1[[#This Row],[First_Name]])</f>
        <v>David</v>
      </c>
      <c r="C883" s="3" t="str">
        <f>TRIM(Table1[[#This Row],[Last_Name]])</f>
        <v>Miller</v>
      </c>
      <c r="D883" s="3">
        <f>IF(Table1[[#This Row],[Age]]="",AVERAGE(Table1[Age]),Table1[[#This Row],[Age]])</f>
        <v>25</v>
      </c>
      <c r="E883" s="3" t="s">
        <v>44</v>
      </c>
      <c r="F883" s="3" t="s">
        <v>28</v>
      </c>
      <c r="G883" s="5">
        <f>IF(ISNUMBER('Main Project Raw Data'!G883),'Main Project Raw Data'!G883,IF(ISNUMBER(SEARCH("/",'Main Project Raw Data'!G883)),DATE(RIGHT('Main Project Raw Data'!G883,4),LEFT('Main Project Raw Data'!G883,FIND("/",'Main Project Raw Data'!G883)-1),MID('Main Project Raw Data'!G883,FIND("/",'Main Project Raw Data'!G883)+1,2)),DATE(RIGHT('Main Project Raw Data'!G883,4),MID('Main Project Raw Data'!G883,4,2),LEFT('Main Project Raw Data'!G883,2))))</f>
        <v>44866</v>
      </c>
      <c r="H883" s="3">
        <f>IF(Table1[[#This Row],[Salary]]="",AVERAGE(Table1[Salary]),Table1[[#This Row],[Salary]])</f>
        <v>110391.17</v>
      </c>
      <c r="I883" s="3" t="s">
        <v>107</v>
      </c>
      <c r="J883" s="3">
        <f>ABS(Table1[[#This Row],[Phone]])</f>
        <v>8914444982</v>
      </c>
      <c r="K883" s="3" t="str">
        <f>PROPER(TRIM(Table1[[#This Row],[Performance_Score]]))</f>
        <v>Excellent</v>
      </c>
      <c r="L883" s="3" t="b">
        <f>Table1[[#This Row],[Remote_Work]]</f>
        <v>0</v>
      </c>
      <c r="M883" s="3" t="str">
        <f>PROPER(CONCATENATE(Table13[[#This Row],[First_Name]], Table13[[#This Row],[Last_Name]]))</f>
        <v>Davidmiller</v>
      </c>
      <c r="N883" s="3" t="str">
        <f t="shared" si="13"/>
        <v>Nov</v>
      </c>
      <c r="O883" s="3" t="str">
        <f>TEXT(Table13[[#This Row],[Join_Date]],"yyyy")</f>
        <v>2022</v>
      </c>
      <c r="P883" s="3" t="str">
        <f>LEFT('Main Project Raw Data'!E883,FIND("-",'Main Project Raw Data'!E883)-1)</f>
        <v>Sales</v>
      </c>
      <c r="Q883" s="3" t="str">
        <f>RIGHT('Main Project Raw Data'!E883,LEN('Main Project Raw Data'!E883)-FIND("-",'Main Project Raw Data'!E883))</f>
        <v>Texas</v>
      </c>
    </row>
    <row r="884" spans="1:17" x14ac:dyDescent="0.3">
      <c r="A884" s="3" t="str">
        <f>TRIM(Table1[[#This Row],[Employee_ID]])</f>
        <v>EMP1882</v>
      </c>
      <c r="B884" s="3" t="str">
        <f>TRIM(Table1[[#This Row],[First_Name]])</f>
        <v>David</v>
      </c>
      <c r="C884" s="3" t="str">
        <f>TRIM(Table1[[#This Row],[Last_Name]])</f>
        <v>Williams</v>
      </c>
      <c r="D884" s="3">
        <f>IF(Table1[[#This Row],[Age]]="",AVERAGE(Table1[Age]),Table1[[#This Row],[Age]])</f>
        <v>40</v>
      </c>
      <c r="E884" s="3" t="s">
        <v>328</v>
      </c>
      <c r="F884" s="3" t="s">
        <v>16</v>
      </c>
      <c r="G884" s="5">
        <f>IF(ISNUMBER('Main Project Raw Data'!G884),'Main Project Raw Data'!G884,IF(ISNUMBER(SEARCH("/",'Main Project Raw Data'!G884)),DATE(RIGHT('Main Project Raw Data'!G884,4),LEFT('Main Project Raw Data'!G884,FIND("/",'Main Project Raw Data'!G884)-1),MID('Main Project Raw Data'!G884,FIND("/",'Main Project Raw Data'!G884)+1,2)),DATE(RIGHT('Main Project Raw Data'!G884,4),MID('Main Project Raw Data'!G884,4,2),LEFT('Main Project Raw Data'!G884,2))))</f>
        <v>44397</v>
      </c>
      <c r="H884" s="3">
        <f>IF(Table1[[#This Row],[Salary]]="",AVERAGE(Table1[Salary]),Table1[[#This Row],[Salary]])</f>
        <v>53714.83</v>
      </c>
      <c r="I884" s="3" t="s">
        <v>61</v>
      </c>
      <c r="J884" s="3">
        <f>ABS(Table1[[#This Row],[Phone]])</f>
        <v>5539354357</v>
      </c>
      <c r="K884" s="3" t="str">
        <f>PROPER(TRIM(Table1[[#This Row],[Performance_Score]]))</f>
        <v>Excellent</v>
      </c>
      <c r="L884" s="3" t="b">
        <f>Table1[[#This Row],[Remote_Work]]</f>
        <v>1</v>
      </c>
      <c r="M884" s="3" t="str">
        <f>PROPER(CONCATENATE(Table13[[#This Row],[First_Name]], Table13[[#This Row],[Last_Name]]))</f>
        <v>Davidwilliams</v>
      </c>
      <c r="N884" s="3" t="str">
        <f t="shared" si="13"/>
        <v>Jul</v>
      </c>
      <c r="O884" s="3" t="str">
        <f>TEXT(Table13[[#This Row],[Join_Date]],"yyyy")</f>
        <v>2021</v>
      </c>
      <c r="P884" s="3" t="str">
        <f>LEFT('Main Project Raw Data'!E884,FIND("-",'Main Project Raw Data'!E884)-1)</f>
        <v>DevOps</v>
      </c>
      <c r="Q884" s="3" t="str">
        <f>RIGHT('Main Project Raw Data'!E884,LEN('Main Project Raw Data'!E884)-FIND("-",'Main Project Raw Data'!E884))</f>
        <v>Nevada</v>
      </c>
    </row>
    <row r="885" spans="1:17" x14ac:dyDescent="0.3">
      <c r="A885" s="3" t="str">
        <f>TRIM(Table1[[#This Row],[Employee_ID]])</f>
        <v>EMP1883</v>
      </c>
      <c r="B885" s="3" t="str">
        <f>TRIM(Table1[[#This Row],[First_Name]])</f>
        <v>Charlie</v>
      </c>
      <c r="C885" s="3" t="str">
        <f>TRIM(Table1[[#This Row],[Last_Name]])</f>
        <v>Garcia</v>
      </c>
      <c r="D885" s="3">
        <f>IF(Table1[[#This Row],[Age]]="",AVERAGE(Table1[Age]),Table1[[#This Row],[Age]])</f>
        <v>40</v>
      </c>
      <c r="E885" s="3" t="s">
        <v>227</v>
      </c>
      <c r="F885" s="3" t="s">
        <v>16</v>
      </c>
      <c r="G885" s="5">
        <f>IF(ISNUMBER('Main Project Raw Data'!G885),'Main Project Raw Data'!G885,IF(ISNUMBER(SEARCH("/",'Main Project Raw Data'!G885)),DATE(RIGHT('Main Project Raw Data'!G885,4),LEFT('Main Project Raw Data'!G885,FIND("/",'Main Project Raw Data'!G885)-1),MID('Main Project Raw Data'!G885,FIND("/",'Main Project Raw Data'!G885)+1,2)),DATE(RIGHT('Main Project Raw Data'!G885,4),MID('Main Project Raw Data'!G885,4,2),LEFT('Main Project Raw Data'!G885,2))))</f>
        <v>45026</v>
      </c>
      <c r="H885" s="3">
        <f>IF(Table1[[#This Row],[Salary]]="",AVERAGE(Table1[Salary]),Table1[[#This Row],[Salary]])</f>
        <v>114587.11</v>
      </c>
      <c r="I885" s="3" t="s">
        <v>87</v>
      </c>
      <c r="J885" s="3">
        <f>ABS(Table1[[#This Row],[Phone]])</f>
        <v>6449639242</v>
      </c>
      <c r="K885" s="3" t="str">
        <f>PROPER(TRIM(Table1[[#This Row],[Performance_Score]]))</f>
        <v>Excellent</v>
      </c>
      <c r="L885" s="3" t="b">
        <f>Table1[[#This Row],[Remote_Work]]</f>
        <v>1</v>
      </c>
      <c r="M885" s="3" t="str">
        <f>PROPER(CONCATENATE(Table13[[#This Row],[First_Name]], Table13[[#This Row],[Last_Name]]))</f>
        <v>Charliegarcia</v>
      </c>
      <c r="N885" s="3" t="str">
        <f t="shared" si="13"/>
        <v>Apr</v>
      </c>
      <c r="O885" s="3" t="str">
        <f>TEXT(Table13[[#This Row],[Join_Date]],"yyyy")</f>
        <v>2023</v>
      </c>
      <c r="P885" s="3" t="str">
        <f>LEFT('Main Project Raw Data'!E885,FIND("-",'Main Project Raw Data'!E885)-1)</f>
        <v>Finance</v>
      </c>
      <c r="Q885" s="3" t="str">
        <f>RIGHT('Main Project Raw Data'!E885,LEN('Main Project Raw Data'!E885)-FIND("-",'Main Project Raw Data'!E885))</f>
        <v>New York</v>
      </c>
    </row>
    <row r="886" spans="1:17" x14ac:dyDescent="0.3">
      <c r="A886" s="3" t="str">
        <f>TRIM(Table1[[#This Row],[Employee_ID]])</f>
        <v>EMP1884</v>
      </c>
      <c r="B886" s="3" t="str">
        <f>TRIM(Table1[[#This Row],[First_Name]])</f>
        <v>Frank</v>
      </c>
      <c r="C886" s="3" t="str">
        <f>TRIM(Table1[[#This Row],[Last_Name]])</f>
        <v>Garcia</v>
      </c>
      <c r="D886" s="3">
        <f>IF(Table1[[#This Row],[Age]]="",AVERAGE(Table1[Age]),Table1[[#This Row],[Age]])</f>
        <v>35</v>
      </c>
      <c r="E886" s="3" t="s">
        <v>205</v>
      </c>
      <c r="F886" s="3" t="s">
        <v>33</v>
      </c>
      <c r="G886" s="5">
        <f>IF(ISNUMBER('Main Project Raw Data'!G886),'Main Project Raw Data'!G886,IF(ISNUMBER(SEARCH("/",'Main Project Raw Data'!G886)),DATE(RIGHT('Main Project Raw Data'!G886,4),LEFT('Main Project Raw Data'!G886,FIND("/",'Main Project Raw Data'!G886)-1),MID('Main Project Raw Data'!G886,FIND("/",'Main Project Raw Data'!G886)+1,2)),DATE(RIGHT('Main Project Raw Data'!G886,4),MID('Main Project Raw Data'!G886,4,2),LEFT('Main Project Raw Data'!G886,2))))</f>
        <v>44515</v>
      </c>
      <c r="H886" s="3">
        <f>IF(Table1[[#This Row],[Salary]]="",AVERAGE(Table1[Salary]),Table1[[#This Row],[Salary]])</f>
        <v>93177.35</v>
      </c>
      <c r="I886" s="3" t="s">
        <v>180</v>
      </c>
      <c r="J886" s="3">
        <f>ABS(Table1[[#This Row],[Phone]])</f>
        <v>5885379820</v>
      </c>
      <c r="K886" s="3" t="str">
        <f>PROPER(TRIM(Table1[[#This Row],[Performance_Score]]))</f>
        <v>Average</v>
      </c>
      <c r="L886" s="3" t="b">
        <f>Table1[[#This Row],[Remote_Work]]</f>
        <v>0</v>
      </c>
      <c r="M886" s="3" t="str">
        <f>PROPER(CONCATENATE(Table13[[#This Row],[First_Name]], Table13[[#This Row],[Last_Name]]))</f>
        <v>Frankgarcia</v>
      </c>
      <c r="N886" s="3" t="str">
        <f t="shared" si="13"/>
        <v>Nov</v>
      </c>
      <c r="O886" s="3" t="str">
        <f>TEXT(Table13[[#This Row],[Join_Date]],"yyyy")</f>
        <v>2021</v>
      </c>
      <c r="P886" s="3" t="str">
        <f>LEFT('Main Project Raw Data'!E886,FIND("-",'Main Project Raw Data'!E886)-1)</f>
        <v>Admin</v>
      </c>
      <c r="Q886" s="3" t="str">
        <f>RIGHT('Main Project Raw Data'!E886,LEN('Main Project Raw Data'!E886)-FIND("-",'Main Project Raw Data'!E886))</f>
        <v>Florida</v>
      </c>
    </row>
    <row r="887" spans="1:17" x14ac:dyDescent="0.3">
      <c r="A887" s="3" t="str">
        <f>TRIM(Table1[[#This Row],[Employee_ID]])</f>
        <v>EMP1885</v>
      </c>
      <c r="B887" s="3" t="str">
        <f>TRIM(Table1[[#This Row],[First_Name]])</f>
        <v>Heidi</v>
      </c>
      <c r="C887" s="3" t="str">
        <f>TRIM(Table1[[#This Row],[Last_Name]])</f>
        <v>Jones</v>
      </c>
      <c r="D887" s="3">
        <f>IF(Table1[[#This Row],[Age]]="",AVERAGE(Table1[Age]),Table1[[#This Row],[Age]])</f>
        <v>25</v>
      </c>
      <c r="E887" s="3" t="s">
        <v>85</v>
      </c>
      <c r="F887" s="3" t="s">
        <v>16</v>
      </c>
      <c r="G887" s="5">
        <f>IF(ISNUMBER('Main Project Raw Data'!G887),'Main Project Raw Data'!G887,IF(ISNUMBER(SEARCH("/",'Main Project Raw Data'!G887)),DATE(RIGHT('Main Project Raw Data'!G887,4),LEFT('Main Project Raw Data'!G887,FIND("/",'Main Project Raw Data'!G887)-1),MID('Main Project Raw Data'!G887,FIND("/",'Main Project Raw Data'!G887)+1,2)),DATE(RIGHT('Main Project Raw Data'!G887,4),MID('Main Project Raw Data'!G887,4,2),LEFT('Main Project Raw Data'!G887,2))))</f>
        <v>45047</v>
      </c>
      <c r="H887" s="3">
        <f>IF(Table1[[#This Row],[Salary]]="",AVERAGE(Table1[Salary]),Table1[[#This Row],[Salary]])</f>
        <v>62312.13</v>
      </c>
      <c r="I887" s="3" t="s">
        <v>319</v>
      </c>
      <c r="J887" s="3">
        <f>ABS(Table1[[#This Row],[Phone]])</f>
        <v>4339527535</v>
      </c>
      <c r="K887" s="3" t="str">
        <f>PROPER(TRIM(Table1[[#This Row],[Performance_Score]]))</f>
        <v>Good</v>
      </c>
      <c r="L887" s="3" t="b">
        <f>Table1[[#This Row],[Remote_Work]]</f>
        <v>0</v>
      </c>
      <c r="M887" s="3" t="str">
        <f>PROPER(CONCATENATE(Table13[[#This Row],[First_Name]], Table13[[#This Row],[Last_Name]]))</f>
        <v>Heidijones</v>
      </c>
      <c r="N887" s="3" t="str">
        <f t="shared" si="13"/>
        <v>May</v>
      </c>
      <c r="O887" s="3" t="str">
        <f>TEXT(Table13[[#This Row],[Join_Date]],"yyyy")</f>
        <v>2023</v>
      </c>
      <c r="P887" s="3" t="str">
        <f>LEFT('Main Project Raw Data'!E887,FIND("-",'Main Project Raw Data'!E887)-1)</f>
        <v>Cloud Tech</v>
      </c>
      <c r="Q887" s="3" t="str">
        <f>RIGHT('Main Project Raw Data'!E887,LEN('Main Project Raw Data'!E887)-FIND("-",'Main Project Raw Data'!E887))</f>
        <v>Nevada</v>
      </c>
    </row>
    <row r="888" spans="1:17" x14ac:dyDescent="0.3">
      <c r="A888" s="3" t="str">
        <f>TRIM(Table1[[#This Row],[Employee_ID]])</f>
        <v>EMP1886</v>
      </c>
      <c r="B888" s="3" t="str">
        <f>TRIM(Table1[[#This Row],[First_Name]])</f>
        <v>Heidi</v>
      </c>
      <c r="C888" s="3" t="str">
        <f>TRIM(Table1[[#This Row],[Last_Name]])</f>
        <v>Smith</v>
      </c>
      <c r="D888" s="3">
        <f>IF(Table1[[#This Row],[Age]]="",AVERAGE(Table1[Age]),Table1[[#This Row],[Age]])</f>
        <v>32.484548825710753</v>
      </c>
      <c r="E888" s="3" t="s">
        <v>159</v>
      </c>
      <c r="F888" s="3" t="s">
        <v>16</v>
      </c>
      <c r="G888" s="5">
        <f>IF(ISNUMBER('Main Project Raw Data'!G888),'Main Project Raw Data'!G888,IF(ISNUMBER(SEARCH("/",'Main Project Raw Data'!G888)),DATE(RIGHT('Main Project Raw Data'!G888,4),LEFT('Main Project Raw Data'!G888,FIND("/",'Main Project Raw Data'!G888)-1),MID('Main Project Raw Data'!G888,FIND("/",'Main Project Raw Data'!G888)+1,2)),DATE(RIGHT('Main Project Raw Data'!G888,4),MID('Main Project Raw Data'!G888,4,2),LEFT('Main Project Raw Data'!G888,2))))</f>
        <v>45308</v>
      </c>
      <c r="H888" s="3">
        <f>IF(Table1[[#This Row],[Salary]]="",AVERAGE(Table1[Salary]),Table1[[#This Row],[Salary]])</f>
        <v>81137.460000000006</v>
      </c>
      <c r="I888" s="3" t="s">
        <v>366</v>
      </c>
      <c r="J888" s="3">
        <f>ABS(Table1[[#This Row],[Phone]])</f>
        <v>7497852490</v>
      </c>
      <c r="K888" s="3" t="str">
        <f>PROPER(TRIM(Table1[[#This Row],[Performance_Score]]))</f>
        <v>Excellent</v>
      </c>
      <c r="L888" s="3" t="b">
        <f>Table1[[#This Row],[Remote_Work]]</f>
        <v>0</v>
      </c>
      <c r="M888" s="3" t="str">
        <f>PROPER(CONCATENATE(Table13[[#This Row],[First_Name]], Table13[[#This Row],[Last_Name]]))</f>
        <v>Heidismith</v>
      </c>
      <c r="N888" s="3" t="str">
        <f t="shared" si="13"/>
        <v>Jan</v>
      </c>
      <c r="O888" s="3" t="str">
        <f>TEXT(Table13[[#This Row],[Join_Date]],"yyyy")</f>
        <v>2024</v>
      </c>
      <c r="P888" s="3" t="str">
        <f>LEFT('Main Project Raw Data'!E888,FIND("-",'Main Project Raw Data'!E888)-1)</f>
        <v>Cloud Tech</v>
      </c>
      <c r="Q888" s="3" t="str">
        <f>RIGHT('Main Project Raw Data'!E888,LEN('Main Project Raw Data'!E888)-FIND("-",'Main Project Raw Data'!E888))</f>
        <v>Texas</v>
      </c>
    </row>
    <row r="889" spans="1:17" x14ac:dyDescent="0.3">
      <c r="A889" s="3" t="str">
        <f>TRIM(Table1[[#This Row],[Employee_ID]])</f>
        <v>EMP1887</v>
      </c>
      <c r="B889" s="3" t="str">
        <f>TRIM(Table1[[#This Row],[First_Name]])</f>
        <v>Grace</v>
      </c>
      <c r="C889" s="3" t="str">
        <f>TRIM(Table1[[#This Row],[Last_Name]])</f>
        <v>Miller</v>
      </c>
      <c r="D889" s="3">
        <f>IF(Table1[[#This Row],[Age]]="",AVERAGE(Table1[Age]),Table1[[#This Row],[Age]])</f>
        <v>30</v>
      </c>
      <c r="E889" s="3" t="s">
        <v>328</v>
      </c>
      <c r="F889" s="3" t="s">
        <v>33</v>
      </c>
      <c r="G889" s="5">
        <f>IF(ISNUMBER('Main Project Raw Data'!G889),'Main Project Raw Data'!G889,IF(ISNUMBER(SEARCH("/",'Main Project Raw Data'!G889)),DATE(RIGHT('Main Project Raw Data'!G889,4),LEFT('Main Project Raw Data'!G889,FIND("/",'Main Project Raw Data'!G889)-1),MID('Main Project Raw Data'!G889,FIND("/",'Main Project Raw Data'!G889)+1,2)),DATE(RIGHT('Main Project Raw Data'!G889,4),MID('Main Project Raw Data'!G889,4,2),LEFT('Main Project Raw Data'!G889,2))))</f>
        <v>44302</v>
      </c>
      <c r="H889" s="3">
        <f>IF(Table1[[#This Row],[Salary]]="",AVERAGE(Table1[Salary]),Table1[[#This Row],[Salary]])</f>
        <v>104528.27</v>
      </c>
      <c r="I889" s="3" t="s">
        <v>168</v>
      </c>
      <c r="J889" s="3">
        <f>ABS(Table1[[#This Row],[Phone]])</f>
        <v>4168601346</v>
      </c>
      <c r="K889" s="3" t="str">
        <f>PROPER(TRIM(Table1[[#This Row],[Performance_Score]]))</f>
        <v>Excellent</v>
      </c>
      <c r="L889" s="3" t="b">
        <f>Table1[[#This Row],[Remote_Work]]</f>
        <v>0</v>
      </c>
      <c r="M889" s="3" t="str">
        <f>PROPER(CONCATENATE(Table13[[#This Row],[First_Name]], Table13[[#This Row],[Last_Name]]))</f>
        <v>Gracemiller</v>
      </c>
      <c r="N889" s="3" t="str">
        <f t="shared" si="13"/>
        <v>Apr</v>
      </c>
      <c r="O889" s="3" t="str">
        <f>TEXT(Table13[[#This Row],[Join_Date]],"yyyy")</f>
        <v>2021</v>
      </c>
      <c r="P889" s="3" t="str">
        <f>LEFT('Main Project Raw Data'!E889,FIND("-",'Main Project Raw Data'!E889)-1)</f>
        <v>DevOps</v>
      </c>
      <c r="Q889" s="3" t="str">
        <f>RIGHT('Main Project Raw Data'!E889,LEN('Main Project Raw Data'!E889)-FIND("-",'Main Project Raw Data'!E889))</f>
        <v>Nevada</v>
      </c>
    </row>
    <row r="890" spans="1:17" x14ac:dyDescent="0.3">
      <c r="A890" s="3" t="str">
        <f>TRIM(Table1[[#This Row],[Employee_ID]])</f>
        <v>EMP1888</v>
      </c>
      <c r="B890" s="3" t="str">
        <f>TRIM(Table1[[#This Row],[First_Name]])</f>
        <v>Bob</v>
      </c>
      <c r="C890" s="3" t="str">
        <f>TRIM(Table1[[#This Row],[Last_Name]])</f>
        <v>Brown</v>
      </c>
      <c r="D890" s="3">
        <f>IF(Table1[[#This Row],[Age]]="",AVERAGE(Table1[Age]),Table1[[#This Row],[Age]])</f>
        <v>30</v>
      </c>
      <c r="E890" s="3" t="s">
        <v>230</v>
      </c>
      <c r="F890" s="3" t="s">
        <v>16</v>
      </c>
      <c r="G890" s="5">
        <f>IF(ISNUMBER('Main Project Raw Data'!G890),'Main Project Raw Data'!G890,IF(ISNUMBER(SEARCH("/",'Main Project Raw Data'!G890)),DATE(RIGHT('Main Project Raw Data'!G890,4),LEFT('Main Project Raw Data'!G890,FIND("/",'Main Project Raw Data'!G890)-1),MID('Main Project Raw Data'!G890,FIND("/",'Main Project Raw Data'!G890)+1,2)),DATE(RIGHT('Main Project Raw Data'!G890,4),MID('Main Project Raw Data'!G890,4,2),LEFT('Main Project Raw Data'!G890,2))))</f>
        <v>44775</v>
      </c>
      <c r="H890" s="3">
        <f>IF(Table1[[#This Row],[Salary]]="",AVERAGE(Table1[Salary]),Table1[[#This Row],[Salary]])</f>
        <v>112395.56</v>
      </c>
      <c r="I890" s="3" t="s">
        <v>22</v>
      </c>
      <c r="J890" s="3">
        <f>ABS(Table1[[#This Row],[Phone]])</f>
        <v>7894896339</v>
      </c>
      <c r="K890" s="3" t="str">
        <f>PROPER(TRIM(Table1[[#This Row],[Performance_Score]]))</f>
        <v>Good</v>
      </c>
      <c r="L890" s="3" t="b">
        <f>Table1[[#This Row],[Remote_Work]]</f>
        <v>0</v>
      </c>
      <c r="M890" s="3" t="str">
        <f>PROPER(CONCATENATE(Table13[[#This Row],[First_Name]], Table13[[#This Row],[Last_Name]]))</f>
        <v>Bobbrown</v>
      </c>
      <c r="N890" s="3" t="str">
        <f t="shared" si="13"/>
        <v>Aug</v>
      </c>
      <c r="O890" s="3" t="str">
        <f>TEXT(Table13[[#This Row],[Join_Date]],"yyyy")</f>
        <v>2022</v>
      </c>
      <c r="P890" s="3" t="str">
        <f>LEFT('Main Project Raw Data'!E890,FIND("-",'Main Project Raw Data'!E890)-1)</f>
        <v>DevOps</v>
      </c>
      <c r="Q890" s="3" t="str">
        <f>RIGHT('Main Project Raw Data'!E890,LEN('Main Project Raw Data'!E890)-FIND("-",'Main Project Raw Data'!E890))</f>
        <v>Florida</v>
      </c>
    </row>
    <row r="891" spans="1:17" x14ac:dyDescent="0.3">
      <c r="A891" s="3" t="str">
        <f>TRIM(Table1[[#This Row],[Employee_ID]])</f>
        <v>EMP1889</v>
      </c>
      <c r="B891" s="3" t="str">
        <f>TRIM(Table1[[#This Row],[First_Name]])</f>
        <v>Heidi</v>
      </c>
      <c r="C891" s="3" t="str">
        <f>TRIM(Table1[[#This Row],[Last_Name]])</f>
        <v>Smith</v>
      </c>
      <c r="D891" s="3">
        <f>IF(Table1[[#This Row],[Age]]="",AVERAGE(Table1[Age]),Table1[[#This Row],[Age]])</f>
        <v>25</v>
      </c>
      <c r="E891" s="3" t="s">
        <v>227</v>
      </c>
      <c r="F891" s="3" t="s">
        <v>16</v>
      </c>
      <c r="G891" s="5">
        <f>IF(ISNUMBER('Main Project Raw Data'!G891),'Main Project Raw Data'!G891,IF(ISNUMBER(SEARCH("/",'Main Project Raw Data'!G891)),DATE(RIGHT('Main Project Raw Data'!G891,4),LEFT('Main Project Raw Data'!G891,FIND("/",'Main Project Raw Data'!G891)-1),MID('Main Project Raw Data'!G891,FIND("/",'Main Project Raw Data'!G891)+1,2)),DATE(RIGHT('Main Project Raw Data'!G891,4),MID('Main Project Raw Data'!G891,4,2),LEFT('Main Project Raw Data'!G891,2))))</f>
        <v>44963</v>
      </c>
      <c r="H891" s="3">
        <f>IF(Table1[[#This Row],[Salary]]="",AVERAGE(Table1[Salary]),Table1[[#This Row],[Salary]])</f>
        <v>81849.36</v>
      </c>
      <c r="I891" s="3" t="s">
        <v>366</v>
      </c>
      <c r="J891" s="3">
        <f>ABS(Table1[[#This Row],[Phone]])</f>
        <v>6791766511</v>
      </c>
      <c r="K891" s="3" t="str">
        <f>PROPER(TRIM(Table1[[#This Row],[Performance_Score]]))</f>
        <v>Excellent</v>
      </c>
      <c r="L891" s="3" t="b">
        <f>Table1[[#This Row],[Remote_Work]]</f>
        <v>0</v>
      </c>
      <c r="M891" s="3" t="str">
        <f>PROPER(CONCATENATE(Table13[[#This Row],[First_Name]], Table13[[#This Row],[Last_Name]]))</f>
        <v>Heidismith</v>
      </c>
      <c r="N891" s="3" t="str">
        <f t="shared" si="13"/>
        <v>Feb</v>
      </c>
      <c r="O891" s="3" t="str">
        <f>TEXT(Table13[[#This Row],[Join_Date]],"yyyy")</f>
        <v>2023</v>
      </c>
      <c r="P891" s="3" t="str">
        <f>LEFT('Main Project Raw Data'!E891,FIND("-",'Main Project Raw Data'!E891)-1)</f>
        <v>Finance</v>
      </c>
      <c r="Q891" s="3" t="str">
        <f>RIGHT('Main Project Raw Data'!E891,LEN('Main Project Raw Data'!E891)-FIND("-",'Main Project Raw Data'!E891))</f>
        <v>New York</v>
      </c>
    </row>
    <row r="892" spans="1:17" x14ac:dyDescent="0.3">
      <c r="A892" s="3" t="str">
        <f>TRIM(Table1[[#This Row],[Employee_ID]])</f>
        <v>EMP1890</v>
      </c>
      <c r="B892" s="3" t="str">
        <f>TRIM(Table1[[#This Row],[First_Name]])</f>
        <v>Charlie</v>
      </c>
      <c r="C892" s="3" t="str">
        <f>TRIM(Table1[[#This Row],[Last_Name]])</f>
        <v>Davis</v>
      </c>
      <c r="D892" s="3">
        <f>IF(Table1[[#This Row],[Age]]="",AVERAGE(Table1[Age]),Table1[[#This Row],[Age]])</f>
        <v>40</v>
      </c>
      <c r="E892" s="3" t="s">
        <v>56</v>
      </c>
      <c r="F892" s="3" t="s">
        <v>28</v>
      </c>
      <c r="G892" s="5">
        <f>IF(ISNUMBER('Main Project Raw Data'!G892),'Main Project Raw Data'!G892,IF(ISNUMBER(SEARCH("/",'Main Project Raw Data'!G892)),DATE(RIGHT('Main Project Raw Data'!G892,4),LEFT('Main Project Raw Data'!G892,FIND("/",'Main Project Raw Data'!G892)-1),MID('Main Project Raw Data'!G892,FIND("/",'Main Project Raw Data'!G892)+1,2)),DATE(RIGHT('Main Project Raw Data'!G892,4),MID('Main Project Raw Data'!G892,4,2),LEFT('Main Project Raw Data'!G892,2))))</f>
        <v>44652</v>
      </c>
      <c r="H892" s="3">
        <f>IF(Table1[[#This Row],[Salary]]="",AVERAGE(Table1[Salary]),Table1[[#This Row],[Salary]])</f>
        <v>118288.91</v>
      </c>
      <c r="I892" s="3" t="s">
        <v>170</v>
      </c>
      <c r="J892" s="3">
        <f>ABS(Table1[[#This Row],[Phone]])</f>
        <v>2150014187</v>
      </c>
      <c r="K892" s="3" t="str">
        <f>PROPER(TRIM(Table1[[#This Row],[Performance_Score]]))</f>
        <v>Poor</v>
      </c>
      <c r="L892" s="3" t="b">
        <f>Table1[[#This Row],[Remote_Work]]</f>
        <v>0</v>
      </c>
      <c r="M892" s="3" t="str">
        <f>PROPER(CONCATENATE(Table13[[#This Row],[First_Name]], Table13[[#This Row],[Last_Name]]))</f>
        <v>Charliedavis</v>
      </c>
      <c r="N892" s="3" t="str">
        <f t="shared" si="13"/>
        <v>Apr</v>
      </c>
      <c r="O892" s="3" t="str">
        <f>TEXT(Table13[[#This Row],[Join_Date]],"yyyy")</f>
        <v>2022</v>
      </c>
      <c r="P892" s="3" t="str">
        <f>LEFT('Main Project Raw Data'!E892,FIND("-",'Main Project Raw Data'!E892)-1)</f>
        <v>DevOps</v>
      </c>
      <c r="Q892" s="3" t="str">
        <f>RIGHT('Main Project Raw Data'!E892,LEN('Main Project Raw Data'!E892)-FIND("-",'Main Project Raw Data'!E892))</f>
        <v>New York</v>
      </c>
    </row>
    <row r="893" spans="1:17" x14ac:dyDescent="0.3">
      <c r="A893" s="3" t="str">
        <f>TRIM(Table1[[#This Row],[Employee_ID]])</f>
        <v>EMP1891</v>
      </c>
      <c r="B893" s="3" t="str">
        <f>TRIM(Table1[[#This Row],[First_Name]])</f>
        <v>Charlie</v>
      </c>
      <c r="C893" s="3" t="str">
        <f>TRIM(Table1[[#This Row],[Last_Name]])</f>
        <v>Davis</v>
      </c>
      <c r="D893" s="3">
        <f>IF(Table1[[#This Row],[Age]]="",AVERAGE(Table1[Age]),Table1[[#This Row],[Age]])</f>
        <v>25</v>
      </c>
      <c r="E893" s="3" t="s">
        <v>78</v>
      </c>
      <c r="F893" s="3" t="s">
        <v>16</v>
      </c>
      <c r="G893" s="5">
        <f>IF(ISNUMBER('Main Project Raw Data'!G893),'Main Project Raw Data'!G893,IF(ISNUMBER(SEARCH("/",'Main Project Raw Data'!G893)),DATE(RIGHT('Main Project Raw Data'!G893,4),LEFT('Main Project Raw Data'!G893,FIND("/",'Main Project Raw Data'!G893)-1),MID('Main Project Raw Data'!G893,FIND("/",'Main Project Raw Data'!G893)+1,2)),DATE(RIGHT('Main Project Raw Data'!G893,4),MID('Main Project Raw Data'!G893,4,2),LEFT('Main Project Raw Data'!G893,2))))</f>
        <v>44405</v>
      </c>
      <c r="H893" s="3">
        <f>IF(Table1[[#This Row],[Salary]]="",AVERAGE(Table1[Salary]),Table1[[#This Row],[Salary]])</f>
        <v>59555.1</v>
      </c>
      <c r="I893" s="3" t="s">
        <v>170</v>
      </c>
      <c r="J893" s="3">
        <f>ABS(Table1[[#This Row],[Phone]])</f>
        <v>4216309000</v>
      </c>
      <c r="K893" s="3" t="str">
        <f>PROPER(TRIM(Table1[[#This Row],[Performance_Score]]))</f>
        <v>Good</v>
      </c>
      <c r="L893" s="3" t="b">
        <f>Table1[[#This Row],[Remote_Work]]</f>
        <v>1</v>
      </c>
      <c r="M893" s="3" t="str">
        <f>PROPER(CONCATENATE(Table13[[#This Row],[First_Name]], Table13[[#This Row],[Last_Name]]))</f>
        <v>Charliedavis</v>
      </c>
      <c r="N893" s="3" t="str">
        <f t="shared" si="13"/>
        <v>Jul</v>
      </c>
      <c r="O893" s="3" t="str">
        <f>TEXT(Table13[[#This Row],[Join_Date]],"yyyy")</f>
        <v>2021</v>
      </c>
      <c r="P893" s="3" t="str">
        <f>LEFT('Main Project Raw Data'!E893,FIND("-",'Main Project Raw Data'!E893)-1)</f>
        <v>DevOps</v>
      </c>
      <c r="Q893" s="3" t="str">
        <f>RIGHT('Main Project Raw Data'!E893,LEN('Main Project Raw Data'!E893)-FIND("-",'Main Project Raw Data'!E893))</f>
        <v>Illinois</v>
      </c>
    </row>
    <row r="894" spans="1:17" x14ac:dyDescent="0.3">
      <c r="A894" s="3" t="str">
        <f>TRIM(Table1[[#This Row],[Employee_ID]])</f>
        <v>EMP1892</v>
      </c>
      <c r="B894" s="3" t="str">
        <f>TRIM(Table1[[#This Row],[First_Name]])</f>
        <v>Heidi</v>
      </c>
      <c r="C894" s="3" t="str">
        <f>TRIM(Table1[[#This Row],[Last_Name]])</f>
        <v>Smith</v>
      </c>
      <c r="D894" s="3">
        <f>IF(Table1[[#This Row],[Age]]="",AVERAGE(Table1[Age]),Table1[[#This Row],[Age]])</f>
        <v>40</v>
      </c>
      <c r="E894" s="3" t="s">
        <v>118</v>
      </c>
      <c r="F894" s="3" t="s">
        <v>16</v>
      </c>
      <c r="G894" s="5">
        <f>IF(ISNUMBER('Main Project Raw Data'!G894),'Main Project Raw Data'!G894,IF(ISNUMBER(SEARCH("/",'Main Project Raw Data'!G894)),DATE(RIGHT('Main Project Raw Data'!G894,4),LEFT('Main Project Raw Data'!G894,FIND("/",'Main Project Raw Data'!G894)-1),MID('Main Project Raw Data'!G894,FIND("/",'Main Project Raw Data'!G894)+1,2)),DATE(RIGHT('Main Project Raw Data'!G894,4),MID('Main Project Raw Data'!G894,4,2),LEFT('Main Project Raw Data'!G894,2))))</f>
        <v>45646</v>
      </c>
      <c r="H894" s="3">
        <f>IF(Table1[[#This Row],[Salary]]="",AVERAGE(Table1[Salary]),Table1[[#This Row],[Salary]])</f>
        <v>70661.31</v>
      </c>
      <c r="I894" s="3" t="s">
        <v>366</v>
      </c>
      <c r="J894" s="3">
        <f>ABS(Table1[[#This Row],[Phone]])</f>
        <v>5944633398</v>
      </c>
      <c r="K894" s="3" t="str">
        <f>PROPER(TRIM(Table1[[#This Row],[Performance_Score]]))</f>
        <v>Good</v>
      </c>
      <c r="L894" s="3" t="b">
        <f>Table1[[#This Row],[Remote_Work]]</f>
        <v>1</v>
      </c>
      <c r="M894" s="3" t="str">
        <f>PROPER(CONCATENATE(Table13[[#This Row],[First_Name]], Table13[[#This Row],[Last_Name]]))</f>
        <v>Heidismith</v>
      </c>
      <c r="N894" s="3" t="str">
        <f t="shared" si="13"/>
        <v>Dec</v>
      </c>
      <c r="O894" s="3" t="str">
        <f>TEXT(Table13[[#This Row],[Join_Date]],"yyyy")</f>
        <v>2024</v>
      </c>
      <c r="P894" s="3" t="str">
        <f>LEFT('Main Project Raw Data'!E894,FIND("-",'Main Project Raw Data'!E894)-1)</f>
        <v>Admin</v>
      </c>
      <c r="Q894" s="3" t="str">
        <f>RIGHT('Main Project Raw Data'!E894,LEN('Main Project Raw Data'!E894)-FIND("-",'Main Project Raw Data'!E894))</f>
        <v>California</v>
      </c>
    </row>
    <row r="895" spans="1:17" x14ac:dyDescent="0.3">
      <c r="A895" s="3" t="str">
        <f>TRIM(Table1[[#This Row],[Employee_ID]])</f>
        <v>EMP1893</v>
      </c>
      <c r="B895" s="3" t="str">
        <f>TRIM(Table1[[#This Row],[First_Name]])</f>
        <v>Charlie</v>
      </c>
      <c r="C895" s="3" t="str">
        <f>TRIM(Table1[[#This Row],[Last_Name]])</f>
        <v>Jones</v>
      </c>
      <c r="D895" s="3">
        <f>IF(Table1[[#This Row],[Age]]="",AVERAGE(Table1[Age]),Table1[[#This Row],[Age]])</f>
        <v>32.484548825710753</v>
      </c>
      <c r="E895" s="3" t="s">
        <v>109</v>
      </c>
      <c r="F895" s="3" t="s">
        <v>16</v>
      </c>
      <c r="G895" s="5">
        <f>IF(ISNUMBER('Main Project Raw Data'!G895),'Main Project Raw Data'!G895,IF(ISNUMBER(SEARCH("/",'Main Project Raw Data'!G895)),DATE(RIGHT('Main Project Raw Data'!G895,4),LEFT('Main Project Raw Data'!G895,FIND("/",'Main Project Raw Data'!G895)-1),MID('Main Project Raw Data'!G895,FIND("/",'Main Project Raw Data'!G895)+1,2)),DATE(RIGHT('Main Project Raw Data'!G895,4),MID('Main Project Raw Data'!G895,4,2),LEFT('Main Project Raw Data'!G895,2))))</f>
        <v>44674</v>
      </c>
      <c r="H895" s="3">
        <f>IF(Table1[[#This Row],[Salary]]="",AVERAGE(Table1[Salary]),Table1[[#This Row],[Salary]])</f>
        <v>109988.16</v>
      </c>
      <c r="I895" s="3" t="s">
        <v>120</v>
      </c>
      <c r="J895" s="3">
        <f>ABS(Table1[[#This Row],[Phone]])</f>
        <v>9485320894</v>
      </c>
      <c r="K895" s="3" t="str">
        <f>PROPER(TRIM(Table1[[#This Row],[Performance_Score]]))</f>
        <v>Good</v>
      </c>
      <c r="L895" s="3" t="b">
        <f>Table1[[#This Row],[Remote_Work]]</f>
        <v>1</v>
      </c>
      <c r="M895" s="3" t="str">
        <f>PROPER(CONCATENATE(Table13[[#This Row],[First_Name]], Table13[[#This Row],[Last_Name]]))</f>
        <v>Charliejones</v>
      </c>
      <c r="N895" s="3" t="str">
        <f t="shared" si="13"/>
        <v>Apr</v>
      </c>
      <c r="O895" s="3" t="str">
        <f>TEXT(Table13[[#This Row],[Join_Date]],"yyyy")</f>
        <v>2022</v>
      </c>
      <c r="P895" s="3" t="str">
        <f>LEFT('Main Project Raw Data'!E895,FIND("-",'Main Project Raw Data'!E895)-1)</f>
        <v>Sales</v>
      </c>
      <c r="Q895" s="3" t="str">
        <f>RIGHT('Main Project Raw Data'!E895,LEN('Main Project Raw Data'!E895)-FIND("-",'Main Project Raw Data'!E895))</f>
        <v>New York</v>
      </c>
    </row>
    <row r="896" spans="1:17" x14ac:dyDescent="0.3">
      <c r="A896" s="3" t="str">
        <f>TRIM(Table1[[#This Row],[Employee_ID]])</f>
        <v>EMP1894</v>
      </c>
      <c r="B896" s="3" t="str">
        <f>TRIM(Table1[[#This Row],[First_Name]])</f>
        <v>David</v>
      </c>
      <c r="C896" s="3" t="str">
        <f>TRIM(Table1[[#This Row],[Last_Name]])</f>
        <v>Brown</v>
      </c>
      <c r="D896" s="3">
        <f>IF(Table1[[#This Row],[Age]]="",AVERAGE(Table1[Age]),Table1[[#This Row],[Age]])</f>
        <v>32.484548825710753</v>
      </c>
      <c r="E896" s="3" t="s">
        <v>112</v>
      </c>
      <c r="F896" s="3" t="s">
        <v>33</v>
      </c>
      <c r="G896" s="5">
        <f>IF(ISNUMBER('Main Project Raw Data'!G896),'Main Project Raw Data'!G896,IF(ISNUMBER(SEARCH("/",'Main Project Raw Data'!G896)),DATE(RIGHT('Main Project Raw Data'!G896,4),LEFT('Main Project Raw Data'!G896,FIND("/",'Main Project Raw Data'!G896)-1),MID('Main Project Raw Data'!G896,FIND("/",'Main Project Raw Data'!G896)+1,2)),DATE(RIGHT('Main Project Raw Data'!G896,4),MID('Main Project Raw Data'!G896,4,2),LEFT('Main Project Raw Data'!G896,2))))</f>
        <v>43860</v>
      </c>
      <c r="H896" s="3">
        <f>IF(Table1[[#This Row],[Salary]]="",AVERAGE(Table1[Salary]),Table1[[#This Row],[Salary]])</f>
        <v>101101.24</v>
      </c>
      <c r="I896" s="3" t="s">
        <v>225</v>
      </c>
      <c r="J896" s="3">
        <f>ABS(Table1[[#This Row],[Phone]])</f>
        <v>3263890218</v>
      </c>
      <c r="K896" s="3" t="str">
        <f>PROPER(TRIM(Table1[[#This Row],[Performance_Score]]))</f>
        <v>Poor</v>
      </c>
      <c r="L896" s="3" t="b">
        <f>Table1[[#This Row],[Remote_Work]]</f>
        <v>1</v>
      </c>
      <c r="M896" s="3" t="str">
        <f>PROPER(CONCATENATE(Table13[[#This Row],[First_Name]], Table13[[#This Row],[Last_Name]]))</f>
        <v>Davidbrown</v>
      </c>
      <c r="N896" s="3" t="str">
        <f t="shared" si="13"/>
        <v>Jan</v>
      </c>
      <c r="O896" s="3" t="str">
        <f>TEXT(Table13[[#This Row],[Join_Date]],"yyyy")</f>
        <v>2020</v>
      </c>
      <c r="P896" s="3" t="str">
        <f>LEFT('Main Project Raw Data'!E896,FIND("-",'Main Project Raw Data'!E896)-1)</f>
        <v>Finance</v>
      </c>
      <c r="Q896" s="3" t="str">
        <f>RIGHT('Main Project Raw Data'!E896,LEN('Main Project Raw Data'!E896)-FIND("-",'Main Project Raw Data'!E896))</f>
        <v>Florida</v>
      </c>
    </row>
    <row r="897" spans="1:17" x14ac:dyDescent="0.3">
      <c r="A897" s="3" t="str">
        <f>TRIM(Table1[[#This Row],[Employee_ID]])</f>
        <v>EMP1895</v>
      </c>
      <c r="B897" s="3" t="str">
        <f>TRIM(Table1[[#This Row],[First_Name]])</f>
        <v>David</v>
      </c>
      <c r="C897" s="3" t="str">
        <f>TRIM(Table1[[#This Row],[Last_Name]])</f>
        <v>Brown</v>
      </c>
      <c r="D897" s="3">
        <f>IF(Table1[[#This Row],[Age]]="",AVERAGE(Table1[Age]),Table1[[#This Row],[Age]])</f>
        <v>30</v>
      </c>
      <c r="E897" s="3" t="s">
        <v>212</v>
      </c>
      <c r="F897" s="3" t="s">
        <v>28</v>
      </c>
      <c r="G897" s="5">
        <f>IF(ISNUMBER('Main Project Raw Data'!G897),'Main Project Raw Data'!G897,IF(ISNUMBER(SEARCH("/",'Main Project Raw Data'!G897)),DATE(RIGHT('Main Project Raw Data'!G897,4),LEFT('Main Project Raw Data'!G897,FIND("/",'Main Project Raw Data'!G897)-1),MID('Main Project Raw Data'!G897,FIND("/",'Main Project Raw Data'!G897)+1,2)),DATE(RIGHT('Main Project Raw Data'!G897,4),MID('Main Project Raw Data'!G897,4,2),LEFT('Main Project Raw Data'!G897,2))))</f>
        <v>44286</v>
      </c>
      <c r="H897" s="3">
        <f>IF(Table1[[#This Row],[Salary]]="",AVERAGE(Table1[Salary]),Table1[[#This Row],[Salary]])</f>
        <v>112427.58</v>
      </c>
      <c r="I897" s="3" t="s">
        <v>225</v>
      </c>
      <c r="J897" s="3">
        <f>ABS(Table1[[#This Row],[Phone]])</f>
        <v>9471136336</v>
      </c>
      <c r="K897" s="3" t="str">
        <f>PROPER(TRIM(Table1[[#This Row],[Performance_Score]]))</f>
        <v>Good</v>
      </c>
      <c r="L897" s="3" t="b">
        <f>Table1[[#This Row],[Remote_Work]]</f>
        <v>1</v>
      </c>
      <c r="M897" s="3" t="str">
        <f>PROPER(CONCATENATE(Table13[[#This Row],[First_Name]], Table13[[#This Row],[Last_Name]]))</f>
        <v>Davidbrown</v>
      </c>
      <c r="N897" s="3" t="str">
        <f t="shared" si="13"/>
        <v>Mar</v>
      </c>
      <c r="O897" s="3" t="str">
        <f>TEXT(Table13[[#This Row],[Join_Date]],"yyyy")</f>
        <v>2021</v>
      </c>
      <c r="P897" s="3" t="str">
        <f>LEFT('Main Project Raw Data'!E897,FIND("-",'Main Project Raw Data'!E897)-1)</f>
        <v>HR</v>
      </c>
      <c r="Q897" s="3" t="str">
        <f>RIGHT('Main Project Raw Data'!E897,LEN('Main Project Raw Data'!E897)-FIND("-",'Main Project Raw Data'!E897))</f>
        <v>Florida</v>
      </c>
    </row>
    <row r="898" spans="1:17" x14ac:dyDescent="0.3">
      <c r="A898" s="3" t="str">
        <f>TRIM(Table1[[#This Row],[Employee_ID]])</f>
        <v>EMP1896</v>
      </c>
      <c r="B898" s="3" t="str">
        <f>TRIM(Table1[[#This Row],[First_Name]])</f>
        <v>Charlie</v>
      </c>
      <c r="C898" s="3" t="str">
        <f>TRIM(Table1[[#This Row],[Last_Name]])</f>
        <v>Miller</v>
      </c>
      <c r="D898" s="3">
        <f>IF(Table1[[#This Row],[Age]]="",AVERAGE(Table1[Age]),Table1[[#This Row],[Age]])</f>
        <v>32.484548825710753</v>
      </c>
      <c r="E898" s="3" t="s">
        <v>39</v>
      </c>
      <c r="F898" s="3" t="s">
        <v>16</v>
      </c>
      <c r="G898" s="5">
        <f>IF(ISNUMBER('Main Project Raw Data'!G898),'Main Project Raw Data'!G898,IF(ISNUMBER(SEARCH("/",'Main Project Raw Data'!G898)),DATE(RIGHT('Main Project Raw Data'!G898,4),LEFT('Main Project Raw Data'!G898,FIND("/",'Main Project Raw Data'!G898)-1),MID('Main Project Raw Data'!G898,FIND("/",'Main Project Raw Data'!G898)+1,2)),DATE(RIGHT('Main Project Raw Data'!G898,4),MID('Main Project Raw Data'!G898,4,2),LEFT('Main Project Raw Data'!G898,2))))</f>
        <v>43913</v>
      </c>
      <c r="H898" s="3">
        <f>IF(Table1[[#This Row],[Salary]]="",AVERAGE(Table1[Salary]),Table1[[#This Row],[Salary]])</f>
        <v>119389.15</v>
      </c>
      <c r="I898" s="3" t="s">
        <v>501</v>
      </c>
      <c r="J898" s="3">
        <f>ABS(Table1[[#This Row],[Phone]])</f>
        <v>9223410345</v>
      </c>
      <c r="K898" s="3" t="str">
        <f>PROPER(TRIM(Table1[[#This Row],[Performance_Score]]))</f>
        <v>Poor</v>
      </c>
      <c r="L898" s="3" t="b">
        <f>Table1[[#This Row],[Remote_Work]]</f>
        <v>0</v>
      </c>
      <c r="M898" s="3" t="str">
        <f>PROPER(CONCATENATE(Table13[[#This Row],[First_Name]], Table13[[#This Row],[Last_Name]]))</f>
        <v>Charliemiller</v>
      </c>
      <c r="N898" s="3" t="str">
        <f t="shared" ref="N898:N961" si="14">TEXT(G898,"mmm")</f>
        <v>Mar</v>
      </c>
      <c r="O898" s="3" t="str">
        <f>TEXT(Table13[[#This Row],[Join_Date]],"yyyy")</f>
        <v>2020</v>
      </c>
      <c r="P898" s="3" t="str">
        <f>LEFT('Main Project Raw Data'!E898,FIND("-",'Main Project Raw Data'!E898)-1)</f>
        <v>Cloud Tech</v>
      </c>
      <c r="Q898" s="3" t="str">
        <f>RIGHT('Main Project Raw Data'!E898,LEN('Main Project Raw Data'!E898)-FIND("-",'Main Project Raw Data'!E898))</f>
        <v>Florida</v>
      </c>
    </row>
    <row r="899" spans="1:17" x14ac:dyDescent="0.3">
      <c r="A899" s="3" t="str">
        <f>TRIM(Table1[[#This Row],[Employee_ID]])</f>
        <v>EMP1897</v>
      </c>
      <c r="B899" s="3" t="str">
        <f>TRIM(Table1[[#This Row],[First_Name]])</f>
        <v>Alice</v>
      </c>
      <c r="C899" s="3" t="str">
        <f>TRIM(Table1[[#This Row],[Last_Name]])</f>
        <v>Brown</v>
      </c>
      <c r="D899" s="3">
        <f>IF(Table1[[#This Row],[Age]]="",AVERAGE(Table1[Age]),Table1[[#This Row],[Age]])</f>
        <v>40</v>
      </c>
      <c r="E899" s="3" t="s">
        <v>74</v>
      </c>
      <c r="F899" s="3" t="s">
        <v>33</v>
      </c>
      <c r="G899" s="5">
        <f>IF(ISNUMBER('Main Project Raw Data'!G899),'Main Project Raw Data'!G899,IF(ISNUMBER(SEARCH("/",'Main Project Raw Data'!G899)),DATE(RIGHT('Main Project Raw Data'!G899,4),LEFT('Main Project Raw Data'!G899,FIND("/",'Main Project Raw Data'!G899)-1),MID('Main Project Raw Data'!G899,FIND("/",'Main Project Raw Data'!G899)+1,2)),DATE(RIGHT('Main Project Raw Data'!G899,4),MID('Main Project Raw Data'!G899,4,2),LEFT('Main Project Raw Data'!G899,2))))</f>
        <v>45489</v>
      </c>
      <c r="H899" s="3">
        <f>IF(Table1[[#This Row],[Salary]]="",AVERAGE(Table1[Salary]),Table1[[#This Row],[Salary]])</f>
        <v>105861.23</v>
      </c>
      <c r="I899" s="3" t="s">
        <v>80</v>
      </c>
      <c r="J899" s="3">
        <f>ABS(Table1[[#This Row],[Phone]])</f>
        <v>9967331166</v>
      </c>
      <c r="K899" s="3" t="str">
        <f>PROPER(TRIM(Table1[[#This Row],[Performance_Score]]))</f>
        <v>Good</v>
      </c>
      <c r="L899" s="3" t="b">
        <f>Table1[[#This Row],[Remote_Work]]</f>
        <v>1</v>
      </c>
      <c r="M899" s="3" t="str">
        <f>PROPER(CONCATENATE(Table13[[#This Row],[First_Name]], Table13[[#This Row],[Last_Name]]))</f>
        <v>Alicebrown</v>
      </c>
      <c r="N899" s="3" t="str">
        <f t="shared" si="14"/>
        <v>Jul</v>
      </c>
      <c r="O899" s="3" t="str">
        <f>TEXT(Table13[[#This Row],[Join_Date]],"yyyy")</f>
        <v>2024</v>
      </c>
      <c r="P899" s="3" t="str">
        <f>LEFT('Main Project Raw Data'!E899,FIND("-",'Main Project Raw Data'!E899)-1)</f>
        <v>Sales</v>
      </c>
      <c r="Q899" s="3" t="str">
        <f>RIGHT('Main Project Raw Data'!E899,LEN('Main Project Raw Data'!E899)-FIND("-",'Main Project Raw Data'!E899))</f>
        <v>Florida</v>
      </c>
    </row>
    <row r="900" spans="1:17" x14ac:dyDescent="0.3">
      <c r="A900" s="3" t="str">
        <f>TRIM(Table1[[#This Row],[Employee_ID]])</f>
        <v>EMP1898</v>
      </c>
      <c r="B900" s="3" t="str">
        <f>TRIM(Table1[[#This Row],[First_Name]])</f>
        <v>Heidi</v>
      </c>
      <c r="C900" s="3" t="str">
        <f>TRIM(Table1[[#This Row],[Last_Name]])</f>
        <v>Davis</v>
      </c>
      <c r="D900" s="3">
        <f>IF(Table1[[#This Row],[Age]]="",AVERAGE(Table1[Age]),Table1[[#This Row],[Age]])</f>
        <v>40</v>
      </c>
      <c r="E900" s="3" t="s">
        <v>103</v>
      </c>
      <c r="F900" s="3" t="s">
        <v>28</v>
      </c>
      <c r="G900" s="5">
        <f>IF(ISNUMBER('Main Project Raw Data'!G900),'Main Project Raw Data'!G900,IF(ISNUMBER(SEARCH("/",'Main Project Raw Data'!G900)),DATE(RIGHT('Main Project Raw Data'!G900,4),LEFT('Main Project Raw Data'!G900,FIND("/",'Main Project Raw Data'!G900)-1),MID('Main Project Raw Data'!G900,FIND("/",'Main Project Raw Data'!G900)+1,2)),DATE(RIGHT('Main Project Raw Data'!G900,4),MID('Main Project Raw Data'!G900,4,2),LEFT('Main Project Raw Data'!G900,2))))</f>
        <v>45373</v>
      </c>
      <c r="H900" s="3">
        <f>IF(Table1[[#This Row],[Salary]]="",AVERAGE(Table1[Salary]),Table1[[#This Row],[Salary]])</f>
        <v>50869.61</v>
      </c>
      <c r="I900" s="3" t="s">
        <v>394</v>
      </c>
      <c r="J900" s="3">
        <f>ABS(Table1[[#This Row],[Phone]])</f>
        <v>7269608436</v>
      </c>
      <c r="K900" s="3" t="str">
        <f>PROPER(TRIM(Table1[[#This Row],[Performance_Score]]))</f>
        <v>Average</v>
      </c>
      <c r="L900" s="3" t="b">
        <f>Table1[[#This Row],[Remote_Work]]</f>
        <v>1</v>
      </c>
      <c r="M900" s="3" t="str">
        <f>PROPER(CONCATENATE(Table13[[#This Row],[First_Name]], Table13[[#This Row],[Last_Name]]))</f>
        <v>Heididavis</v>
      </c>
      <c r="N900" s="3" t="str">
        <f t="shared" si="14"/>
        <v>Mar</v>
      </c>
      <c r="O900" s="3" t="str">
        <f>TEXT(Table13[[#This Row],[Join_Date]],"yyyy")</f>
        <v>2024</v>
      </c>
      <c r="P900" s="3" t="str">
        <f>LEFT('Main Project Raw Data'!E900,FIND("-",'Main Project Raw Data'!E900)-1)</f>
        <v>Admin</v>
      </c>
      <c r="Q900" s="3" t="str">
        <f>RIGHT('Main Project Raw Data'!E900,LEN('Main Project Raw Data'!E900)-FIND("-",'Main Project Raw Data'!E900))</f>
        <v>Texas</v>
      </c>
    </row>
    <row r="901" spans="1:17" x14ac:dyDescent="0.3">
      <c r="A901" s="3" t="str">
        <f>TRIM(Table1[[#This Row],[Employee_ID]])</f>
        <v>EMP1899</v>
      </c>
      <c r="B901" s="3" t="str">
        <f>TRIM(Table1[[#This Row],[First_Name]])</f>
        <v>David</v>
      </c>
      <c r="C901" s="3" t="str">
        <f>TRIM(Table1[[#This Row],[Last_Name]])</f>
        <v>Williams</v>
      </c>
      <c r="D901" s="3">
        <f>IF(Table1[[#This Row],[Age]]="",AVERAGE(Table1[Age]),Table1[[#This Row],[Age]])</f>
        <v>30</v>
      </c>
      <c r="E901" s="3" t="s">
        <v>146</v>
      </c>
      <c r="F901" s="3" t="s">
        <v>16</v>
      </c>
      <c r="G901" s="5">
        <f>IF(ISNUMBER('Main Project Raw Data'!G901),'Main Project Raw Data'!G901,IF(ISNUMBER(SEARCH("/",'Main Project Raw Data'!G901)),DATE(RIGHT('Main Project Raw Data'!G901,4),LEFT('Main Project Raw Data'!G901,FIND("/",'Main Project Raw Data'!G901)-1),MID('Main Project Raw Data'!G901,FIND("/",'Main Project Raw Data'!G901)+1,2)),DATE(RIGHT('Main Project Raw Data'!G901,4),MID('Main Project Raw Data'!G901,4,2),LEFT('Main Project Raw Data'!G901,2))))</f>
        <v>45157</v>
      </c>
      <c r="H901" s="3">
        <f>IF(Table1[[#This Row],[Salary]]="",AVERAGE(Table1[Salary]),Table1[[#This Row],[Salary]])</f>
        <v>85155.056395582287</v>
      </c>
      <c r="I901" s="3" t="s">
        <v>61</v>
      </c>
      <c r="J901" s="3">
        <f>ABS(Table1[[#This Row],[Phone]])</f>
        <v>6855078966</v>
      </c>
      <c r="K901" s="3" t="str">
        <f>PROPER(TRIM(Table1[[#This Row],[Performance_Score]]))</f>
        <v>Excellent</v>
      </c>
      <c r="L901" s="3" t="b">
        <f>Table1[[#This Row],[Remote_Work]]</f>
        <v>1</v>
      </c>
      <c r="M901" s="3" t="str">
        <f>PROPER(CONCATENATE(Table13[[#This Row],[First_Name]], Table13[[#This Row],[Last_Name]]))</f>
        <v>Davidwilliams</v>
      </c>
      <c r="N901" s="3" t="str">
        <f t="shared" si="14"/>
        <v>Aug</v>
      </c>
      <c r="O901" s="3" t="str">
        <f>TEXT(Table13[[#This Row],[Join_Date]],"yyyy")</f>
        <v>2023</v>
      </c>
      <c r="P901" s="3" t="str">
        <f>LEFT('Main Project Raw Data'!E901,FIND("-",'Main Project Raw Data'!E901)-1)</f>
        <v>HR</v>
      </c>
      <c r="Q901" s="3" t="str">
        <f>RIGHT('Main Project Raw Data'!E901,LEN('Main Project Raw Data'!E901)-FIND("-",'Main Project Raw Data'!E901))</f>
        <v>California</v>
      </c>
    </row>
    <row r="902" spans="1:17" x14ac:dyDescent="0.3">
      <c r="A902" s="3" t="str">
        <f>TRIM(Table1[[#This Row],[Employee_ID]])</f>
        <v>EMP1900</v>
      </c>
      <c r="B902" s="3" t="str">
        <f>TRIM(Table1[[#This Row],[First_Name]])</f>
        <v>Eva</v>
      </c>
      <c r="C902" s="3" t="str">
        <f>TRIM(Table1[[#This Row],[Last_Name]])</f>
        <v>Jones</v>
      </c>
      <c r="D902" s="3">
        <f>IF(Table1[[#This Row],[Age]]="",AVERAGE(Table1[Age]),Table1[[#This Row],[Age]])</f>
        <v>30</v>
      </c>
      <c r="E902" s="3" t="s">
        <v>230</v>
      </c>
      <c r="F902" s="3" t="s">
        <v>28</v>
      </c>
      <c r="G902" s="5">
        <f>IF(ISNUMBER('Main Project Raw Data'!G902),'Main Project Raw Data'!G902,IF(ISNUMBER(SEARCH("/",'Main Project Raw Data'!G902)),DATE(RIGHT('Main Project Raw Data'!G902,4),LEFT('Main Project Raw Data'!G902,FIND("/",'Main Project Raw Data'!G902)-1),MID('Main Project Raw Data'!G902,FIND("/",'Main Project Raw Data'!G902)+1,2)),DATE(RIGHT('Main Project Raw Data'!G902,4),MID('Main Project Raw Data'!G902,4,2),LEFT('Main Project Raw Data'!G902,2))))</f>
        <v>45568</v>
      </c>
      <c r="H902" s="3">
        <f>IF(Table1[[#This Row],[Salary]]="",AVERAGE(Table1[Salary]),Table1[[#This Row],[Salary]])</f>
        <v>90856.21</v>
      </c>
      <c r="I902" s="3" t="s">
        <v>277</v>
      </c>
      <c r="J902" s="3">
        <f>ABS(Table1[[#This Row],[Phone]])</f>
        <v>9352196262</v>
      </c>
      <c r="K902" s="3" t="str">
        <f>PROPER(TRIM(Table1[[#This Row],[Performance_Score]]))</f>
        <v>Average</v>
      </c>
      <c r="L902" s="3" t="b">
        <f>Table1[[#This Row],[Remote_Work]]</f>
        <v>1</v>
      </c>
      <c r="M902" s="3" t="str">
        <f>PROPER(CONCATENATE(Table13[[#This Row],[First_Name]], Table13[[#This Row],[Last_Name]]))</f>
        <v>Evajones</v>
      </c>
      <c r="N902" s="3" t="str">
        <f t="shared" si="14"/>
        <v>Oct</v>
      </c>
      <c r="O902" s="3" t="str">
        <f>TEXT(Table13[[#This Row],[Join_Date]],"yyyy")</f>
        <v>2024</v>
      </c>
      <c r="P902" s="3" t="str">
        <f>LEFT('Main Project Raw Data'!E902,FIND("-",'Main Project Raw Data'!E902)-1)</f>
        <v>DevOps</v>
      </c>
      <c r="Q902" s="3" t="str">
        <f>RIGHT('Main Project Raw Data'!E902,LEN('Main Project Raw Data'!E902)-FIND("-",'Main Project Raw Data'!E902))</f>
        <v>Florida</v>
      </c>
    </row>
    <row r="903" spans="1:17" x14ac:dyDescent="0.3">
      <c r="A903" s="3" t="str">
        <f>TRIM(Table1[[#This Row],[Employee_ID]])</f>
        <v>EMP1901</v>
      </c>
      <c r="B903" s="3" t="str">
        <f>TRIM(Table1[[#This Row],[First_Name]])</f>
        <v>Heidi</v>
      </c>
      <c r="C903" s="3" t="str">
        <f>TRIM(Table1[[#This Row],[Last_Name]])</f>
        <v>Brown</v>
      </c>
      <c r="D903" s="3">
        <f>IF(Table1[[#This Row],[Age]]="",AVERAGE(Table1[Age]),Table1[[#This Row],[Age]])</f>
        <v>30</v>
      </c>
      <c r="E903" s="3" t="s">
        <v>230</v>
      </c>
      <c r="F903" s="3" t="s">
        <v>16</v>
      </c>
      <c r="G903" s="5">
        <f>IF(ISNUMBER('Main Project Raw Data'!G903),'Main Project Raw Data'!G903,IF(ISNUMBER(SEARCH("/",'Main Project Raw Data'!G903)),DATE(RIGHT('Main Project Raw Data'!G903,4),LEFT('Main Project Raw Data'!G903,FIND("/",'Main Project Raw Data'!G903)-1),MID('Main Project Raw Data'!G903,FIND("/",'Main Project Raw Data'!G903)+1,2)),DATE(RIGHT('Main Project Raw Data'!G903,4),MID('Main Project Raw Data'!G903,4,2),LEFT('Main Project Raw Data'!G903,2))))</f>
        <v>45418</v>
      </c>
      <c r="H903" s="3">
        <f>IF(Table1[[#This Row],[Salary]]="",AVERAGE(Table1[Salary]),Table1[[#This Row],[Salary]])</f>
        <v>111008.63</v>
      </c>
      <c r="I903" s="3" t="s">
        <v>403</v>
      </c>
      <c r="J903" s="3">
        <f>ABS(Table1[[#This Row],[Phone]])</f>
        <v>3556434368</v>
      </c>
      <c r="K903" s="3" t="str">
        <f>PROPER(TRIM(Table1[[#This Row],[Performance_Score]]))</f>
        <v>Excellent</v>
      </c>
      <c r="L903" s="3" t="b">
        <f>Table1[[#This Row],[Remote_Work]]</f>
        <v>1</v>
      </c>
      <c r="M903" s="3" t="str">
        <f>PROPER(CONCATENATE(Table13[[#This Row],[First_Name]], Table13[[#This Row],[Last_Name]]))</f>
        <v>Heidibrown</v>
      </c>
      <c r="N903" s="3" t="str">
        <f t="shared" si="14"/>
        <v>May</v>
      </c>
      <c r="O903" s="3" t="str">
        <f>TEXT(Table13[[#This Row],[Join_Date]],"yyyy")</f>
        <v>2024</v>
      </c>
      <c r="P903" s="3" t="str">
        <f>LEFT('Main Project Raw Data'!E903,FIND("-",'Main Project Raw Data'!E903)-1)</f>
        <v>DevOps</v>
      </c>
      <c r="Q903" s="3" t="str">
        <f>RIGHT('Main Project Raw Data'!E903,LEN('Main Project Raw Data'!E903)-FIND("-",'Main Project Raw Data'!E903))</f>
        <v>Florida</v>
      </c>
    </row>
    <row r="904" spans="1:17" x14ac:dyDescent="0.3">
      <c r="A904" s="3" t="str">
        <f>TRIM(Table1[[#This Row],[Employee_ID]])</f>
        <v>EMP1902</v>
      </c>
      <c r="B904" s="3" t="str">
        <f>TRIM(Table1[[#This Row],[First_Name]])</f>
        <v>Alice</v>
      </c>
      <c r="C904" s="3" t="str">
        <f>TRIM(Table1[[#This Row],[Last_Name]])</f>
        <v>Miller</v>
      </c>
      <c r="D904" s="3">
        <f>IF(Table1[[#This Row],[Age]]="",AVERAGE(Table1[Age]),Table1[[#This Row],[Age]])</f>
        <v>25</v>
      </c>
      <c r="E904" s="3" t="s">
        <v>100</v>
      </c>
      <c r="F904" s="3" t="s">
        <v>33</v>
      </c>
      <c r="G904" s="5">
        <f>IF(ISNUMBER('Main Project Raw Data'!G904),'Main Project Raw Data'!G904,IF(ISNUMBER(SEARCH("/",'Main Project Raw Data'!G904)),DATE(RIGHT('Main Project Raw Data'!G904,4),LEFT('Main Project Raw Data'!G904,FIND("/",'Main Project Raw Data'!G904)-1),MID('Main Project Raw Data'!G904,FIND("/",'Main Project Raw Data'!G904)+1,2)),DATE(RIGHT('Main Project Raw Data'!G904,4),MID('Main Project Raw Data'!G904,4,2),LEFT('Main Project Raw Data'!G904,2))))</f>
        <v>44918</v>
      </c>
      <c r="H904" s="3">
        <f>IF(Table1[[#This Row],[Salary]]="",AVERAGE(Table1[Salary]),Table1[[#This Row],[Salary]])</f>
        <v>52289.99</v>
      </c>
      <c r="I904" s="3" t="s">
        <v>166</v>
      </c>
      <c r="J904" s="3">
        <f>ABS(Table1[[#This Row],[Phone]])</f>
        <v>7093170694</v>
      </c>
      <c r="K904" s="3" t="str">
        <f>PROPER(TRIM(Table1[[#This Row],[Performance_Score]]))</f>
        <v>Poor</v>
      </c>
      <c r="L904" s="3" t="b">
        <f>Table1[[#This Row],[Remote_Work]]</f>
        <v>1</v>
      </c>
      <c r="M904" s="3" t="str">
        <f>PROPER(CONCATENATE(Table13[[#This Row],[First_Name]], Table13[[#This Row],[Last_Name]]))</f>
        <v>Alicemiller</v>
      </c>
      <c r="N904" s="3" t="str">
        <f t="shared" si="14"/>
        <v>Dec</v>
      </c>
      <c r="O904" s="3" t="str">
        <f>TEXT(Table13[[#This Row],[Join_Date]],"yyyy")</f>
        <v>2022</v>
      </c>
      <c r="P904" s="3" t="str">
        <f>LEFT('Main Project Raw Data'!E904,FIND("-",'Main Project Raw Data'!E904)-1)</f>
        <v>Finance</v>
      </c>
      <c r="Q904" s="3" t="str">
        <f>RIGHT('Main Project Raw Data'!E904,LEN('Main Project Raw Data'!E904)-FIND("-",'Main Project Raw Data'!E904))</f>
        <v>Nevada</v>
      </c>
    </row>
    <row r="905" spans="1:17" x14ac:dyDescent="0.3">
      <c r="A905" s="3" t="str">
        <f>TRIM(Table1[[#This Row],[Employee_ID]])</f>
        <v>EMP1903</v>
      </c>
      <c r="B905" s="3" t="str">
        <f>TRIM(Table1[[#This Row],[First_Name]])</f>
        <v>Eva</v>
      </c>
      <c r="C905" s="3" t="str">
        <f>TRIM(Table1[[#This Row],[Last_Name]])</f>
        <v>Davis</v>
      </c>
      <c r="D905" s="3">
        <f>IF(Table1[[#This Row],[Age]]="",AVERAGE(Table1[Age]),Table1[[#This Row],[Age]])</f>
        <v>32.484548825710753</v>
      </c>
      <c r="E905" s="3" t="s">
        <v>98</v>
      </c>
      <c r="F905" s="3" t="s">
        <v>16</v>
      </c>
      <c r="G905" s="5">
        <f>IF(ISNUMBER('Main Project Raw Data'!G905),'Main Project Raw Data'!G905,IF(ISNUMBER(SEARCH("/",'Main Project Raw Data'!G905)),DATE(RIGHT('Main Project Raw Data'!G905,4),LEFT('Main Project Raw Data'!G905,FIND("/",'Main Project Raw Data'!G905)-1),MID('Main Project Raw Data'!G905,FIND("/",'Main Project Raw Data'!G905)+1,2)),DATE(RIGHT('Main Project Raw Data'!G905,4),MID('Main Project Raw Data'!G905,4,2),LEFT('Main Project Raw Data'!G905,2))))</f>
        <v>45297</v>
      </c>
      <c r="H905" s="3">
        <f>IF(Table1[[#This Row],[Salary]]="",AVERAGE(Table1[Salary]),Table1[[#This Row],[Salary]])</f>
        <v>97926.56</v>
      </c>
      <c r="I905" s="3" t="s">
        <v>35</v>
      </c>
      <c r="J905" s="3">
        <f>ABS(Table1[[#This Row],[Phone]])</f>
        <v>5607676163</v>
      </c>
      <c r="K905" s="3" t="str">
        <f>PROPER(TRIM(Table1[[#This Row],[Performance_Score]]))</f>
        <v>Average</v>
      </c>
      <c r="L905" s="3" t="b">
        <f>Table1[[#This Row],[Remote_Work]]</f>
        <v>1</v>
      </c>
      <c r="M905" s="3" t="str">
        <f>PROPER(CONCATENATE(Table13[[#This Row],[First_Name]], Table13[[#This Row],[Last_Name]]))</f>
        <v>Evadavis</v>
      </c>
      <c r="N905" s="3" t="str">
        <f t="shared" si="14"/>
        <v>Jan</v>
      </c>
      <c r="O905" s="3" t="str">
        <f>TEXT(Table13[[#This Row],[Join_Date]],"yyyy")</f>
        <v>2024</v>
      </c>
      <c r="P905" s="3" t="str">
        <f>LEFT('Main Project Raw Data'!E905,FIND("-",'Main Project Raw Data'!E905)-1)</f>
        <v>Sales</v>
      </c>
      <c r="Q905" s="3" t="str">
        <f>RIGHT('Main Project Raw Data'!E905,LEN('Main Project Raw Data'!E905)-FIND("-",'Main Project Raw Data'!E905))</f>
        <v>Illinois</v>
      </c>
    </row>
    <row r="906" spans="1:17" x14ac:dyDescent="0.3">
      <c r="A906" s="3" t="str">
        <f>TRIM(Table1[[#This Row],[Employee_ID]])</f>
        <v>EMP1904</v>
      </c>
      <c r="B906" s="3" t="str">
        <f>TRIM(Table1[[#This Row],[First_Name]])</f>
        <v>Frank</v>
      </c>
      <c r="C906" s="3" t="str">
        <f>TRIM(Table1[[#This Row],[Last_Name]])</f>
        <v>Williams</v>
      </c>
      <c r="D906" s="3">
        <f>IF(Table1[[#This Row],[Age]]="",AVERAGE(Table1[Age]),Table1[[#This Row],[Age]])</f>
        <v>25</v>
      </c>
      <c r="E906" s="3" t="s">
        <v>219</v>
      </c>
      <c r="F906" s="3" t="s">
        <v>33</v>
      </c>
      <c r="G906" s="5">
        <f>IF(ISNUMBER('Main Project Raw Data'!G906),'Main Project Raw Data'!G906,IF(ISNUMBER(SEARCH("/",'Main Project Raw Data'!G906)),DATE(RIGHT('Main Project Raw Data'!G906,4),LEFT('Main Project Raw Data'!G906,FIND("/",'Main Project Raw Data'!G906)-1),MID('Main Project Raw Data'!G906,FIND("/",'Main Project Raw Data'!G906)+1,2)),DATE(RIGHT('Main Project Raw Data'!G906,4),MID('Main Project Raw Data'!G906,4,2),LEFT('Main Project Raw Data'!G906,2))))</f>
        <v>45649</v>
      </c>
      <c r="H906" s="3">
        <f>IF(Table1[[#This Row],[Salary]]="",AVERAGE(Table1[Salary]),Table1[[#This Row],[Salary]])</f>
        <v>53609.38</v>
      </c>
      <c r="I906" s="3" t="s">
        <v>40</v>
      </c>
      <c r="J906" s="3">
        <f>ABS(Table1[[#This Row],[Phone]])</f>
        <v>5345472238</v>
      </c>
      <c r="K906" s="3" t="str">
        <f>PROPER(TRIM(Table1[[#This Row],[Performance_Score]]))</f>
        <v>Good</v>
      </c>
      <c r="L906" s="3" t="b">
        <f>Table1[[#This Row],[Remote_Work]]</f>
        <v>0</v>
      </c>
      <c r="M906" s="3" t="str">
        <f>PROPER(CONCATENATE(Table13[[#This Row],[First_Name]], Table13[[#This Row],[Last_Name]]))</f>
        <v>Frankwilliams</v>
      </c>
      <c r="N906" s="3" t="str">
        <f t="shared" si="14"/>
        <v>Dec</v>
      </c>
      <c r="O906" s="3" t="str">
        <f>TEXT(Table13[[#This Row],[Join_Date]],"yyyy")</f>
        <v>2024</v>
      </c>
      <c r="P906" s="3" t="str">
        <f>LEFT('Main Project Raw Data'!E906,FIND("-",'Main Project Raw Data'!E906)-1)</f>
        <v>Sales</v>
      </c>
      <c r="Q906" s="3" t="str">
        <f>RIGHT('Main Project Raw Data'!E906,LEN('Main Project Raw Data'!E906)-FIND("-",'Main Project Raw Data'!E906))</f>
        <v>Nevada</v>
      </c>
    </row>
    <row r="907" spans="1:17" x14ac:dyDescent="0.3">
      <c r="A907" s="3" t="str">
        <f>TRIM(Table1[[#This Row],[Employee_ID]])</f>
        <v>EMP1905</v>
      </c>
      <c r="B907" s="3" t="str">
        <f>TRIM(Table1[[#This Row],[First_Name]])</f>
        <v>Heidi</v>
      </c>
      <c r="C907" s="3" t="str">
        <f>TRIM(Table1[[#This Row],[Last_Name]])</f>
        <v>Johnson</v>
      </c>
      <c r="D907" s="3">
        <f>IF(Table1[[#This Row],[Age]]="",AVERAGE(Table1[Age]),Table1[[#This Row],[Age]])</f>
        <v>32.484548825710753</v>
      </c>
      <c r="E907" s="3" t="s">
        <v>268</v>
      </c>
      <c r="F907" s="3" t="s">
        <v>33</v>
      </c>
      <c r="G907" s="5">
        <f>IF(ISNUMBER('Main Project Raw Data'!G907),'Main Project Raw Data'!G907,IF(ISNUMBER(SEARCH("/",'Main Project Raw Data'!G907)),DATE(RIGHT('Main Project Raw Data'!G907,4),LEFT('Main Project Raw Data'!G907,FIND("/",'Main Project Raw Data'!G907)-1),MID('Main Project Raw Data'!G907,FIND("/",'Main Project Raw Data'!G907)+1,2)),DATE(RIGHT('Main Project Raw Data'!G907,4),MID('Main Project Raw Data'!G907,4,2),LEFT('Main Project Raw Data'!G907,2))))</f>
        <v>44189</v>
      </c>
      <c r="H907" s="3">
        <f>IF(Table1[[#This Row],[Salary]]="",AVERAGE(Table1[Salary]),Table1[[#This Row],[Salary]])</f>
        <v>95372.09</v>
      </c>
      <c r="I907" s="3" t="s">
        <v>113</v>
      </c>
      <c r="J907" s="3">
        <f>ABS(Table1[[#This Row],[Phone]])</f>
        <v>8983065030</v>
      </c>
      <c r="K907" s="3" t="str">
        <f>PROPER(TRIM(Table1[[#This Row],[Performance_Score]]))</f>
        <v>Excellent</v>
      </c>
      <c r="L907" s="3" t="b">
        <f>Table1[[#This Row],[Remote_Work]]</f>
        <v>0</v>
      </c>
      <c r="M907" s="3" t="str">
        <f>PROPER(CONCATENATE(Table13[[#This Row],[First_Name]], Table13[[#This Row],[Last_Name]]))</f>
        <v>Heidijohnson</v>
      </c>
      <c r="N907" s="3" t="str">
        <f t="shared" si="14"/>
        <v>Dec</v>
      </c>
      <c r="O907" s="3" t="str">
        <f>TEXT(Table13[[#This Row],[Join_Date]],"yyyy")</f>
        <v>2020</v>
      </c>
      <c r="P907" s="3" t="str">
        <f>LEFT('Main Project Raw Data'!E907,FIND("-",'Main Project Raw Data'!E907)-1)</f>
        <v>Cloud Tech</v>
      </c>
      <c r="Q907" s="3" t="str">
        <f>RIGHT('Main Project Raw Data'!E907,LEN('Main Project Raw Data'!E907)-FIND("-",'Main Project Raw Data'!E907))</f>
        <v>California</v>
      </c>
    </row>
    <row r="908" spans="1:17" x14ac:dyDescent="0.3">
      <c r="A908" s="3" t="str">
        <f>TRIM(Table1[[#This Row],[Employee_ID]])</f>
        <v>EMP1906</v>
      </c>
      <c r="B908" s="3" t="str">
        <f>TRIM(Table1[[#This Row],[First_Name]])</f>
        <v>David</v>
      </c>
      <c r="C908" s="3" t="str">
        <f>TRIM(Table1[[#This Row],[Last_Name]])</f>
        <v>Johnson</v>
      </c>
      <c r="D908" s="3">
        <f>IF(Table1[[#This Row],[Age]]="",AVERAGE(Table1[Age]),Table1[[#This Row],[Age]])</f>
        <v>30</v>
      </c>
      <c r="E908" s="3" t="s">
        <v>66</v>
      </c>
      <c r="F908" s="3" t="s">
        <v>28</v>
      </c>
      <c r="G908" s="5">
        <f>IF(ISNUMBER('Main Project Raw Data'!G908),'Main Project Raw Data'!G908,IF(ISNUMBER(SEARCH("/",'Main Project Raw Data'!G908)),DATE(RIGHT('Main Project Raw Data'!G908,4),LEFT('Main Project Raw Data'!G908,FIND("/",'Main Project Raw Data'!G908)-1),MID('Main Project Raw Data'!G908,FIND("/",'Main Project Raw Data'!G908)+1,2)),DATE(RIGHT('Main Project Raw Data'!G908,4),MID('Main Project Raw Data'!G908,4,2),LEFT('Main Project Raw Data'!G908,2))))</f>
        <v>44063</v>
      </c>
      <c r="H908" s="3">
        <f>IF(Table1[[#This Row],[Salary]]="",AVERAGE(Table1[Salary]),Table1[[#This Row],[Salary]])</f>
        <v>95432.69</v>
      </c>
      <c r="I908" s="3" t="s">
        <v>217</v>
      </c>
      <c r="J908" s="3">
        <f>ABS(Table1[[#This Row],[Phone]])</f>
        <v>2198041846</v>
      </c>
      <c r="K908" s="3" t="str">
        <f>PROPER(TRIM(Table1[[#This Row],[Performance_Score]]))</f>
        <v>Excellent</v>
      </c>
      <c r="L908" s="3" t="b">
        <f>Table1[[#This Row],[Remote_Work]]</f>
        <v>1</v>
      </c>
      <c r="M908" s="3" t="str">
        <f>PROPER(CONCATENATE(Table13[[#This Row],[First_Name]], Table13[[#This Row],[Last_Name]]))</f>
        <v>Davidjohnson</v>
      </c>
      <c r="N908" s="3" t="str">
        <f t="shared" si="14"/>
        <v>Aug</v>
      </c>
      <c r="O908" s="3" t="str">
        <f>TEXT(Table13[[#This Row],[Join_Date]],"yyyy")</f>
        <v>2020</v>
      </c>
      <c r="P908" s="3" t="str">
        <f>LEFT('Main Project Raw Data'!E908,FIND("-",'Main Project Raw Data'!E908)-1)</f>
        <v>HR</v>
      </c>
      <c r="Q908" s="3" t="str">
        <f>RIGHT('Main Project Raw Data'!E908,LEN('Main Project Raw Data'!E908)-FIND("-",'Main Project Raw Data'!E908))</f>
        <v>New York</v>
      </c>
    </row>
    <row r="909" spans="1:17" x14ac:dyDescent="0.3">
      <c r="A909" s="3" t="str">
        <f>TRIM(Table1[[#This Row],[Employee_ID]])</f>
        <v>EMP1907</v>
      </c>
      <c r="B909" s="3" t="str">
        <f>TRIM(Table1[[#This Row],[First_Name]])</f>
        <v>David</v>
      </c>
      <c r="C909" s="3" t="str">
        <f>TRIM(Table1[[#This Row],[Last_Name]])</f>
        <v>Williams</v>
      </c>
      <c r="D909" s="3">
        <f>IF(Table1[[#This Row],[Age]]="",AVERAGE(Table1[Age]),Table1[[#This Row],[Age]])</f>
        <v>30</v>
      </c>
      <c r="E909" s="3" t="s">
        <v>146</v>
      </c>
      <c r="F909" s="3" t="s">
        <v>33</v>
      </c>
      <c r="G909" s="5">
        <f>IF(ISNUMBER('Main Project Raw Data'!G909),'Main Project Raw Data'!G909,IF(ISNUMBER(SEARCH("/",'Main Project Raw Data'!G909)),DATE(RIGHT('Main Project Raw Data'!G909,4),LEFT('Main Project Raw Data'!G909,FIND("/",'Main Project Raw Data'!G909)-1),MID('Main Project Raw Data'!G909,FIND("/",'Main Project Raw Data'!G909)+1,2)),DATE(RIGHT('Main Project Raw Data'!G909,4),MID('Main Project Raw Data'!G909,4,2),LEFT('Main Project Raw Data'!G909,2))))</f>
        <v>44862</v>
      </c>
      <c r="H909" s="3">
        <f>IF(Table1[[#This Row],[Salary]]="",AVERAGE(Table1[Salary]),Table1[[#This Row],[Salary]])</f>
        <v>97615.87</v>
      </c>
      <c r="I909" s="3" t="s">
        <v>61</v>
      </c>
      <c r="J909" s="3">
        <f>ABS(Table1[[#This Row],[Phone]])</f>
        <v>2426423641</v>
      </c>
      <c r="K909" s="3" t="str">
        <f>PROPER(TRIM(Table1[[#This Row],[Performance_Score]]))</f>
        <v>Average</v>
      </c>
      <c r="L909" s="3" t="b">
        <f>Table1[[#This Row],[Remote_Work]]</f>
        <v>0</v>
      </c>
      <c r="M909" s="3" t="str">
        <f>PROPER(CONCATENATE(Table13[[#This Row],[First_Name]], Table13[[#This Row],[Last_Name]]))</f>
        <v>Davidwilliams</v>
      </c>
      <c r="N909" s="3" t="str">
        <f t="shared" si="14"/>
        <v>Oct</v>
      </c>
      <c r="O909" s="3" t="str">
        <f>TEXT(Table13[[#This Row],[Join_Date]],"yyyy")</f>
        <v>2022</v>
      </c>
      <c r="P909" s="3" t="str">
        <f>LEFT('Main Project Raw Data'!E909,FIND("-",'Main Project Raw Data'!E909)-1)</f>
        <v>HR</v>
      </c>
      <c r="Q909" s="3" t="str">
        <f>RIGHT('Main Project Raw Data'!E909,LEN('Main Project Raw Data'!E909)-FIND("-",'Main Project Raw Data'!E909))</f>
        <v>California</v>
      </c>
    </row>
    <row r="910" spans="1:17" x14ac:dyDescent="0.3">
      <c r="A910" s="3" t="str">
        <f>TRIM(Table1[[#This Row],[Employee_ID]])</f>
        <v>EMP1908</v>
      </c>
      <c r="B910" s="3" t="str">
        <f>TRIM(Table1[[#This Row],[First_Name]])</f>
        <v>Bob</v>
      </c>
      <c r="C910" s="3" t="str">
        <f>TRIM(Table1[[#This Row],[Last_Name]])</f>
        <v>Davis</v>
      </c>
      <c r="D910" s="3">
        <f>IF(Table1[[#This Row],[Age]]="",AVERAGE(Table1[Age]),Table1[[#This Row],[Age]])</f>
        <v>35</v>
      </c>
      <c r="E910" s="3" t="s">
        <v>212</v>
      </c>
      <c r="F910" s="3" t="s">
        <v>33</v>
      </c>
      <c r="G910" s="5">
        <f>IF(ISNUMBER('Main Project Raw Data'!G910),'Main Project Raw Data'!G910,IF(ISNUMBER(SEARCH("/",'Main Project Raw Data'!G910)),DATE(RIGHT('Main Project Raw Data'!G910,4),LEFT('Main Project Raw Data'!G910,FIND("/",'Main Project Raw Data'!G910)-1),MID('Main Project Raw Data'!G910,FIND("/",'Main Project Raw Data'!G910)+1,2)),DATE(RIGHT('Main Project Raw Data'!G910,4),MID('Main Project Raw Data'!G910,4,2),LEFT('Main Project Raw Data'!G910,2))))</f>
        <v>44857</v>
      </c>
      <c r="H910" s="3">
        <f>IF(Table1[[#This Row],[Salary]]="",AVERAGE(Table1[Salary]),Table1[[#This Row],[Salary]])</f>
        <v>86867.78</v>
      </c>
      <c r="I910" s="3" t="s">
        <v>17</v>
      </c>
      <c r="J910" s="3">
        <f>ABS(Table1[[#This Row],[Phone]])</f>
        <v>8131909247</v>
      </c>
      <c r="K910" s="3" t="str">
        <f>PROPER(TRIM(Table1[[#This Row],[Performance_Score]]))</f>
        <v>Poor</v>
      </c>
      <c r="L910" s="3" t="b">
        <f>Table1[[#This Row],[Remote_Work]]</f>
        <v>0</v>
      </c>
      <c r="M910" s="3" t="str">
        <f>PROPER(CONCATENATE(Table13[[#This Row],[First_Name]], Table13[[#This Row],[Last_Name]]))</f>
        <v>Bobdavis</v>
      </c>
      <c r="N910" s="3" t="str">
        <f t="shared" si="14"/>
        <v>Oct</v>
      </c>
      <c r="O910" s="3" t="str">
        <f>TEXT(Table13[[#This Row],[Join_Date]],"yyyy")</f>
        <v>2022</v>
      </c>
      <c r="P910" s="3" t="str">
        <f>LEFT('Main Project Raw Data'!E910,FIND("-",'Main Project Raw Data'!E910)-1)</f>
        <v>HR</v>
      </c>
      <c r="Q910" s="3" t="str">
        <f>RIGHT('Main Project Raw Data'!E910,LEN('Main Project Raw Data'!E910)-FIND("-",'Main Project Raw Data'!E910))</f>
        <v>Florida</v>
      </c>
    </row>
    <row r="911" spans="1:17" x14ac:dyDescent="0.3">
      <c r="A911" s="3" t="str">
        <f>TRIM(Table1[[#This Row],[Employee_ID]])</f>
        <v>EMP1909</v>
      </c>
      <c r="B911" s="3" t="str">
        <f>TRIM(Table1[[#This Row],[First_Name]])</f>
        <v>Eva</v>
      </c>
      <c r="C911" s="3" t="str">
        <f>TRIM(Table1[[#This Row],[Last_Name]])</f>
        <v>Miller</v>
      </c>
      <c r="D911" s="3">
        <f>IF(Table1[[#This Row],[Age]]="",AVERAGE(Table1[Age]),Table1[[#This Row],[Age]])</f>
        <v>40</v>
      </c>
      <c r="E911" s="3" t="s">
        <v>177</v>
      </c>
      <c r="F911" s="3" t="s">
        <v>28</v>
      </c>
      <c r="G911" s="5">
        <f>IF(ISNUMBER('Main Project Raw Data'!G911),'Main Project Raw Data'!G911,IF(ISNUMBER(SEARCH("/",'Main Project Raw Data'!G911)),DATE(RIGHT('Main Project Raw Data'!G911,4),LEFT('Main Project Raw Data'!G911,FIND("/",'Main Project Raw Data'!G911)-1),MID('Main Project Raw Data'!G911,FIND("/",'Main Project Raw Data'!G911)+1,2)),DATE(RIGHT('Main Project Raw Data'!G911,4),MID('Main Project Raw Data'!G911,4,2),LEFT('Main Project Raw Data'!G911,2))))</f>
        <v>45250</v>
      </c>
      <c r="H911" s="3">
        <f>IF(Table1[[#This Row],[Salary]]="",AVERAGE(Table1[Salary]),Table1[[#This Row],[Salary]])</f>
        <v>106615.71</v>
      </c>
      <c r="I911" s="3" t="s">
        <v>263</v>
      </c>
      <c r="J911" s="3">
        <f>ABS(Table1[[#This Row],[Phone]])</f>
        <v>7623039110</v>
      </c>
      <c r="K911" s="3" t="str">
        <f>PROPER(TRIM(Table1[[#This Row],[Performance_Score]]))</f>
        <v>Average</v>
      </c>
      <c r="L911" s="3" t="b">
        <f>Table1[[#This Row],[Remote_Work]]</f>
        <v>0</v>
      </c>
      <c r="M911" s="3" t="str">
        <f>PROPER(CONCATENATE(Table13[[#This Row],[First_Name]], Table13[[#This Row],[Last_Name]]))</f>
        <v>Evamiller</v>
      </c>
      <c r="N911" s="3" t="str">
        <f t="shared" si="14"/>
        <v>Nov</v>
      </c>
      <c r="O911" s="3" t="str">
        <f>TEXT(Table13[[#This Row],[Join_Date]],"yyyy")</f>
        <v>2023</v>
      </c>
      <c r="P911" s="3" t="str">
        <f>LEFT('Main Project Raw Data'!E911,FIND("-",'Main Project Raw Data'!E911)-1)</f>
        <v>Sales</v>
      </c>
      <c r="Q911" s="3" t="str">
        <f>RIGHT('Main Project Raw Data'!E911,LEN('Main Project Raw Data'!E911)-FIND("-",'Main Project Raw Data'!E911))</f>
        <v>California</v>
      </c>
    </row>
    <row r="912" spans="1:17" x14ac:dyDescent="0.3">
      <c r="A912" s="3" t="str">
        <f>TRIM(Table1[[#This Row],[Employee_ID]])</f>
        <v>EMP1910</v>
      </c>
      <c r="B912" s="3" t="str">
        <f>TRIM(Table1[[#This Row],[First_Name]])</f>
        <v>Bob</v>
      </c>
      <c r="C912" s="3" t="str">
        <f>TRIM(Table1[[#This Row],[Last_Name]])</f>
        <v>Williams</v>
      </c>
      <c r="D912" s="3">
        <f>IF(Table1[[#This Row],[Age]]="",AVERAGE(Table1[Age]),Table1[[#This Row],[Age]])</f>
        <v>30</v>
      </c>
      <c r="E912" s="3" t="s">
        <v>21</v>
      </c>
      <c r="F912" s="3" t="s">
        <v>16</v>
      </c>
      <c r="G912" s="5">
        <f>IF(ISNUMBER('Main Project Raw Data'!G912),'Main Project Raw Data'!G912,IF(ISNUMBER(SEARCH("/",'Main Project Raw Data'!G912)),DATE(RIGHT('Main Project Raw Data'!G912,4),LEFT('Main Project Raw Data'!G912,FIND("/",'Main Project Raw Data'!G912)-1),MID('Main Project Raw Data'!G912,FIND("/",'Main Project Raw Data'!G912)+1,2)),DATE(RIGHT('Main Project Raw Data'!G912,4),MID('Main Project Raw Data'!G912,4,2),LEFT('Main Project Raw Data'!G912,2))))</f>
        <v>44868</v>
      </c>
      <c r="H912" s="3">
        <f>IF(Table1[[#This Row],[Salary]]="",AVERAGE(Table1[Salary]),Table1[[#This Row],[Salary]])</f>
        <v>112856.21</v>
      </c>
      <c r="I912" s="3" t="s">
        <v>144</v>
      </c>
      <c r="J912" s="3">
        <f>ABS(Table1[[#This Row],[Phone]])</f>
        <v>4281785227</v>
      </c>
      <c r="K912" s="3" t="str">
        <f>PROPER(TRIM(Table1[[#This Row],[Performance_Score]]))</f>
        <v>Poor</v>
      </c>
      <c r="L912" s="3" t="b">
        <f>Table1[[#This Row],[Remote_Work]]</f>
        <v>0</v>
      </c>
      <c r="M912" s="3" t="str">
        <f>PROPER(CONCATENATE(Table13[[#This Row],[First_Name]], Table13[[#This Row],[Last_Name]]))</f>
        <v>Bobwilliams</v>
      </c>
      <c r="N912" s="3" t="str">
        <f t="shared" si="14"/>
        <v>Nov</v>
      </c>
      <c r="O912" s="3" t="str">
        <f>TEXT(Table13[[#This Row],[Join_Date]],"yyyy")</f>
        <v>2022</v>
      </c>
      <c r="P912" s="3" t="str">
        <f>LEFT('Main Project Raw Data'!E912,FIND("-",'Main Project Raw Data'!E912)-1)</f>
        <v>Finance</v>
      </c>
      <c r="Q912" s="3" t="str">
        <f>RIGHT('Main Project Raw Data'!E912,LEN('Main Project Raw Data'!E912)-FIND("-",'Main Project Raw Data'!E912))</f>
        <v>Texas</v>
      </c>
    </row>
    <row r="913" spans="1:17" x14ac:dyDescent="0.3">
      <c r="A913" s="3" t="str">
        <f>TRIM(Table1[[#This Row],[Employee_ID]])</f>
        <v>EMP1911</v>
      </c>
      <c r="B913" s="3" t="str">
        <f>TRIM(Table1[[#This Row],[First_Name]])</f>
        <v>Bob</v>
      </c>
      <c r="C913" s="3" t="str">
        <f>TRIM(Table1[[#This Row],[Last_Name]])</f>
        <v>Jones</v>
      </c>
      <c r="D913" s="3">
        <f>IF(Table1[[#This Row],[Age]]="",AVERAGE(Table1[Age]),Table1[[#This Row],[Age]])</f>
        <v>25</v>
      </c>
      <c r="E913" s="3" t="s">
        <v>118</v>
      </c>
      <c r="F913" s="3" t="s">
        <v>16</v>
      </c>
      <c r="G913" s="5">
        <f>IF(ISNUMBER('Main Project Raw Data'!G913),'Main Project Raw Data'!G913,IF(ISNUMBER(SEARCH("/",'Main Project Raw Data'!G913)),DATE(RIGHT('Main Project Raw Data'!G913,4),LEFT('Main Project Raw Data'!G913,FIND("/",'Main Project Raw Data'!G913)-1),MID('Main Project Raw Data'!G913,FIND("/",'Main Project Raw Data'!G913)+1,2)),DATE(RIGHT('Main Project Raw Data'!G913,4),MID('Main Project Raw Data'!G913,4,2),LEFT('Main Project Raw Data'!G913,2))))</f>
        <v>45258</v>
      </c>
      <c r="H913" s="3">
        <f>IF(Table1[[#This Row],[Salary]]="",AVERAGE(Table1[Salary]),Table1[[#This Row],[Salary]])</f>
        <v>60356.78</v>
      </c>
      <c r="I913" s="3" t="s">
        <v>50</v>
      </c>
      <c r="J913" s="3">
        <f>ABS(Table1[[#This Row],[Phone]])</f>
        <v>2305248087</v>
      </c>
      <c r="K913" s="3" t="str">
        <f>PROPER(TRIM(Table1[[#This Row],[Performance_Score]]))</f>
        <v>Poor</v>
      </c>
      <c r="L913" s="3" t="b">
        <f>Table1[[#This Row],[Remote_Work]]</f>
        <v>1</v>
      </c>
      <c r="M913" s="3" t="str">
        <f>PROPER(CONCATENATE(Table13[[#This Row],[First_Name]], Table13[[#This Row],[Last_Name]]))</f>
        <v>Bobjones</v>
      </c>
      <c r="N913" s="3" t="str">
        <f t="shared" si="14"/>
        <v>Nov</v>
      </c>
      <c r="O913" s="3" t="str">
        <f>TEXT(Table13[[#This Row],[Join_Date]],"yyyy")</f>
        <v>2023</v>
      </c>
      <c r="P913" s="3" t="str">
        <f>LEFT('Main Project Raw Data'!E913,FIND("-",'Main Project Raw Data'!E913)-1)</f>
        <v>Admin</v>
      </c>
      <c r="Q913" s="3" t="str">
        <f>RIGHT('Main Project Raw Data'!E913,LEN('Main Project Raw Data'!E913)-FIND("-",'Main Project Raw Data'!E913))</f>
        <v>California</v>
      </c>
    </row>
    <row r="914" spans="1:17" x14ac:dyDescent="0.3">
      <c r="A914" s="3" t="str">
        <f>TRIM(Table1[[#This Row],[Employee_ID]])</f>
        <v>EMP1912</v>
      </c>
      <c r="B914" s="3" t="str">
        <f>TRIM(Table1[[#This Row],[First_Name]])</f>
        <v>David</v>
      </c>
      <c r="C914" s="3" t="str">
        <f>TRIM(Table1[[#This Row],[Last_Name]])</f>
        <v>Jones</v>
      </c>
      <c r="D914" s="3">
        <f>IF(Table1[[#This Row],[Age]]="",AVERAGE(Table1[Age]),Table1[[#This Row],[Age]])</f>
        <v>32.484548825710753</v>
      </c>
      <c r="E914" s="3" t="s">
        <v>237</v>
      </c>
      <c r="F914" s="3" t="s">
        <v>33</v>
      </c>
      <c r="G914" s="5">
        <f>IF(ISNUMBER('Main Project Raw Data'!G914),'Main Project Raw Data'!G914,IF(ISNUMBER(SEARCH("/",'Main Project Raw Data'!G914)),DATE(RIGHT('Main Project Raw Data'!G914,4),LEFT('Main Project Raw Data'!G914,FIND("/",'Main Project Raw Data'!G914)-1),MID('Main Project Raw Data'!G914,FIND("/",'Main Project Raw Data'!G914)+1,2)),DATE(RIGHT('Main Project Raw Data'!G914,4),MID('Main Project Raw Data'!G914,4,2),LEFT('Main Project Raw Data'!G914,2))))</f>
        <v>44625</v>
      </c>
      <c r="H914" s="3">
        <f>IF(Table1[[#This Row],[Salary]]="",AVERAGE(Table1[Salary]),Table1[[#This Row],[Salary]])</f>
        <v>117870.22</v>
      </c>
      <c r="I914" s="3" t="s">
        <v>242</v>
      </c>
      <c r="J914" s="3">
        <f>ABS(Table1[[#This Row],[Phone]])</f>
        <v>622072238</v>
      </c>
      <c r="K914" s="3" t="str">
        <f>PROPER(TRIM(Table1[[#This Row],[Performance_Score]]))</f>
        <v>Excellent</v>
      </c>
      <c r="L914" s="3" t="b">
        <f>Table1[[#This Row],[Remote_Work]]</f>
        <v>0</v>
      </c>
      <c r="M914" s="3" t="str">
        <f>PROPER(CONCATENATE(Table13[[#This Row],[First_Name]], Table13[[#This Row],[Last_Name]]))</f>
        <v>Davidjones</v>
      </c>
      <c r="N914" s="3" t="str">
        <f t="shared" si="14"/>
        <v>Mar</v>
      </c>
      <c r="O914" s="3" t="str">
        <f>TEXT(Table13[[#This Row],[Join_Date]],"yyyy")</f>
        <v>2022</v>
      </c>
      <c r="P914" s="3" t="str">
        <f>LEFT('Main Project Raw Data'!E914,FIND("-",'Main Project Raw Data'!E914)-1)</f>
        <v>DevOps</v>
      </c>
      <c r="Q914" s="3" t="str">
        <f>RIGHT('Main Project Raw Data'!E914,LEN('Main Project Raw Data'!E914)-FIND("-",'Main Project Raw Data'!E914))</f>
        <v>Texas</v>
      </c>
    </row>
    <row r="915" spans="1:17" x14ac:dyDescent="0.3">
      <c r="A915" s="3" t="str">
        <f>TRIM(Table1[[#This Row],[Employee_ID]])</f>
        <v>EMP1913</v>
      </c>
      <c r="B915" s="3" t="str">
        <f>TRIM(Table1[[#This Row],[First_Name]])</f>
        <v>Charlie</v>
      </c>
      <c r="C915" s="3" t="str">
        <f>TRIM(Table1[[#This Row],[Last_Name]])</f>
        <v>Johnson</v>
      </c>
      <c r="D915" s="3">
        <f>IF(Table1[[#This Row],[Age]]="",AVERAGE(Table1[Age]),Table1[[#This Row],[Age]])</f>
        <v>40</v>
      </c>
      <c r="E915" s="3" t="s">
        <v>212</v>
      </c>
      <c r="F915" s="3" t="s">
        <v>33</v>
      </c>
      <c r="G915" s="5">
        <f>IF(ISNUMBER('Main Project Raw Data'!G915),'Main Project Raw Data'!G915,IF(ISNUMBER(SEARCH("/",'Main Project Raw Data'!G915)),DATE(RIGHT('Main Project Raw Data'!G915,4),LEFT('Main Project Raw Data'!G915,FIND("/",'Main Project Raw Data'!G915)-1),MID('Main Project Raw Data'!G915,FIND("/",'Main Project Raw Data'!G915)+1,2)),DATE(RIGHT('Main Project Raw Data'!G915,4),MID('Main Project Raw Data'!G915,4,2),LEFT('Main Project Raw Data'!G915,2))))</f>
        <v>45341</v>
      </c>
      <c r="H915" s="3">
        <f>IF(Table1[[#This Row],[Salary]]="",AVERAGE(Table1[Salary]),Table1[[#This Row],[Salary]])</f>
        <v>95127.91</v>
      </c>
      <c r="I915" s="3" t="s">
        <v>57</v>
      </c>
      <c r="J915" s="3">
        <f>ABS(Table1[[#This Row],[Phone]])</f>
        <v>5947372131</v>
      </c>
      <c r="K915" s="3" t="str">
        <f>PROPER(TRIM(Table1[[#This Row],[Performance_Score]]))</f>
        <v>Average</v>
      </c>
      <c r="L915" s="3" t="b">
        <f>Table1[[#This Row],[Remote_Work]]</f>
        <v>0</v>
      </c>
      <c r="M915" s="3" t="str">
        <f>PROPER(CONCATENATE(Table13[[#This Row],[First_Name]], Table13[[#This Row],[Last_Name]]))</f>
        <v>Charliejohnson</v>
      </c>
      <c r="N915" s="3" t="str">
        <f t="shared" si="14"/>
        <v>Feb</v>
      </c>
      <c r="O915" s="3" t="str">
        <f>TEXT(Table13[[#This Row],[Join_Date]],"yyyy")</f>
        <v>2024</v>
      </c>
      <c r="P915" s="3" t="str">
        <f>LEFT('Main Project Raw Data'!E915,FIND("-",'Main Project Raw Data'!E915)-1)</f>
        <v>HR</v>
      </c>
      <c r="Q915" s="3" t="str">
        <f>RIGHT('Main Project Raw Data'!E915,LEN('Main Project Raw Data'!E915)-FIND("-",'Main Project Raw Data'!E915))</f>
        <v>Florida</v>
      </c>
    </row>
    <row r="916" spans="1:17" x14ac:dyDescent="0.3">
      <c r="A916" s="3" t="str">
        <f>TRIM(Table1[[#This Row],[Employee_ID]])</f>
        <v>EMP1914</v>
      </c>
      <c r="B916" s="3" t="str">
        <f>TRIM(Table1[[#This Row],[First_Name]])</f>
        <v>Bob</v>
      </c>
      <c r="C916" s="3" t="str">
        <f>TRIM(Table1[[#This Row],[Last_Name]])</f>
        <v>Brown</v>
      </c>
      <c r="D916" s="3">
        <f>IF(Table1[[#This Row],[Age]]="",AVERAGE(Table1[Age]),Table1[[#This Row],[Age]])</f>
        <v>25</v>
      </c>
      <c r="E916" s="3" t="s">
        <v>89</v>
      </c>
      <c r="F916" s="3" t="s">
        <v>28</v>
      </c>
      <c r="G916" s="5">
        <f>IF(ISNUMBER('Main Project Raw Data'!G916),'Main Project Raw Data'!G916,IF(ISNUMBER(SEARCH("/",'Main Project Raw Data'!G916)),DATE(RIGHT('Main Project Raw Data'!G916,4),LEFT('Main Project Raw Data'!G916,FIND("/",'Main Project Raw Data'!G916)-1),MID('Main Project Raw Data'!G916,FIND("/",'Main Project Raw Data'!G916)+1,2)),DATE(RIGHT('Main Project Raw Data'!G916,4),MID('Main Project Raw Data'!G916,4,2),LEFT('Main Project Raw Data'!G916,2))))</f>
        <v>44518</v>
      </c>
      <c r="H916" s="3">
        <f>IF(Table1[[#This Row],[Salary]]="",AVERAGE(Table1[Salary]),Table1[[#This Row],[Salary]])</f>
        <v>78818.42</v>
      </c>
      <c r="I916" s="3" t="s">
        <v>22</v>
      </c>
      <c r="J916" s="3">
        <f>ABS(Table1[[#This Row],[Phone]])</f>
        <v>9016204786</v>
      </c>
      <c r="K916" s="3" t="str">
        <f>PROPER(TRIM(Table1[[#This Row],[Performance_Score]]))</f>
        <v>Average</v>
      </c>
      <c r="L916" s="3" t="b">
        <f>Table1[[#This Row],[Remote_Work]]</f>
        <v>0</v>
      </c>
      <c r="M916" s="3" t="str">
        <f>PROPER(CONCATENATE(Table13[[#This Row],[First_Name]], Table13[[#This Row],[Last_Name]]))</f>
        <v>Bobbrown</v>
      </c>
      <c r="N916" s="3" t="str">
        <f t="shared" si="14"/>
        <v>Nov</v>
      </c>
      <c r="O916" s="3" t="str">
        <f>TEXT(Table13[[#This Row],[Join_Date]],"yyyy")</f>
        <v>2021</v>
      </c>
      <c r="P916" s="3" t="str">
        <f>LEFT('Main Project Raw Data'!E916,FIND("-",'Main Project Raw Data'!E916)-1)</f>
        <v>Admin</v>
      </c>
      <c r="Q916" s="3" t="str">
        <f>RIGHT('Main Project Raw Data'!E916,LEN('Main Project Raw Data'!E916)-FIND("-",'Main Project Raw Data'!E916))</f>
        <v>Illinois</v>
      </c>
    </row>
    <row r="917" spans="1:17" x14ac:dyDescent="0.3">
      <c r="A917" s="3" t="str">
        <f>TRIM(Table1[[#This Row],[Employee_ID]])</f>
        <v>EMP1915</v>
      </c>
      <c r="B917" s="3" t="str">
        <f>TRIM(Table1[[#This Row],[First_Name]])</f>
        <v>Frank</v>
      </c>
      <c r="C917" s="3" t="str">
        <f>TRIM(Table1[[#This Row],[Last_Name]])</f>
        <v>Miller</v>
      </c>
      <c r="D917" s="3">
        <f>IF(Table1[[#This Row],[Age]]="",AVERAGE(Table1[Age]),Table1[[#This Row],[Age]])</f>
        <v>40</v>
      </c>
      <c r="E917" s="3" t="s">
        <v>219</v>
      </c>
      <c r="F917" s="3" t="s">
        <v>28</v>
      </c>
      <c r="G917" s="5">
        <f>IF(ISNUMBER('Main Project Raw Data'!G917),'Main Project Raw Data'!G917,IF(ISNUMBER(SEARCH("/",'Main Project Raw Data'!G917)),DATE(RIGHT('Main Project Raw Data'!G917,4),LEFT('Main Project Raw Data'!G917,FIND("/",'Main Project Raw Data'!G917)-1),MID('Main Project Raw Data'!G917,FIND("/",'Main Project Raw Data'!G917)+1,2)),DATE(RIGHT('Main Project Raw Data'!G917,4),MID('Main Project Raw Data'!G917,4,2),LEFT('Main Project Raw Data'!G917,2))))</f>
        <v>44916</v>
      </c>
      <c r="H917" s="3">
        <f>IF(Table1[[#This Row],[Salary]]="",AVERAGE(Table1[Salary]),Table1[[#This Row],[Salary]])</f>
        <v>108933.55</v>
      </c>
      <c r="I917" s="3" t="s">
        <v>110</v>
      </c>
      <c r="J917" s="3">
        <f>ABS(Table1[[#This Row],[Phone]])</f>
        <v>6886878598</v>
      </c>
      <c r="K917" s="3" t="str">
        <f>PROPER(TRIM(Table1[[#This Row],[Performance_Score]]))</f>
        <v>Poor</v>
      </c>
      <c r="L917" s="3" t="b">
        <f>Table1[[#This Row],[Remote_Work]]</f>
        <v>1</v>
      </c>
      <c r="M917" s="3" t="str">
        <f>PROPER(CONCATENATE(Table13[[#This Row],[First_Name]], Table13[[#This Row],[Last_Name]]))</f>
        <v>Frankmiller</v>
      </c>
      <c r="N917" s="3" t="str">
        <f t="shared" si="14"/>
        <v>Dec</v>
      </c>
      <c r="O917" s="3" t="str">
        <f>TEXT(Table13[[#This Row],[Join_Date]],"yyyy")</f>
        <v>2022</v>
      </c>
      <c r="P917" s="3" t="str">
        <f>LEFT('Main Project Raw Data'!E917,FIND("-",'Main Project Raw Data'!E917)-1)</f>
        <v>Sales</v>
      </c>
      <c r="Q917" s="3" t="str">
        <f>RIGHT('Main Project Raw Data'!E917,LEN('Main Project Raw Data'!E917)-FIND("-",'Main Project Raw Data'!E917))</f>
        <v>Nevada</v>
      </c>
    </row>
    <row r="918" spans="1:17" x14ac:dyDescent="0.3">
      <c r="A918" s="3" t="str">
        <f>TRIM(Table1[[#This Row],[Employee_ID]])</f>
        <v>EMP1916</v>
      </c>
      <c r="B918" s="3" t="str">
        <f>TRIM(Table1[[#This Row],[First_Name]])</f>
        <v>Eva</v>
      </c>
      <c r="C918" s="3" t="str">
        <f>TRIM(Table1[[#This Row],[Last_Name]])</f>
        <v>Johnson</v>
      </c>
      <c r="D918" s="3">
        <f>IF(Table1[[#This Row],[Age]]="",AVERAGE(Table1[Age]),Table1[[#This Row],[Age]])</f>
        <v>32.484548825710753</v>
      </c>
      <c r="E918" s="3" t="s">
        <v>118</v>
      </c>
      <c r="F918" s="3" t="s">
        <v>16</v>
      </c>
      <c r="G918" s="5">
        <f>IF(ISNUMBER('Main Project Raw Data'!G918),'Main Project Raw Data'!G918,IF(ISNUMBER(SEARCH("/",'Main Project Raw Data'!G918)),DATE(RIGHT('Main Project Raw Data'!G918,4),LEFT('Main Project Raw Data'!G918,FIND("/",'Main Project Raw Data'!G918)-1),MID('Main Project Raw Data'!G918,FIND("/",'Main Project Raw Data'!G918)+1,2)),DATE(RIGHT('Main Project Raw Data'!G918,4),MID('Main Project Raw Data'!G918,4,2),LEFT('Main Project Raw Data'!G918,2))))</f>
        <v>45388</v>
      </c>
      <c r="H918" s="3">
        <f>IF(Table1[[#This Row],[Salary]]="",AVERAGE(Table1[Salary]),Table1[[#This Row],[Salary]])</f>
        <v>68200.52</v>
      </c>
      <c r="I918" s="3" t="s">
        <v>322</v>
      </c>
      <c r="J918" s="3">
        <f>ABS(Table1[[#This Row],[Phone]])</f>
        <v>6486287202</v>
      </c>
      <c r="K918" s="3" t="str">
        <f>PROPER(TRIM(Table1[[#This Row],[Performance_Score]]))</f>
        <v>Average</v>
      </c>
      <c r="L918" s="3" t="b">
        <f>Table1[[#This Row],[Remote_Work]]</f>
        <v>1</v>
      </c>
      <c r="M918" s="3" t="str">
        <f>PROPER(CONCATENATE(Table13[[#This Row],[First_Name]], Table13[[#This Row],[Last_Name]]))</f>
        <v>Evajohnson</v>
      </c>
      <c r="N918" s="3" t="str">
        <f t="shared" si="14"/>
        <v>Apr</v>
      </c>
      <c r="O918" s="3" t="str">
        <f>TEXT(Table13[[#This Row],[Join_Date]],"yyyy")</f>
        <v>2024</v>
      </c>
      <c r="P918" s="3" t="str">
        <f>LEFT('Main Project Raw Data'!E918,FIND("-",'Main Project Raw Data'!E918)-1)</f>
        <v>Admin</v>
      </c>
      <c r="Q918" s="3" t="str">
        <f>RIGHT('Main Project Raw Data'!E918,LEN('Main Project Raw Data'!E918)-FIND("-",'Main Project Raw Data'!E918))</f>
        <v>California</v>
      </c>
    </row>
    <row r="919" spans="1:17" x14ac:dyDescent="0.3">
      <c r="A919" s="3" t="str">
        <f>TRIM(Table1[[#This Row],[Employee_ID]])</f>
        <v>EMP1917</v>
      </c>
      <c r="B919" s="3" t="str">
        <f>TRIM(Table1[[#This Row],[First_Name]])</f>
        <v>Eva</v>
      </c>
      <c r="C919" s="3" t="str">
        <f>TRIM(Table1[[#This Row],[Last_Name]])</f>
        <v>Brown</v>
      </c>
      <c r="D919" s="3">
        <f>IF(Table1[[#This Row],[Age]]="",AVERAGE(Table1[Age]),Table1[[#This Row],[Age]])</f>
        <v>25</v>
      </c>
      <c r="E919" s="3" t="s">
        <v>118</v>
      </c>
      <c r="F919" s="3" t="s">
        <v>33</v>
      </c>
      <c r="G919" s="5">
        <f>IF(ISNUMBER('Main Project Raw Data'!G919),'Main Project Raw Data'!G919,IF(ISNUMBER(SEARCH("/",'Main Project Raw Data'!G919)),DATE(RIGHT('Main Project Raw Data'!G919,4),LEFT('Main Project Raw Data'!G919,FIND("/",'Main Project Raw Data'!G919)-1),MID('Main Project Raw Data'!G919,FIND("/",'Main Project Raw Data'!G919)+1,2)),DATE(RIGHT('Main Project Raw Data'!G919,4),MID('Main Project Raw Data'!G919,4,2),LEFT('Main Project Raw Data'!G919,2))))</f>
        <v>44764</v>
      </c>
      <c r="H919" s="3">
        <f>IF(Table1[[#This Row],[Salary]]="",AVERAGE(Table1[Salary]),Table1[[#This Row],[Salary]])</f>
        <v>116934.97</v>
      </c>
      <c r="I919" s="3" t="s">
        <v>155</v>
      </c>
      <c r="J919" s="3">
        <f>ABS(Table1[[#This Row],[Phone]])</f>
        <v>1954196663</v>
      </c>
      <c r="K919" s="3" t="str">
        <f>PROPER(TRIM(Table1[[#This Row],[Performance_Score]]))</f>
        <v>Good</v>
      </c>
      <c r="L919" s="3" t="b">
        <f>Table1[[#This Row],[Remote_Work]]</f>
        <v>1</v>
      </c>
      <c r="M919" s="3" t="str">
        <f>PROPER(CONCATENATE(Table13[[#This Row],[First_Name]], Table13[[#This Row],[Last_Name]]))</f>
        <v>Evabrown</v>
      </c>
      <c r="N919" s="3" t="str">
        <f t="shared" si="14"/>
        <v>Jul</v>
      </c>
      <c r="O919" s="3" t="str">
        <f>TEXT(Table13[[#This Row],[Join_Date]],"yyyy")</f>
        <v>2022</v>
      </c>
      <c r="P919" s="3" t="str">
        <f>LEFT('Main Project Raw Data'!E919,FIND("-",'Main Project Raw Data'!E919)-1)</f>
        <v>Admin</v>
      </c>
      <c r="Q919" s="3" t="str">
        <f>RIGHT('Main Project Raw Data'!E919,LEN('Main Project Raw Data'!E919)-FIND("-",'Main Project Raw Data'!E919))</f>
        <v>California</v>
      </c>
    </row>
    <row r="920" spans="1:17" x14ac:dyDescent="0.3">
      <c r="A920" s="3" t="str">
        <f>TRIM(Table1[[#This Row],[Employee_ID]])</f>
        <v>EMP1918</v>
      </c>
      <c r="B920" s="3" t="str">
        <f>TRIM(Table1[[#This Row],[First_Name]])</f>
        <v>Charlie</v>
      </c>
      <c r="C920" s="3" t="str">
        <f>TRIM(Table1[[#This Row],[Last_Name]])</f>
        <v>Brown</v>
      </c>
      <c r="D920" s="3">
        <f>IF(Table1[[#This Row],[Age]]="",AVERAGE(Table1[Age]),Table1[[#This Row],[Age]])</f>
        <v>32.484548825710753</v>
      </c>
      <c r="E920" s="3" t="s">
        <v>66</v>
      </c>
      <c r="F920" s="3" t="s">
        <v>16</v>
      </c>
      <c r="G920" s="5">
        <f>IF(ISNUMBER('Main Project Raw Data'!G920),'Main Project Raw Data'!G920,IF(ISNUMBER(SEARCH("/",'Main Project Raw Data'!G920)),DATE(RIGHT('Main Project Raw Data'!G920,4),LEFT('Main Project Raw Data'!G920,FIND("/",'Main Project Raw Data'!G920)-1),MID('Main Project Raw Data'!G920,FIND("/",'Main Project Raw Data'!G920)+1,2)),DATE(RIGHT('Main Project Raw Data'!G920,4),MID('Main Project Raw Data'!G920,4,2),LEFT('Main Project Raw Data'!G920,2))))</f>
        <v>45549</v>
      </c>
      <c r="H920" s="3">
        <f>IF(Table1[[#This Row],[Salary]]="",AVERAGE(Table1[Salary]),Table1[[#This Row],[Salary]])</f>
        <v>99567.78</v>
      </c>
      <c r="I920" s="3" t="s">
        <v>125</v>
      </c>
      <c r="J920" s="3">
        <f>ABS(Table1[[#This Row],[Phone]])</f>
        <v>5057303626</v>
      </c>
      <c r="K920" s="3" t="str">
        <f>PROPER(TRIM(Table1[[#This Row],[Performance_Score]]))</f>
        <v>Good</v>
      </c>
      <c r="L920" s="3" t="b">
        <f>Table1[[#This Row],[Remote_Work]]</f>
        <v>1</v>
      </c>
      <c r="M920" s="3" t="str">
        <f>PROPER(CONCATENATE(Table13[[#This Row],[First_Name]], Table13[[#This Row],[Last_Name]]))</f>
        <v>Charliebrown</v>
      </c>
      <c r="N920" s="3" t="str">
        <f t="shared" si="14"/>
        <v>Sep</v>
      </c>
      <c r="O920" s="3" t="str">
        <f>TEXT(Table13[[#This Row],[Join_Date]],"yyyy")</f>
        <v>2024</v>
      </c>
      <c r="P920" s="3" t="str">
        <f>LEFT('Main Project Raw Data'!E920,FIND("-",'Main Project Raw Data'!E920)-1)</f>
        <v>HR</v>
      </c>
      <c r="Q920" s="3" t="str">
        <f>RIGHT('Main Project Raw Data'!E920,LEN('Main Project Raw Data'!E920)-FIND("-",'Main Project Raw Data'!E920))</f>
        <v>New York</v>
      </c>
    </row>
    <row r="921" spans="1:17" x14ac:dyDescent="0.3">
      <c r="A921" s="3" t="str">
        <f>TRIM(Table1[[#This Row],[Employee_ID]])</f>
        <v>EMP1919</v>
      </c>
      <c r="B921" s="3" t="str">
        <f>TRIM(Table1[[#This Row],[First_Name]])</f>
        <v>Charlie</v>
      </c>
      <c r="C921" s="3" t="str">
        <f>TRIM(Table1[[#This Row],[Last_Name]])</f>
        <v>Garcia</v>
      </c>
      <c r="D921" s="3">
        <f>IF(Table1[[#This Row],[Age]]="",AVERAGE(Table1[Age]),Table1[[#This Row],[Age]])</f>
        <v>30</v>
      </c>
      <c r="E921" s="3" t="s">
        <v>103</v>
      </c>
      <c r="F921" s="3" t="s">
        <v>16</v>
      </c>
      <c r="G921" s="5">
        <f>IF(ISNUMBER('Main Project Raw Data'!G921),'Main Project Raw Data'!G921,IF(ISNUMBER(SEARCH("/",'Main Project Raw Data'!G921)),DATE(RIGHT('Main Project Raw Data'!G921,4),LEFT('Main Project Raw Data'!G921,FIND("/",'Main Project Raw Data'!G921)-1),MID('Main Project Raw Data'!G921,FIND("/",'Main Project Raw Data'!G921)+1,2)),DATE(RIGHT('Main Project Raw Data'!G921,4),MID('Main Project Raw Data'!G921,4,2),LEFT('Main Project Raw Data'!G921,2))))</f>
        <v>44479</v>
      </c>
      <c r="H921" s="3">
        <f>IF(Table1[[#This Row],[Salary]]="",AVERAGE(Table1[Salary]),Table1[[#This Row],[Salary]])</f>
        <v>90216.76</v>
      </c>
      <c r="I921" s="3" t="s">
        <v>87</v>
      </c>
      <c r="J921" s="3">
        <f>ABS(Table1[[#This Row],[Phone]])</f>
        <v>9246320373</v>
      </c>
      <c r="K921" s="3" t="str">
        <f>PROPER(TRIM(Table1[[#This Row],[Performance_Score]]))</f>
        <v>Average</v>
      </c>
      <c r="L921" s="3" t="b">
        <f>Table1[[#This Row],[Remote_Work]]</f>
        <v>1</v>
      </c>
      <c r="M921" s="3" t="str">
        <f>PROPER(CONCATENATE(Table13[[#This Row],[First_Name]], Table13[[#This Row],[Last_Name]]))</f>
        <v>Charliegarcia</v>
      </c>
      <c r="N921" s="3" t="str">
        <f t="shared" si="14"/>
        <v>Oct</v>
      </c>
      <c r="O921" s="3" t="str">
        <f>TEXT(Table13[[#This Row],[Join_Date]],"yyyy")</f>
        <v>2021</v>
      </c>
      <c r="P921" s="3" t="str">
        <f>LEFT('Main Project Raw Data'!E921,FIND("-",'Main Project Raw Data'!E921)-1)</f>
        <v>Admin</v>
      </c>
      <c r="Q921" s="3" t="str">
        <f>RIGHT('Main Project Raw Data'!E921,LEN('Main Project Raw Data'!E921)-FIND("-",'Main Project Raw Data'!E921))</f>
        <v>Texas</v>
      </c>
    </row>
    <row r="922" spans="1:17" x14ac:dyDescent="0.3">
      <c r="A922" s="3" t="str">
        <f>TRIM(Table1[[#This Row],[Employee_ID]])</f>
        <v>EMP1920</v>
      </c>
      <c r="B922" s="3" t="str">
        <f>TRIM(Table1[[#This Row],[First_Name]])</f>
        <v>Frank</v>
      </c>
      <c r="C922" s="3" t="str">
        <f>TRIM(Table1[[#This Row],[Last_Name]])</f>
        <v>Jones</v>
      </c>
      <c r="D922" s="3">
        <f>IF(Table1[[#This Row],[Age]]="",AVERAGE(Table1[Age]),Table1[[#This Row],[Age]])</f>
        <v>30</v>
      </c>
      <c r="E922" s="3" t="s">
        <v>89</v>
      </c>
      <c r="F922" s="3" t="s">
        <v>28</v>
      </c>
      <c r="G922" s="5">
        <f>IF(ISNUMBER('Main Project Raw Data'!G922),'Main Project Raw Data'!G922,IF(ISNUMBER(SEARCH("/",'Main Project Raw Data'!G922)),DATE(RIGHT('Main Project Raw Data'!G922,4),LEFT('Main Project Raw Data'!G922,FIND("/",'Main Project Raw Data'!G922)-1),MID('Main Project Raw Data'!G922,FIND("/",'Main Project Raw Data'!G922)+1,2)),DATE(RIGHT('Main Project Raw Data'!G922,4),MID('Main Project Raw Data'!G922,4,2),LEFT('Main Project Raw Data'!G922,2))))</f>
        <v>44168</v>
      </c>
      <c r="H922" s="3">
        <f>IF(Table1[[#This Row],[Salary]]="",AVERAGE(Table1[Salary]),Table1[[#This Row],[Salary]])</f>
        <v>96588.73</v>
      </c>
      <c r="I922" s="3" t="s">
        <v>47</v>
      </c>
      <c r="J922" s="3">
        <f>ABS(Table1[[#This Row],[Phone]])</f>
        <v>7677537259</v>
      </c>
      <c r="K922" s="3" t="str">
        <f>PROPER(TRIM(Table1[[#This Row],[Performance_Score]]))</f>
        <v>Average</v>
      </c>
      <c r="L922" s="3" t="b">
        <f>Table1[[#This Row],[Remote_Work]]</f>
        <v>1</v>
      </c>
      <c r="M922" s="3" t="str">
        <f>PROPER(CONCATENATE(Table13[[#This Row],[First_Name]], Table13[[#This Row],[Last_Name]]))</f>
        <v>Frankjones</v>
      </c>
      <c r="N922" s="3" t="str">
        <f t="shared" si="14"/>
        <v>Dec</v>
      </c>
      <c r="O922" s="3" t="str">
        <f>TEXT(Table13[[#This Row],[Join_Date]],"yyyy")</f>
        <v>2020</v>
      </c>
      <c r="P922" s="3" t="str">
        <f>LEFT('Main Project Raw Data'!E922,FIND("-",'Main Project Raw Data'!E922)-1)</f>
        <v>Admin</v>
      </c>
      <c r="Q922" s="3" t="str">
        <f>RIGHT('Main Project Raw Data'!E922,LEN('Main Project Raw Data'!E922)-FIND("-",'Main Project Raw Data'!E922))</f>
        <v>Illinois</v>
      </c>
    </row>
    <row r="923" spans="1:17" x14ac:dyDescent="0.3">
      <c r="A923" s="3" t="str">
        <f>TRIM(Table1[[#This Row],[Employee_ID]])</f>
        <v>EMP1921</v>
      </c>
      <c r="B923" s="3" t="str">
        <f>TRIM(Table1[[#This Row],[First_Name]])</f>
        <v>Charlie</v>
      </c>
      <c r="C923" s="3" t="str">
        <f>TRIM(Table1[[#This Row],[Last_Name]])</f>
        <v>Davis</v>
      </c>
      <c r="D923" s="3">
        <f>IF(Table1[[#This Row],[Age]]="",AVERAGE(Table1[Age]),Table1[[#This Row],[Age]])</f>
        <v>35</v>
      </c>
      <c r="E923" s="3" t="s">
        <v>265</v>
      </c>
      <c r="F923" s="3" t="s">
        <v>16</v>
      </c>
      <c r="G923" s="5">
        <f>IF(ISNUMBER('Main Project Raw Data'!G923),'Main Project Raw Data'!G923,IF(ISNUMBER(SEARCH("/",'Main Project Raw Data'!G923)),DATE(RIGHT('Main Project Raw Data'!G923,4),LEFT('Main Project Raw Data'!G923,FIND("/",'Main Project Raw Data'!G923)-1),MID('Main Project Raw Data'!G923,FIND("/",'Main Project Raw Data'!G923)+1,2)),DATE(RIGHT('Main Project Raw Data'!G923,4),MID('Main Project Raw Data'!G923,4,2),LEFT('Main Project Raw Data'!G923,2))))</f>
        <v>44923</v>
      </c>
      <c r="H923" s="3">
        <f>IF(Table1[[#This Row],[Salary]]="",AVERAGE(Table1[Salary]),Table1[[#This Row],[Salary]])</f>
        <v>71109.179999999993</v>
      </c>
      <c r="I923" s="3" t="s">
        <v>170</v>
      </c>
      <c r="J923" s="3">
        <f>ABS(Table1[[#This Row],[Phone]])</f>
        <v>3214505765</v>
      </c>
      <c r="K923" s="3" t="str">
        <f>PROPER(TRIM(Table1[[#This Row],[Performance_Score]]))</f>
        <v>Poor</v>
      </c>
      <c r="L923" s="3" t="b">
        <f>Table1[[#This Row],[Remote_Work]]</f>
        <v>1</v>
      </c>
      <c r="M923" s="3" t="str">
        <f>PROPER(CONCATENATE(Table13[[#This Row],[First_Name]], Table13[[#This Row],[Last_Name]]))</f>
        <v>Charliedavis</v>
      </c>
      <c r="N923" s="3" t="str">
        <f t="shared" si="14"/>
        <v>Dec</v>
      </c>
      <c r="O923" s="3" t="str">
        <f>TEXT(Table13[[#This Row],[Join_Date]],"yyyy")</f>
        <v>2022</v>
      </c>
      <c r="P923" s="3" t="str">
        <f>LEFT('Main Project Raw Data'!E923,FIND("-",'Main Project Raw Data'!E923)-1)</f>
        <v>Finance</v>
      </c>
      <c r="Q923" s="3" t="str">
        <f>RIGHT('Main Project Raw Data'!E923,LEN('Main Project Raw Data'!E923)-FIND("-",'Main Project Raw Data'!E923))</f>
        <v>Illinois</v>
      </c>
    </row>
    <row r="924" spans="1:17" x14ac:dyDescent="0.3">
      <c r="A924" s="3" t="str">
        <f>TRIM(Table1[[#This Row],[Employee_ID]])</f>
        <v>EMP1922</v>
      </c>
      <c r="B924" s="3" t="str">
        <f>TRIM(Table1[[#This Row],[First_Name]])</f>
        <v>Grace</v>
      </c>
      <c r="C924" s="3" t="str">
        <f>TRIM(Table1[[#This Row],[Last_Name]])</f>
        <v>Smith</v>
      </c>
      <c r="D924" s="3">
        <f>IF(Table1[[#This Row],[Age]]="",AVERAGE(Table1[Age]),Table1[[#This Row],[Age]])</f>
        <v>40</v>
      </c>
      <c r="E924" s="3" t="s">
        <v>205</v>
      </c>
      <c r="F924" s="3" t="s">
        <v>33</v>
      </c>
      <c r="G924" s="5">
        <f>IF(ISNUMBER('Main Project Raw Data'!G924),'Main Project Raw Data'!G924,IF(ISNUMBER(SEARCH("/",'Main Project Raw Data'!G924)),DATE(RIGHT('Main Project Raw Data'!G924,4),LEFT('Main Project Raw Data'!G924,FIND("/",'Main Project Raw Data'!G924)-1),MID('Main Project Raw Data'!G924,FIND("/",'Main Project Raw Data'!G924)+1,2)),DATE(RIGHT('Main Project Raw Data'!G924,4),MID('Main Project Raw Data'!G924,4,2),LEFT('Main Project Raw Data'!G924,2))))</f>
        <v>44150</v>
      </c>
      <c r="H924" s="3">
        <f>IF(Table1[[#This Row],[Salary]]="",AVERAGE(Table1[Salary]),Table1[[#This Row],[Salary]])</f>
        <v>50300.6</v>
      </c>
      <c r="I924" s="3" t="s">
        <v>135</v>
      </c>
      <c r="J924" s="3">
        <f>ABS(Table1[[#This Row],[Phone]])</f>
        <v>1945887070</v>
      </c>
      <c r="K924" s="3" t="str">
        <f>PROPER(TRIM(Table1[[#This Row],[Performance_Score]]))</f>
        <v>Good</v>
      </c>
      <c r="L924" s="3" t="b">
        <f>Table1[[#This Row],[Remote_Work]]</f>
        <v>0</v>
      </c>
      <c r="M924" s="3" t="str">
        <f>PROPER(CONCATENATE(Table13[[#This Row],[First_Name]], Table13[[#This Row],[Last_Name]]))</f>
        <v>Gracesmith</v>
      </c>
      <c r="N924" s="3" t="str">
        <f t="shared" si="14"/>
        <v>Nov</v>
      </c>
      <c r="O924" s="3" t="str">
        <f>TEXT(Table13[[#This Row],[Join_Date]],"yyyy")</f>
        <v>2020</v>
      </c>
      <c r="P924" s="3" t="str">
        <f>LEFT('Main Project Raw Data'!E924,FIND("-",'Main Project Raw Data'!E924)-1)</f>
        <v>Admin</v>
      </c>
      <c r="Q924" s="3" t="str">
        <f>RIGHT('Main Project Raw Data'!E924,LEN('Main Project Raw Data'!E924)-FIND("-",'Main Project Raw Data'!E924))</f>
        <v>Florida</v>
      </c>
    </row>
    <row r="925" spans="1:17" x14ac:dyDescent="0.3">
      <c r="A925" s="3" t="str">
        <f>TRIM(Table1[[#This Row],[Employee_ID]])</f>
        <v>EMP1923</v>
      </c>
      <c r="B925" s="3" t="str">
        <f>TRIM(Table1[[#This Row],[First_Name]])</f>
        <v>Frank</v>
      </c>
      <c r="C925" s="3" t="str">
        <f>TRIM(Table1[[#This Row],[Last_Name]])</f>
        <v>Davis</v>
      </c>
      <c r="D925" s="3">
        <f>IF(Table1[[#This Row],[Age]]="",AVERAGE(Table1[Age]),Table1[[#This Row],[Age]])</f>
        <v>35</v>
      </c>
      <c r="E925" s="3" t="s">
        <v>70</v>
      </c>
      <c r="F925" s="3" t="s">
        <v>28</v>
      </c>
      <c r="G925" s="5">
        <f>IF(ISNUMBER('Main Project Raw Data'!G925),'Main Project Raw Data'!G925,IF(ISNUMBER(SEARCH("/",'Main Project Raw Data'!G925)),DATE(RIGHT('Main Project Raw Data'!G925,4),LEFT('Main Project Raw Data'!G925,FIND("/",'Main Project Raw Data'!G925)-1),MID('Main Project Raw Data'!G925,FIND("/",'Main Project Raw Data'!G925)+1,2)),DATE(RIGHT('Main Project Raw Data'!G925,4),MID('Main Project Raw Data'!G925,4,2),LEFT('Main Project Raw Data'!G925,2))))</f>
        <v>45196</v>
      </c>
      <c r="H925" s="3">
        <f>IF(Table1[[#This Row],[Salary]]="",AVERAGE(Table1[Salary]),Table1[[#This Row],[Salary]])</f>
        <v>60295.839999999997</v>
      </c>
      <c r="I925" s="3" t="s">
        <v>52</v>
      </c>
      <c r="J925" s="3">
        <f>ABS(Table1[[#This Row],[Phone]])</f>
        <v>5534820127</v>
      </c>
      <c r="K925" s="3" t="str">
        <f>PROPER(TRIM(Table1[[#This Row],[Performance_Score]]))</f>
        <v>Good</v>
      </c>
      <c r="L925" s="3" t="b">
        <f>Table1[[#This Row],[Remote_Work]]</f>
        <v>0</v>
      </c>
      <c r="M925" s="3" t="str">
        <f>PROPER(CONCATENATE(Table13[[#This Row],[First_Name]], Table13[[#This Row],[Last_Name]]))</f>
        <v>Frankdavis</v>
      </c>
      <c r="N925" s="3" t="str">
        <f t="shared" si="14"/>
        <v>Sep</v>
      </c>
      <c r="O925" s="3" t="str">
        <f>TEXT(Table13[[#This Row],[Join_Date]],"yyyy")</f>
        <v>2023</v>
      </c>
      <c r="P925" s="3" t="str">
        <f>LEFT('Main Project Raw Data'!E925,FIND("-",'Main Project Raw Data'!E925)-1)</f>
        <v>Finance</v>
      </c>
      <c r="Q925" s="3" t="str">
        <f>RIGHT('Main Project Raw Data'!E925,LEN('Main Project Raw Data'!E925)-FIND("-",'Main Project Raw Data'!E925))</f>
        <v>California</v>
      </c>
    </row>
    <row r="926" spans="1:17" x14ac:dyDescent="0.3">
      <c r="A926" s="3" t="str">
        <f>TRIM(Table1[[#This Row],[Employee_ID]])</f>
        <v>EMP1924</v>
      </c>
      <c r="B926" s="3" t="str">
        <f>TRIM(Table1[[#This Row],[First_Name]])</f>
        <v>Heidi</v>
      </c>
      <c r="C926" s="3" t="str">
        <f>TRIM(Table1[[#This Row],[Last_Name]])</f>
        <v>Smith</v>
      </c>
      <c r="D926" s="3">
        <f>IF(Table1[[#This Row],[Age]]="",AVERAGE(Table1[Age]),Table1[[#This Row],[Age]])</f>
        <v>35</v>
      </c>
      <c r="E926" s="3" t="s">
        <v>237</v>
      </c>
      <c r="F926" s="3" t="s">
        <v>28</v>
      </c>
      <c r="G926" s="5">
        <f>IF(ISNUMBER('Main Project Raw Data'!G926),'Main Project Raw Data'!G926,IF(ISNUMBER(SEARCH("/",'Main Project Raw Data'!G926)),DATE(RIGHT('Main Project Raw Data'!G926,4),LEFT('Main Project Raw Data'!G926,FIND("/",'Main Project Raw Data'!G926)-1),MID('Main Project Raw Data'!G926,FIND("/",'Main Project Raw Data'!G926)+1,2)),DATE(RIGHT('Main Project Raw Data'!G926,4),MID('Main Project Raw Data'!G926,4,2),LEFT('Main Project Raw Data'!G926,2))))</f>
        <v>44751</v>
      </c>
      <c r="H926" s="3">
        <f>IF(Table1[[#This Row],[Salary]]="",AVERAGE(Table1[Salary]),Table1[[#This Row],[Salary]])</f>
        <v>113012.21</v>
      </c>
      <c r="I926" s="3" t="s">
        <v>366</v>
      </c>
      <c r="J926" s="3">
        <f>ABS(Table1[[#This Row],[Phone]])</f>
        <v>4008385075</v>
      </c>
      <c r="K926" s="3" t="str">
        <f>PROPER(TRIM(Table1[[#This Row],[Performance_Score]]))</f>
        <v>Excellent</v>
      </c>
      <c r="L926" s="3" t="b">
        <f>Table1[[#This Row],[Remote_Work]]</f>
        <v>0</v>
      </c>
      <c r="M926" s="3" t="str">
        <f>PROPER(CONCATENATE(Table13[[#This Row],[First_Name]], Table13[[#This Row],[Last_Name]]))</f>
        <v>Heidismith</v>
      </c>
      <c r="N926" s="3" t="str">
        <f t="shared" si="14"/>
        <v>Jul</v>
      </c>
      <c r="O926" s="3" t="str">
        <f>TEXT(Table13[[#This Row],[Join_Date]],"yyyy")</f>
        <v>2022</v>
      </c>
      <c r="P926" s="3" t="str">
        <f>LEFT('Main Project Raw Data'!E926,FIND("-",'Main Project Raw Data'!E926)-1)</f>
        <v>DevOps</v>
      </c>
      <c r="Q926" s="3" t="str">
        <f>RIGHT('Main Project Raw Data'!E926,LEN('Main Project Raw Data'!E926)-FIND("-",'Main Project Raw Data'!E926))</f>
        <v>Texas</v>
      </c>
    </row>
    <row r="927" spans="1:17" x14ac:dyDescent="0.3">
      <c r="A927" s="3" t="str">
        <f>TRIM(Table1[[#This Row],[Employee_ID]])</f>
        <v>EMP1925</v>
      </c>
      <c r="B927" s="3" t="str">
        <f>TRIM(Table1[[#This Row],[First_Name]])</f>
        <v>Bob</v>
      </c>
      <c r="C927" s="3" t="str">
        <f>TRIM(Table1[[#This Row],[Last_Name]])</f>
        <v>Williams</v>
      </c>
      <c r="D927" s="3">
        <f>IF(Table1[[#This Row],[Age]]="",AVERAGE(Table1[Age]),Table1[[#This Row],[Age]])</f>
        <v>35</v>
      </c>
      <c r="E927" s="3" t="s">
        <v>39</v>
      </c>
      <c r="F927" s="3" t="s">
        <v>28</v>
      </c>
      <c r="G927" s="5">
        <f>IF(ISNUMBER('Main Project Raw Data'!G927),'Main Project Raw Data'!G927,IF(ISNUMBER(SEARCH("/",'Main Project Raw Data'!G927)),DATE(RIGHT('Main Project Raw Data'!G927,4),LEFT('Main Project Raw Data'!G927,FIND("/",'Main Project Raw Data'!G927)-1),MID('Main Project Raw Data'!G927,FIND("/",'Main Project Raw Data'!G927)+1,2)),DATE(RIGHT('Main Project Raw Data'!G927,4),MID('Main Project Raw Data'!G927,4,2),LEFT('Main Project Raw Data'!G927,2))))</f>
        <v>45553</v>
      </c>
      <c r="H927" s="3">
        <f>IF(Table1[[#This Row],[Salary]]="",AVERAGE(Table1[Salary]),Table1[[#This Row],[Salary]])</f>
        <v>65425.54</v>
      </c>
      <c r="I927" s="3" t="s">
        <v>144</v>
      </c>
      <c r="J927" s="3">
        <f>ABS(Table1[[#This Row],[Phone]])</f>
        <v>5975954507</v>
      </c>
      <c r="K927" s="3" t="str">
        <f>PROPER(TRIM(Table1[[#This Row],[Performance_Score]]))</f>
        <v>Poor</v>
      </c>
      <c r="L927" s="3" t="b">
        <f>Table1[[#This Row],[Remote_Work]]</f>
        <v>1</v>
      </c>
      <c r="M927" s="3" t="str">
        <f>PROPER(CONCATENATE(Table13[[#This Row],[First_Name]], Table13[[#This Row],[Last_Name]]))</f>
        <v>Bobwilliams</v>
      </c>
      <c r="N927" s="3" t="str">
        <f t="shared" si="14"/>
        <v>Sep</v>
      </c>
      <c r="O927" s="3" t="str">
        <f>TEXT(Table13[[#This Row],[Join_Date]],"yyyy")</f>
        <v>2024</v>
      </c>
      <c r="P927" s="3" t="str">
        <f>LEFT('Main Project Raw Data'!E927,FIND("-",'Main Project Raw Data'!E927)-1)</f>
        <v>Cloud Tech</v>
      </c>
      <c r="Q927" s="3" t="str">
        <f>RIGHT('Main Project Raw Data'!E927,LEN('Main Project Raw Data'!E927)-FIND("-",'Main Project Raw Data'!E927))</f>
        <v>Florida</v>
      </c>
    </row>
    <row r="928" spans="1:17" x14ac:dyDescent="0.3">
      <c r="A928" s="3" t="str">
        <f>TRIM(Table1[[#This Row],[Employee_ID]])</f>
        <v>EMP1926</v>
      </c>
      <c r="B928" s="3" t="str">
        <f>TRIM(Table1[[#This Row],[First_Name]])</f>
        <v>Frank</v>
      </c>
      <c r="C928" s="3" t="str">
        <f>TRIM(Table1[[#This Row],[Last_Name]])</f>
        <v>Jones</v>
      </c>
      <c r="D928" s="3">
        <f>IF(Table1[[#This Row],[Age]]="",AVERAGE(Table1[Age]),Table1[[#This Row],[Age]])</f>
        <v>25</v>
      </c>
      <c r="E928" s="3" t="s">
        <v>219</v>
      </c>
      <c r="F928" s="3" t="s">
        <v>16</v>
      </c>
      <c r="G928" s="5">
        <f>IF(ISNUMBER('Main Project Raw Data'!G928),'Main Project Raw Data'!G928,IF(ISNUMBER(SEARCH("/",'Main Project Raw Data'!G928)),DATE(RIGHT('Main Project Raw Data'!G928,4),LEFT('Main Project Raw Data'!G928,FIND("/",'Main Project Raw Data'!G928)-1),MID('Main Project Raw Data'!G928,FIND("/",'Main Project Raw Data'!G928)+1,2)),DATE(RIGHT('Main Project Raw Data'!G928,4),MID('Main Project Raw Data'!G928,4,2),LEFT('Main Project Raw Data'!G928,2))))</f>
        <v>45173</v>
      </c>
      <c r="H928" s="3">
        <f>IF(Table1[[#This Row],[Salary]]="",AVERAGE(Table1[Salary]),Table1[[#This Row],[Salary]])</f>
        <v>86850.37</v>
      </c>
      <c r="I928" s="3" t="s">
        <v>47</v>
      </c>
      <c r="J928" s="3">
        <f>ABS(Table1[[#This Row],[Phone]])</f>
        <v>9177680897</v>
      </c>
      <c r="K928" s="3" t="str">
        <f>PROPER(TRIM(Table1[[#This Row],[Performance_Score]]))</f>
        <v>Excellent</v>
      </c>
      <c r="L928" s="3" t="b">
        <f>Table1[[#This Row],[Remote_Work]]</f>
        <v>1</v>
      </c>
      <c r="M928" s="3" t="str">
        <f>PROPER(CONCATENATE(Table13[[#This Row],[First_Name]], Table13[[#This Row],[Last_Name]]))</f>
        <v>Frankjones</v>
      </c>
      <c r="N928" s="3" t="str">
        <f t="shared" si="14"/>
        <v>Sep</v>
      </c>
      <c r="O928" s="3" t="str">
        <f>TEXT(Table13[[#This Row],[Join_Date]],"yyyy")</f>
        <v>2023</v>
      </c>
      <c r="P928" s="3" t="str">
        <f>LEFT('Main Project Raw Data'!E928,FIND("-",'Main Project Raw Data'!E928)-1)</f>
        <v>Sales</v>
      </c>
      <c r="Q928" s="3" t="str">
        <f>RIGHT('Main Project Raw Data'!E928,LEN('Main Project Raw Data'!E928)-FIND("-",'Main Project Raw Data'!E928))</f>
        <v>Nevada</v>
      </c>
    </row>
    <row r="929" spans="1:17" x14ac:dyDescent="0.3">
      <c r="A929" s="3" t="str">
        <f>TRIM(Table1[[#This Row],[Employee_ID]])</f>
        <v>EMP1927</v>
      </c>
      <c r="B929" s="3" t="str">
        <f>TRIM(Table1[[#This Row],[First_Name]])</f>
        <v>Eva</v>
      </c>
      <c r="C929" s="3" t="str">
        <f>TRIM(Table1[[#This Row],[Last_Name]])</f>
        <v>Brown</v>
      </c>
      <c r="D929" s="3">
        <f>IF(Table1[[#This Row],[Age]]="",AVERAGE(Table1[Age]),Table1[[#This Row],[Age]])</f>
        <v>30</v>
      </c>
      <c r="E929" s="3" t="s">
        <v>159</v>
      </c>
      <c r="F929" s="3" t="s">
        <v>28</v>
      </c>
      <c r="G929" s="5">
        <f>IF(ISNUMBER('Main Project Raw Data'!G929),'Main Project Raw Data'!G929,IF(ISNUMBER(SEARCH("/",'Main Project Raw Data'!G929)),DATE(RIGHT('Main Project Raw Data'!G929,4),LEFT('Main Project Raw Data'!G929,FIND("/",'Main Project Raw Data'!G929)-1),MID('Main Project Raw Data'!G929,FIND("/",'Main Project Raw Data'!G929)+1,2)),DATE(RIGHT('Main Project Raw Data'!G929,4),MID('Main Project Raw Data'!G929,4,2),LEFT('Main Project Raw Data'!G929,2))))</f>
        <v>45422</v>
      </c>
      <c r="H929" s="3">
        <f>IF(Table1[[#This Row],[Salary]]="",AVERAGE(Table1[Salary]),Table1[[#This Row],[Salary]])</f>
        <v>81182.070000000007</v>
      </c>
      <c r="I929" s="3" t="s">
        <v>155</v>
      </c>
      <c r="J929" s="3">
        <f>ABS(Table1[[#This Row],[Phone]])</f>
        <v>1265742230</v>
      </c>
      <c r="K929" s="3" t="str">
        <f>PROPER(TRIM(Table1[[#This Row],[Performance_Score]]))</f>
        <v>Good</v>
      </c>
      <c r="L929" s="3" t="b">
        <f>Table1[[#This Row],[Remote_Work]]</f>
        <v>1</v>
      </c>
      <c r="M929" s="3" t="str">
        <f>PROPER(CONCATENATE(Table13[[#This Row],[First_Name]], Table13[[#This Row],[Last_Name]]))</f>
        <v>Evabrown</v>
      </c>
      <c r="N929" s="3" t="str">
        <f t="shared" si="14"/>
        <v>May</v>
      </c>
      <c r="O929" s="3" t="str">
        <f>TEXT(Table13[[#This Row],[Join_Date]],"yyyy")</f>
        <v>2024</v>
      </c>
      <c r="P929" s="3" t="str">
        <f>LEFT('Main Project Raw Data'!E929,FIND("-",'Main Project Raw Data'!E929)-1)</f>
        <v>Cloud Tech</v>
      </c>
      <c r="Q929" s="3" t="str">
        <f>RIGHT('Main Project Raw Data'!E929,LEN('Main Project Raw Data'!E929)-FIND("-",'Main Project Raw Data'!E929))</f>
        <v>Texas</v>
      </c>
    </row>
    <row r="930" spans="1:17" x14ac:dyDescent="0.3">
      <c r="A930" s="3" t="str">
        <f>TRIM(Table1[[#This Row],[Employee_ID]])</f>
        <v>EMP1928</v>
      </c>
      <c r="B930" s="3" t="str">
        <f>TRIM(Table1[[#This Row],[First_Name]])</f>
        <v>Bob</v>
      </c>
      <c r="C930" s="3" t="str">
        <f>TRIM(Table1[[#This Row],[Last_Name]])</f>
        <v>Miller</v>
      </c>
      <c r="D930" s="3">
        <f>IF(Table1[[#This Row],[Age]]="",AVERAGE(Table1[Age]),Table1[[#This Row],[Age]])</f>
        <v>32.484548825710753</v>
      </c>
      <c r="E930" s="3" t="s">
        <v>227</v>
      </c>
      <c r="F930" s="3" t="s">
        <v>33</v>
      </c>
      <c r="G930" s="5">
        <f>IF(ISNUMBER('Main Project Raw Data'!G930),'Main Project Raw Data'!G930,IF(ISNUMBER(SEARCH("/",'Main Project Raw Data'!G930)),DATE(RIGHT('Main Project Raw Data'!G930,4),LEFT('Main Project Raw Data'!G930,FIND("/",'Main Project Raw Data'!G930)-1),MID('Main Project Raw Data'!G930,FIND("/",'Main Project Raw Data'!G930)+1,2)),DATE(RIGHT('Main Project Raw Data'!G930,4),MID('Main Project Raw Data'!G930,4,2),LEFT('Main Project Raw Data'!G930,2))))</f>
        <v>44540</v>
      </c>
      <c r="H930" s="3">
        <f>IF(Table1[[#This Row],[Salary]]="",AVERAGE(Table1[Salary]),Table1[[#This Row],[Salary]])</f>
        <v>92222.03</v>
      </c>
      <c r="I930" s="3" t="s">
        <v>93</v>
      </c>
      <c r="J930" s="3">
        <f>ABS(Table1[[#This Row],[Phone]])</f>
        <v>9646300401</v>
      </c>
      <c r="K930" s="3" t="str">
        <f>PROPER(TRIM(Table1[[#This Row],[Performance_Score]]))</f>
        <v>Poor</v>
      </c>
      <c r="L930" s="3" t="b">
        <f>Table1[[#This Row],[Remote_Work]]</f>
        <v>1</v>
      </c>
      <c r="M930" s="3" t="str">
        <f>PROPER(CONCATENATE(Table13[[#This Row],[First_Name]], Table13[[#This Row],[Last_Name]]))</f>
        <v>Bobmiller</v>
      </c>
      <c r="N930" s="3" t="str">
        <f t="shared" si="14"/>
        <v>Dec</v>
      </c>
      <c r="O930" s="3" t="str">
        <f>TEXT(Table13[[#This Row],[Join_Date]],"yyyy")</f>
        <v>2021</v>
      </c>
      <c r="P930" s="3" t="str">
        <f>LEFT('Main Project Raw Data'!E930,FIND("-",'Main Project Raw Data'!E930)-1)</f>
        <v>Finance</v>
      </c>
      <c r="Q930" s="3" t="str">
        <f>RIGHT('Main Project Raw Data'!E930,LEN('Main Project Raw Data'!E930)-FIND("-",'Main Project Raw Data'!E930))</f>
        <v>New York</v>
      </c>
    </row>
    <row r="931" spans="1:17" x14ac:dyDescent="0.3">
      <c r="A931" s="3" t="str">
        <f>TRIM(Table1[[#This Row],[Employee_ID]])</f>
        <v>EMP1929</v>
      </c>
      <c r="B931" s="3" t="str">
        <f>TRIM(Table1[[#This Row],[First_Name]])</f>
        <v>Alice</v>
      </c>
      <c r="C931" s="3" t="str">
        <f>TRIM(Table1[[#This Row],[Last_Name]])</f>
        <v>Smith</v>
      </c>
      <c r="D931" s="3">
        <f>IF(Table1[[#This Row],[Age]]="",AVERAGE(Table1[Age]),Table1[[#This Row],[Age]])</f>
        <v>35</v>
      </c>
      <c r="E931" s="3" t="s">
        <v>227</v>
      </c>
      <c r="F931" s="3" t="s">
        <v>28</v>
      </c>
      <c r="G931" s="5">
        <f>IF(ISNUMBER('Main Project Raw Data'!G931),'Main Project Raw Data'!G931,IF(ISNUMBER(SEARCH("/",'Main Project Raw Data'!G931)),DATE(RIGHT('Main Project Raw Data'!G931,4),LEFT('Main Project Raw Data'!G931,FIND("/",'Main Project Raw Data'!G931)-1),MID('Main Project Raw Data'!G931,FIND("/",'Main Project Raw Data'!G931)+1,2)),DATE(RIGHT('Main Project Raw Data'!G931,4),MID('Main Project Raw Data'!G931,4,2),LEFT('Main Project Raw Data'!G931,2))))</f>
        <v>45579</v>
      </c>
      <c r="H931" s="3">
        <f>IF(Table1[[#This Row],[Salary]]="",AVERAGE(Table1[Salary]),Table1[[#This Row],[Salary]])</f>
        <v>79934.83</v>
      </c>
      <c r="I931" s="3" t="s">
        <v>182</v>
      </c>
      <c r="J931" s="3">
        <f>ABS(Table1[[#This Row],[Phone]])</f>
        <v>3693626893</v>
      </c>
      <c r="K931" s="3" t="str">
        <f>PROPER(TRIM(Table1[[#This Row],[Performance_Score]]))</f>
        <v>Average</v>
      </c>
      <c r="L931" s="3" t="b">
        <f>Table1[[#This Row],[Remote_Work]]</f>
        <v>1</v>
      </c>
      <c r="M931" s="3" t="str">
        <f>PROPER(CONCATENATE(Table13[[#This Row],[First_Name]], Table13[[#This Row],[Last_Name]]))</f>
        <v>Alicesmith</v>
      </c>
      <c r="N931" s="3" t="str">
        <f t="shared" si="14"/>
        <v>Oct</v>
      </c>
      <c r="O931" s="3" t="str">
        <f>TEXT(Table13[[#This Row],[Join_Date]],"yyyy")</f>
        <v>2024</v>
      </c>
      <c r="P931" s="3" t="str">
        <f>LEFT('Main Project Raw Data'!E931,FIND("-",'Main Project Raw Data'!E931)-1)</f>
        <v>Finance</v>
      </c>
      <c r="Q931" s="3" t="str">
        <f>RIGHT('Main Project Raw Data'!E931,LEN('Main Project Raw Data'!E931)-FIND("-",'Main Project Raw Data'!E931))</f>
        <v>New York</v>
      </c>
    </row>
    <row r="932" spans="1:17" x14ac:dyDescent="0.3">
      <c r="A932" s="3" t="str">
        <f>TRIM(Table1[[#This Row],[Employee_ID]])</f>
        <v>EMP1930</v>
      </c>
      <c r="B932" s="3" t="str">
        <f>TRIM(Table1[[#This Row],[First_Name]])</f>
        <v>Alice</v>
      </c>
      <c r="C932" s="3" t="str">
        <f>TRIM(Table1[[#This Row],[Last_Name]])</f>
        <v>Davis</v>
      </c>
      <c r="D932" s="3">
        <f>IF(Table1[[#This Row],[Age]]="",AVERAGE(Table1[Age]),Table1[[#This Row],[Age]])</f>
        <v>35</v>
      </c>
      <c r="E932" s="3" t="s">
        <v>146</v>
      </c>
      <c r="F932" s="3" t="s">
        <v>33</v>
      </c>
      <c r="G932" s="5">
        <f>IF(ISNUMBER('Main Project Raw Data'!G932),'Main Project Raw Data'!G932,IF(ISNUMBER(SEARCH("/",'Main Project Raw Data'!G932)),DATE(RIGHT('Main Project Raw Data'!G932,4),LEFT('Main Project Raw Data'!G932,FIND("/",'Main Project Raw Data'!G932)-1),MID('Main Project Raw Data'!G932,FIND("/",'Main Project Raw Data'!G932)+1,2)),DATE(RIGHT('Main Project Raw Data'!G932,4),MID('Main Project Raw Data'!G932,4,2),LEFT('Main Project Raw Data'!G932,2))))</f>
        <v>44568</v>
      </c>
      <c r="H932" s="3">
        <f>IF(Table1[[#This Row],[Salary]]="",AVERAGE(Table1[Salary]),Table1[[#This Row],[Salary]])</f>
        <v>111201.12</v>
      </c>
      <c r="I932" s="3" t="s">
        <v>163</v>
      </c>
      <c r="J932" s="3">
        <f>ABS(Table1[[#This Row],[Phone]])</f>
        <v>3012047136</v>
      </c>
      <c r="K932" s="3" t="str">
        <f>PROPER(TRIM(Table1[[#This Row],[Performance_Score]]))</f>
        <v>Poor</v>
      </c>
      <c r="L932" s="3" t="b">
        <f>Table1[[#This Row],[Remote_Work]]</f>
        <v>0</v>
      </c>
      <c r="M932" s="3" t="str">
        <f>PROPER(CONCATENATE(Table13[[#This Row],[First_Name]], Table13[[#This Row],[Last_Name]]))</f>
        <v>Alicedavis</v>
      </c>
      <c r="N932" s="3" t="str">
        <f t="shared" si="14"/>
        <v>Jan</v>
      </c>
      <c r="O932" s="3" t="str">
        <f>TEXT(Table13[[#This Row],[Join_Date]],"yyyy")</f>
        <v>2022</v>
      </c>
      <c r="P932" s="3" t="str">
        <f>LEFT('Main Project Raw Data'!E932,FIND("-",'Main Project Raw Data'!E932)-1)</f>
        <v>HR</v>
      </c>
      <c r="Q932" s="3" t="str">
        <f>RIGHT('Main Project Raw Data'!E932,LEN('Main Project Raw Data'!E932)-FIND("-",'Main Project Raw Data'!E932))</f>
        <v>California</v>
      </c>
    </row>
    <row r="933" spans="1:17" x14ac:dyDescent="0.3">
      <c r="A933" s="3" t="str">
        <f>TRIM(Table1[[#This Row],[Employee_ID]])</f>
        <v>EMP1931</v>
      </c>
      <c r="B933" s="3" t="str">
        <f>TRIM(Table1[[#This Row],[First_Name]])</f>
        <v>Heidi</v>
      </c>
      <c r="C933" s="3" t="str">
        <f>TRIM(Table1[[#This Row],[Last_Name]])</f>
        <v>Brown</v>
      </c>
      <c r="D933" s="3">
        <f>IF(Table1[[#This Row],[Age]]="",AVERAGE(Table1[Age]),Table1[[#This Row],[Age]])</f>
        <v>40</v>
      </c>
      <c r="E933" s="3" t="s">
        <v>70</v>
      </c>
      <c r="F933" s="3" t="s">
        <v>16</v>
      </c>
      <c r="G933" s="5">
        <f>IF(ISNUMBER('Main Project Raw Data'!G933),'Main Project Raw Data'!G933,IF(ISNUMBER(SEARCH("/",'Main Project Raw Data'!G933)),DATE(RIGHT('Main Project Raw Data'!G933,4),LEFT('Main Project Raw Data'!G933,FIND("/",'Main Project Raw Data'!G933)-1),MID('Main Project Raw Data'!G933,FIND("/",'Main Project Raw Data'!G933)+1,2)),DATE(RIGHT('Main Project Raw Data'!G933,4),MID('Main Project Raw Data'!G933,4,2),LEFT('Main Project Raw Data'!G933,2))))</f>
        <v>45511</v>
      </c>
      <c r="H933" s="3">
        <f>IF(Table1[[#This Row],[Salary]]="",AVERAGE(Table1[Salary]),Table1[[#This Row],[Salary]])</f>
        <v>100960.05</v>
      </c>
      <c r="I933" s="3" t="s">
        <v>403</v>
      </c>
      <c r="J933" s="3">
        <f>ABS(Table1[[#This Row],[Phone]])</f>
        <v>2711759573</v>
      </c>
      <c r="K933" s="3" t="str">
        <f>PROPER(TRIM(Table1[[#This Row],[Performance_Score]]))</f>
        <v>Average</v>
      </c>
      <c r="L933" s="3" t="b">
        <f>Table1[[#This Row],[Remote_Work]]</f>
        <v>0</v>
      </c>
      <c r="M933" s="3" t="str">
        <f>PROPER(CONCATENATE(Table13[[#This Row],[First_Name]], Table13[[#This Row],[Last_Name]]))</f>
        <v>Heidibrown</v>
      </c>
      <c r="N933" s="3" t="str">
        <f t="shared" si="14"/>
        <v>Aug</v>
      </c>
      <c r="O933" s="3" t="str">
        <f>TEXT(Table13[[#This Row],[Join_Date]],"yyyy")</f>
        <v>2024</v>
      </c>
      <c r="P933" s="3" t="str">
        <f>LEFT('Main Project Raw Data'!E933,FIND("-",'Main Project Raw Data'!E933)-1)</f>
        <v>Finance</v>
      </c>
      <c r="Q933" s="3" t="str">
        <f>RIGHT('Main Project Raw Data'!E933,LEN('Main Project Raw Data'!E933)-FIND("-",'Main Project Raw Data'!E933))</f>
        <v>California</v>
      </c>
    </row>
    <row r="934" spans="1:17" x14ac:dyDescent="0.3">
      <c r="A934" s="3" t="str">
        <f>TRIM(Table1[[#This Row],[Employee_ID]])</f>
        <v>EMP1932</v>
      </c>
      <c r="B934" s="3" t="str">
        <f>TRIM(Table1[[#This Row],[First_Name]])</f>
        <v>Grace</v>
      </c>
      <c r="C934" s="3" t="str">
        <f>TRIM(Table1[[#This Row],[Last_Name]])</f>
        <v>Smith</v>
      </c>
      <c r="D934" s="3">
        <f>IF(Table1[[#This Row],[Age]]="",AVERAGE(Table1[Age]),Table1[[#This Row],[Age]])</f>
        <v>30</v>
      </c>
      <c r="E934" s="3" t="s">
        <v>98</v>
      </c>
      <c r="F934" s="3" t="s">
        <v>16</v>
      </c>
      <c r="G934" s="5">
        <f>IF(ISNUMBER('Main Project Raw Data'!G934),'Main Project Raw Data'!G934,IF(ISNUMBER(SEARCH("/",'Main Project Raw Data'!G934)),DATE(RIGHT('Main Project Raw Data'!G934,4),LEFT('Main Project Raw Data'!G934,FIND("/",'Main Project Raw Data'!G934)-1),MID('Main Project Raw Data'!G934,FIND("/",'Main Project Raw Data'!G934)+1,2)),DATE(RIGHT('Main Project Raw Data'!G934,4),MID('Main Project Raw Data'!G934,4,2),LEFT('Main Project Raw Data'!G934,2))))</f>
        <v>44125</v>
      </c>
      <c r="H934" s="3">
        <f>IF(Table1[[#This Row],[Salary]]="",AVERAGE(Table1[Salary]),Table1[[#This Row],[Salary]])</f>
        <v>64544.87</v>
      </c>
      <c r="I934" s="3" t="s">
        <v>135</v>
      </c>
      <c r="J934" s="3">
        <f>ABS(Table1[[#This Row],[Phone]])</f>
        <v>9885582983</v>
      </c>
      <c r="K934" s="3" t="str">
        <f>PROPER(TRIM(Table1[[#This Row],[Performance_Score]]))</f>
        <v>Average</v>
      </c>
      <c r="L934" s="3" t="b">
        <f>Table1[[#This Row],[Remote_Work]]</f>
        <v>1</v>
      </c>
      <c r="M934" s="3" t="str">
        <f>PROPER(CONCATENATE(Table13[[#This Row],[First_Name]], Table13[[#This Row],[Last_Name]]))</f>
        <v>Gracesmith</v>
      </c>
      <c r="N934" s="3" t="str">
        <f t="shared" si="14"/>
        <v>Oct</v>
      </c>
      <c r="O934" s="3" t="str">
        <f>TEXT(Table13[[#This Row],[Join_Date]],"yyyy")</f>
        <v>2020</v>
      </c>
      <c r="P934" s="3" t="str">
        <f>LEFT('Main Project Raw Data'!E934,FIND("-",'Main Project Raw Data'!E934)-1)</f>
        <v>Sales</v>
      </c>
      <c r="Q934" s="3" t="str">
        <f>RIGHT('Main Project Raw Data'!E934,LEN('Main Project Raw Data'!E934)-FIND("-",'Main Project Raw Data'!E934))</f>
        <v>Illinois</v>
      </c>
    </row>
    <row r="935" spans="1:17" x14ac:dyDescent="0.3">
      <c r="A935" s="3" t="str">
        <f>TRIM(Table1[[#This Row],[Employee_ID]])</f>
        <v>EMP1933</v>
      </c>
      <c r="B935" s="3" t="str">
        <f>TRIM(Table1[[#This Row],[First_Name]])</f>
        <v>Frank</v>
      </c>
      <c r="C935" s="3" t="str">
        <f>TRIM(Table1[[#This Row],[Last_Name]])</f>
        <v>Smith</v>
      </c>
      <c r="D935" s="3">
        <f>IF(Table1[[#This Row],[Age]]="",AVERAGE(Table1[Age]),Table1[[#This Row],[Age]])</f>
        <v>25</v>
      </c>
      <c r="E935" s="3" t="s">
        <v>74</v>
      </c>
      <c r="F935" s="3" t="s">
        <v>16</v>
      </c>
      <c r="G935" s="5">
        <f>IF(ISNUMBER('Main Project Raw Data'!G935),'Main Project Raw Data'!G935,IF(ISNUMBER(SEARCH("/",'Main Project Raw Data'!G935)),DATE(RIGHT('Main Project Raw Data'!G935,4),LEFT('Main Project Raw Data'!G935,FIND("/",'Main Project Raw Data'!G935)-1),MID('Main Project Raw Data'!G935,FIND("/",'Main Project Raw Data'!G935)+1,2)),DATE(RIGHT('Main Project Raw Data'!G935,4),MID('Main Project Raw Data'!G935,4,2),LEFT('Main Project Raw Data'!G935,2))))</f>
        <v>43844</v>
      </c>
      <c r="H935" s="3">
        <f>IF(Table1[[#This Row],[Salary]]="",AVERAGE(Table1[Salary]),Table1[[#This Row],[Salary]])</f>
        <v>78662.240000000005</v>
      </c>
      <c r="I935" s="3" t="s">
        <v>137</v>
      </c>
      <c r="J935" s="3">
        <f>ABS(Table1[[#This Row],[Phone]])</f>
        <v>9330674583</v>
      </c>
      <c r="K935" s="3" t="str">
        <f>PROPER(TRIM(Table1[[#This Row],[Performance_Score]]))</f>
        <v>Poor</v>
      </c>
      <c r="L935" s="3" t="b">
        <f>Table1[[#This Row],[Remote_Work]]</f>
        <v>1</v>
      </c>
      <c r="M935" s="3" t="str">
        <f>PROPER(CONCATENATE(Table13[[#This Row],[First_Name]], Table13[[#This Row],[Last_Name]]))</f>
        <v>Franksmith</v>
      </c>
      <c r="N935" s="3" t="str">
        <f t="shared" si="14"/>
        <v>Jan</v>
      </c>
      <c r="O935" s="3" t="str">
        <f>TEXT(Table13[[#This Row],[Join_Date]],"yyyy")</f>
        <v>2020</v>
      </c>
      <c r="P935" s="3" t="str">
        <f>LEFT('Main Project Raw Data'!E935,FIND("-",'Main Project Raw Data'!E935)-1)</f>
        <v>Sales</v>
      </c>
      <c r="Q935" s="3" t="str">
        <f>RIGHT('Main Project Raw Data'!E935,LEN('Main Project Raw Data'!E935)-FIND("-",'Main Project Raw Data'!E935))</f>
        <v>Florida</v>
      </c>
    </row>
    <row r="936" spans="1:17" x14ac:dyDescent="0.3">
      <c r="A936" s="3" t="str">
        <f>TRIM(Table1[[#This Row],[Employee_ID]])</f>
        <v>EMP1934</v>
      </c>
      <c r="B936" s="3" t="str">
        <f>TRIM(Table1[[#This Row],[First_Name]])</f>
        <v>Grace</v>
      </c>
      <c r="C936" s="3" t="str">
        <f>TRIM(Table1[[#This Row],[Last_Name]])</f>
        <v>Garcia</v>
      </c>
      <c r="D936" s="3">
        <f>IF(Table1[[#This Row],[Age]]="",AVERAGE(Table1[Age]),Table1[[#This Row],[Age]])</f>
        <v>30</v>
      </c>
      <c r="E936" s="3" t="s">
        <v>74</v>
      </c>
      <c r="F936" s="3" t="s">
        <v>28</v>
      </c>
      <c r="G936" s="5">
        <f>IF(ISNUMBER('Main Project Raw Data'!G936),'Main Project Raw Data'!G936,IF(ISNUMBER(SEARCH("/",'Main Project Raw Data'!G936)),DATE(RIGHT('Main Project Raw Data'!G936,4),LEFT('Main Project Raw Data'!G936,FIND("/",'Main Project Raw Data'!G936)-1),MID('Main Project Raw Data'!G936,FIND("/",'Main Project Raw Data'!G936)+1,2)),DATE(RIGHT('Main Project Raw Data'!G936,4),MID('Main Project Raw Data'!G936,4,2),LEFT('Main Project Raw Data'!G936,2))))</f>
        <v>45172</v>
      </c>
      <c r="H936" s="3">
        <f>IF(Table1[[#This Row],[Salary]]="",AVERAGE(Table1[Salary]),Table1[[#This Row],[Salary]])</f>
        <v>102867.06</v>
      </c>
      <c r="I936" s="3" t="s">
        <v>83</v>
      </c>
      <c r="J936" s="3">
        <f>ABS(Table1[[#This Row],[Phone]])</f>
        <v>7609441282</v>
      </c>
      <c r="K936" s="3" t="str">
        <f>PROPER(TRIM(Table1[[#This Row],[Performance_Score]]))</f>
        <v>Average</v>
      </c>
      <c r="L936" s="3" t="b">
        <f>Table1[[#This Row],[Remote_Work]]</f>
        <v>1</v>
      </c>
      <c r="M936" s="3" t="str">
        <f>PROPER(CONCATENATE(Table13[[#This Row],[First_Name]], Table13[[#This Row],[Last_Name]]))</f>
        <v>Gracegarcia</v>
      </c>
      <c r="N936" s="3" t="str">
        <f t="shared" si="14"/>
        <v>Sep</v>
      </c>
      <c r="O936" s="3" t="str">
        <f>TEXT(Table13[[#This Row],[Join_Date]],"yyyy")</f>
        <v>2023</v>
      </c>
      <c r="P936" s="3" t="str">
        <f>LEFT('Main Project Raw Data'!E936,FIND("-",'Main Project Raw Data'!E936)-1)</f>
        <v>Sales</v>
      </c>
      <c r="Q936" s="3" t="str">
        <f>RIGHT('Main Project Raw Data'!E936,LEN('Main Project Raw Data'!E936)-FIND("-",'Main Project Raw Data'!E936))</f>
        <v>Florida</v>
      </c>
    </row>
    <row r="937" spans="1:17" x14ac:dyDescent="0.3">
      <c r="A937" s="3" t="str">
        <f>TRIM(Table1[[#This Row],[Employee_ID]])</f>
        <v>EMP1935</v>
      </c>
      <c r="B937" s="3" t="str">
        <f>TRIM(Table1[[#This Row],[First_Name]])</f>
        <v>Charlie</v>
      </c>
      <c r="C937" s="3" t="str">
        <f>TRIM(Table1[[#This Row],[Last_Name]])</f>
        <v>Smith</v>
      </c>
      <c r="D937" s="3">
        <f>IF(Table1[[#This Row],[Age]]="",AVERAGE(Table1[Age]),Table1[[#This Row],[Age]])</f>
        <v>40</v>
      </c>
      <c r="E937" s="3" t="s">
        <v>192</v>
      </c>
      <c r="F937" s="3" t="s">
        <v>33</v>
      </c>
      <c r="G937" s="5">
        <f>IF(ISNUMBER('Main Project Raw Data'!G937),'Main Project Raw Data'!G937,IF(ISNUMBER(SEARCH("/",'Main Project Raw Data'!G937)),DATE(RIGHT('Main Project Raw Data'!G937,4),LEFT('Main Project Raw Data'!G937,FIND("/",'Main Project Raw Data'!G937)-1),MID('Main Project Raw Data'!G937,FIND("/",'Main Project Raw Data'!G937)+1,2)),DATE(RIGHT('Main Project Raw Data'!G937,4),MID('Main Project Raw Data'!G937,4,2),LEFT('Main Project Raw Data'!G937,2))))</f>
        <v>43917</v>
      </c>
      <c r="H937" s="3">
        <f>IF(Table1[[#This Row],[Salary]]="",AVERAGE(Table1[Salary]),Table1[[#This Row],[Salary]])</f>
        <v>107595.95</v>
      </c>
      <c r="I937" s="3" t="s">
        <v>194</v>
      </c>
      <c r="J937" s="3">
        <f>ABS(Table1[[#This Row],[Phone]])</f>
        <v>3372188565</v>
      </c>
      <c r="K937" s="3" t="str">
        <f>PROPER(TRIM(Table1[[#This Row],[Performance_Score]]))</f>
        <v>Excellent</v>
      </c>
      <c r="L937" s="3" t="b">
        <f>Table1[[#This Row],[Remote_Work]]</f>
        <v>1</v>
      </c>
      <c r="M937" s="3" t="str">
        <f>PROPER(CONCATENATE(Table13[[#This Row],[First_Name]], Table13[[#This Row],[Last_Name]]))</f>
        <v>Charliesmith</v>
      </c>
      <c r="N937" s="3" t="str">
        <f t="shared" si="14"/>
        <v>Mar</v>
      </c>
      <c r="O937" s="3" t="str">
        <f>TEXT(Table13[[#This Row],[Join_Date]],"yyyy")</f>
        <v>2020</v>
      </c>
      <c r="P937" s="3" t="str">
        <f>LEFT('Main Project Raw Data'!E937,FIND("-",'Main Project Raw Data'!E937)-1)</f>
        <v>HR</v>
      </c>
      <c r="Q937" s="3" t="str">
        <f>RIGHT('Main Project Raw Data'!E937,LEN('Main Project Raw Data'!E937)-FIND("-",'Main Project Raw Data'!E937))</f>
        <v>Illinois</v>
      </c>
    </row>
    <row r="938" spans="1:17" x14ac:dyDescent="0.3">
      <c r="A938" s="3" t="str">
        <f>TRIM(Table1[[#This Row],[Employee_ID]])</f>
        <v>EMP1936</v>
      </c>
      <c r="B938" s="3" t="str">
        <f>TRIM(Table1[[#This Row],[First_Name]])</f>
        <v>Eva</v>
      </c>
      <c r="C938" s="3" t="str">
        <f>TRIM(Table1[[#This Row],[Last_Name]])</f>
        <v>Miller</v>
      </c>
      <c r="D938" s="3">
        <f>IF(Table1[[#This Row],[Age]]="",AVERAGE(Table1[Age]),Table1[[#This Row],[Age]])</f>
        <v>40</v>
      </c>
      <c r="E938" s="3" t="s">
        <v>219</v>
      </c>
      <c r="F938" s="3" t="s">
        <v>33</v>
      </c>
      <c r="G938" s="5">
        <f>IF(ISNUMBER('Main Project Raw Data'!G938),'Main Project Raw Data'!G938,IF(ISNUMBER(SEARCH("/",'Main Project Raw Data'!G938)),DATE(RIGHT('Main Project Raw Data'!G938,4),LEFT('Main Project Raw Data'!G938,FIND("/",'Main Project Raw Data'!G938)-1),MID('Main Project Raw Data'!G938,FIND("/",'Main Project Raw Data'!G938)+1,2)),DATE(RIGHT('Main Project Raw Data'!G938,4),MID('Main Project Raw Data'!G938,4,2),LEFT('Main Project Raw Data'!G938,2))))</f>
        <v>44290</v>
      </c>
      <c r="H938" s="3">
        <f>IF(Table1[[#This Row],[Salary]]="",AVERAGE(Table1[Salary]),Table1[[#This Row],[Salary]])</f>
        <v>85155.056395582287</v>
      </c>
      <c r="I938" s="3" t="s">
        <v>263</v>
      </c>
      <c r="J938" s="3">
        <f>ABS(Table1[[#This Row],[Phone]])</f>
        <v>6954132970</v>
      </c>
      <c r="K938" s="3" t="str">
        <f>PROPER(TRIM(Table1[[#This Row],[Performance_Score]]))</f>
        <v>Good</v>
      </c>
      <c r="L938" s="3" t="b">
        <f>Table1[[#This Row],[Remote_Work]]</f>
        <v>0</v>
      </c>
      <c r="M938" s="3" t="str">
        <f>PROPER(CONCATENATE(Table13[[#This Row],[First_Name]], Table13[[#This Row],[Last_Name]]))</f>
        <v>Evamiller</v>
      </c>
      <c r="N938" s="3" t="str">
        <f t="shared" si="14"/>
        <v>Apr</v>
      </c>
      <c r="O938" s="3" t="str">
        <f>TEXT(Table13[[#This Row],[Join_Date]],"yyyy")</f>
        <v>2021</v>
      </c>
      <c r="P938" s="3" t="str">
        <f>LEFT('Main Project Raw Data'!E938,FIND("-",'Main Project Raw Data'!E938)-1)</f>
        <v>Sales</v>
      </c>
      <c r="Q938" s="3" t="str">
        <f>RIGHT('Main Project Raw Data'!E938,LEN('Main Project Raw Data'!E938)-FIND("-",'Main Project Raw Data'!E938))</f>
        <v>Nevada</v>
      </c>
    </row>
    <row r="939" spans="1:17" x14ac:dyDescent="0.3">
      <c r="A939" s="3" t="str">
        <f>TRIM(Table1[[#This Row],[Employee_ID]])</f>
        <v>EMP1937</v>
      </c>
      <c r="B939" s="3" t="str">
        <f>TRIM(Table1[[#This Row],[First_Name]])</f>
        <v>Eva</v>
      </c>
      <c r="C939" s="3" t="str">
        <f>TRIM(Table1[[#This Row],[Last_Name]])</f>
        <v>Jones</v>
      </c>
      <c r="D939" s="3">
        <f>IF(Table1[[#This Row],[Age]]="",AVERAGE(Table1[Age]),Table1[[#This Row],[Age]])</f>
        <v>35</v>
      </c>
      <c r="E939" s="3" t="s">
        <v>328</v>
      </c>
      <c r="F939" s="3" t="s">
        <v>33</v>
      </c>
      <c r="G939" s="5">
        <f>IF(ISNUMBER('Main Project Raw Data'!G939),'Main Project Raw Data'!G939,IF(ISNUMBER(SEARCH("/",'Main Project Raw Data'!G939)),DATE(RIGHT('Main Project Raw Data'!G939,4),LEFT('Main Project Raw Data'!G939,FIND("/",'Main Project Raw Data'!G939)-1),MID('Main Project Raw Data'!G939,FIND("/",'Main Project Raw Data'!G939)+1,2)),DATE(RIGHT('Main Project Raw Data'!G939,4),MID('Main Project Raw Data'!G939,4,2),LEFT('Main Project Raw Data'!G939,2))))</f>
        <v>44144</v>
      </c>
      <c r="H939" s="3">
        <f>IF(Table1[[#This Row],[Salary]]="",AVERAGE(Table1[Salary]),Table1[[#This Row],[Salary]])</f>
        <v>95766.91</v>
      </c>
      <c r="I939" s="3" t="s">
        <v>277</v>
      </c>
      <c r="J939" s="3">
        <f>ABS(Table1[[#This Row],[Phone]])</f>
        <v>5066626704</v>
      </c>
      <c r="K939" s="3" t="str">
        <f>PROPER(TRIM(Table1[[#This Row],[Performance_Score]]))</f>
        <v>Average</v>
      </c>
      <c r="L939" s="3" t="b">
        <f>Table1[[#This Row],[Remote_Work]]</f>
        <v>1</v>
      </c>
      <c r="M939" s="3" t="str">
        <f>PROPER(CONCATENATE(Table13[[#This Row],[First_Name]], Table13[[#This Row],[Last_Name]]))</f>
        <v>Evajones</v>
      </c>
      <c r="N939" s="3" t="str">
        <f t="shared" si="14"/>
        <v>Nov</v>
      </c>
      <c r="O939" s="3" t="str">
        <f>TEXT(Table13[[#This Row],[Join_Date]],"yyyy")</f>
        <v>2020</v>
      </c>
      <c r="P939" s="3" t="str">
        <f>LEFT('Main Project Raw Data'!E939,FIND("-",'Main Project Raw Data'!E939)-1)</f>
        <v>DevOps</v>
      </c>
      <c r="Q939" s="3" t="str">
        <f>RIGHT('Main Project Raw Data'!E939,LEN('Main Project Raw Data'!E939)-FIND("-",'Main Project Raw Data'!E939))</f>
        <v>Nevada</v>
      </c>
    </row>
    <row r="940" spans="1:17" x14ac:dyDescent="0.3">
      <c r="A940" s="3" t="str">
        <f>TRIM(Table1[[#This Row],[Employee_ID]])</f>
        <v>EMP1938</v>
      </c>
      <c r="B940" s="3" t="str">
        <f>TRIM(Table1[[#This Row],[First_Name]])</f>
        <v>Grace</v>
      </c>
      <c r="C940" s="3" t="str">
        <f>TRIM(Table1[[#This Row],[Last_Name]])</f>
        <v>Miller</v>
      </c>
      <c r="D940" s="3">
        <f>IF(Table1[[#This Row],[Age]]="",AVERAGE(Table1[Age]),Table1[[#This Row],[Age]])</f>
        <v>30</v>
      </c>
      <c r="E940" s="3" t="s">
        <v>100</v>
      </c>
      <c r="F940" s="3" t="s">
        <v>28</v>
      </c>
      <c r="G940" s="5">
        <f>IF(ISNUMBER('Main Project Raw Data'!G940),'Main Project Raw Data'!G940,IF(ISNUMBER(SEARCH("/",'Main Project Raw Data'!G940)),DATE(RIGHT('Main Project Raw Data'!G940,4),LEFT('Main Project Raw Data'!G940,FIND("/",'Main Project Raw Data'!G940)-1),MID('Main Project Raw Data'!G940,FIND("/",'Main Project Raw Data'!G940)+1,2)),DATE(RIGHT('Main Project Raw Data'!G940,4),MID('Main Project Raw Data'!G940,4,2),LEFT('Main Project Raw Data'!G940,2))))</f>
        <v>44332</v>
      </c>
      <c r="H940" s="3">
        <f>IF(Table1[[#This Row],[Salary]]="",AVERAGE(Table1[Salary]),Table1[[#This Row],[Salary]])</f>
        <v>51990.98</v>
      </c>
      <c r="I940" s="3" t="s">
        <v>168</v>
      </c>
      <c r="J940" s="3">
        <f>ABS(Table1[[#This Row],[Phone]])</f>
        <v>5143776935</v>
      </c>
      <c r="K940" s="3" t="str">
        <f>PROPER(TRIM(Table1[[#This Row],[Performance_Score]]))</f>
        <v>Excellent</v>
      </c>
      <c r="L940" s="3" t="b">
        <f>Table1[[#This Row],[Remote_Work]]</f>
        <v>1</v>
      </c>
      <c r="M940" s="3" t="str">
        <f>PROPER(CONCATENATE(Table13[[#This Row],[First_Name]], Table13[[#This Row],[Last_Name]]))</f>
        <v>Gracemiller</v>
      </c>
      <c r="N940" s="3" t="str">
        <f t="shared" si="14"/>
        <v>May</v>
      </c>
      <c r="O940" s="3" t="str">
        <f>TEXT(Table13[[#This Row],[Join_Date]],"yyyy")</f>
        <v>2021</v>
      </c>
      <c r="P940" s="3" t="str">
        <f>LEFT('Main Project Raw Data'!E940,FIND("-",'Main Project Raw Data'!E940)-1)</f>
        <v>Finance</v>
      </c>
      <c r="Q940" s="3" t="str">
        <f>RIGHT('Main Project Raw Data'!E940,LEN('Main Project Raw Data'!E940)-FIND("-",'Main Project Raw Data'!E940))</f>
        <v>Nevada</v>
      </c>
    </row>
    <row r="941" spans="1:17" x14ac:dyDescent="0.3">
      <c r="A941" s="3" t="str">
        <f>TRIM(Table1[[#This Row],[Employee_ID]])</f>
        <v>EMP1939</v>
      </c>
      <c r="B941" s="3" t="str">
        <f>TRIM(Table1[[#This Row],[First_Name]])</f>
        <v>Heidi</v>
      </c>
      <c r="C941" s="3" t="str">
        <f>TRIM(Table1[[#This Row],[Last_Name]])</f>
        <v>Johnson</v>
      </c>
      <c r="D941" s="3">
        <f>IF(Table1[[#This Row],[Age]]="",AVERAGE(Table1[Age]),Table1[[#This Row],[Age]])</f>
        <v>25</v>
      </c>
      <c r="E941" s="3" t="s">
        <v>219</v>
      </c>
      <c r="F941" s="3" t="s">
        <v>33</v>
      </c>
      <c r="G941" s="5">
        <f>IF(ISNUMBER('Main Project Raw Data'!G941),'Main Project Raw Data'!G941,IF(ISNUMBER(SEARCH("/",'Main Project Raw Data'!G941)),DATE(RIGHT('Main Project Raw Data'!G941,4),LEFT('Main Project Raw Data'!G941,FIND("/",'Main Project Raw Data'!G941)-1),MID('Main Project Raw Data'!G941,FIND("/",'Main Project Raw Data'!G941)+1,2)),DATE(RIGHT('Main Project Raw Data'!G941,4),MID('Main Project Raw Data'!G941,4,2),LEFT('Main Project Raw Data'!G941,2))))</f>
        <v>45050</v>
      </c>
      <c r="H941" s="3">
        <f>IF(Table1[[#This Row],[Salary]]="",AVERAGE(Table1[Salary]),Table1[[#This Row],[Salary]])</f>
        <v>83634.009999999995</v>
      </c>
      <c r="I941" s="3" t="s">
        <v>113</v>
      </c>
      <c r="J941" s="3">
        <f>ABS(Table1[[#This Row],[Phone]])</f>
        <v>6343925294</v>
      </c>
      <c r="K941" s="3" t="str">
        <f>PROPER(TRIM(Table1[[#This Row],[Performance_Score]]))</f>
        <v>Average</v>
      </c>
      <c r="L941" s="3" t="b">
        <f>Table1[[#This Row],[Remote_Work]]</f>
        <v>1</v>
      </c>
      <c r="M941" s="3" t="str">
        <f>PROPER(CONCATENATE(Table13[[#This Row],[First_Name]], Table13[[#This Row],[Last_Name]]))</f>
        <v>Heidijohnson</v>
      </c>
      <c r="N941" s="3" t="str">
        <f t="shared" si="14"/>
        <v>May</v>
      </c>
      <c r="O941" s="3" t="str">
        <f>TEXT(Table13[[#This Row],[Join_Date]],"yyyy")</f>
        <v>2023</v>
      </c>
      <c r="P941" s="3" t="str">
        <f>LEFT('Main Project Raw Data'!E941,FIND("-",'Main Project Raw Data'!E941)-1)</f>
        <v>Sales</v>
      </c>
      <c r="Q941" s="3" t="str">
        <f>RIGHT('Main Project Raw Data'!E941,LEN('Main Project Raw Data'!E941)-FIND("-",'Main Project Raw Data'!E941))</f>
        <v>Nevada</v>
      </c>
    </row>
    <row r="942" spans="1:17" x14ac:dyDescent="0.3">
      <c r="A942" s="3" t="str">
        <f>TRIM(Table1[[#This Row],[Employee_ID]])</f>
        <v>EMP1940</v>
      </c>
      <c r="B942" s="3" t="str">
        <f>TRIM(Table1[[#This Row],[First_Name]])</f>
        <v>Eva</v>
      </c>
      <c r="C942" s="3" t="str">
        <f>TRIM(Table1[[#This Row],[Last_Name]])</f>
        <v>Brown</v>
      </c>
      <c r="D942" s="3">
        <f>IF(Table1[[#This Row],[Age]]="",AVERAGE(Table1[Age]),Table1[[#This Row],[Age]])</f>
        <v>40</v>
      </c>
      <c r="E942" s="3" t="s">
        <v>237</v>
      </c>
      <c r="F942" s="3" t="s">
        <v>33</v>
      </c>
      <c r="G942" s="5">
        <f>IF(ISNUMBER('Main Project Raw Data'!G942),'Main Project Raw Data'!G942,IF(ISNUMBER(SEARCH("/",'Main Project Raw Data'!G942)),DATE(RIGHT('Main Project Raw Data'!G942,4),LEFT('Main Project Raw Data'!G942,FIND("/",'Main Project Raw Data'!G942)-1),MID('Main Project Raw Data'!G942,FIND("/",'Main Project Raw Data'!G942)+1,2)),DATE(RIGHT('Main Project Raw Data'!G942,4),MID('Main Project Raw Data'!G942,4,2),LEFT('Main Project Raw Data'!G942,2))))</f>
        <v>44880</v>
      </c>
      <c r="H942" s="3">
        <f>IF(Table1[[#This Row],[Salary]]="",AVERAGE(Table1[Salary]),Table1[[#This Row],[Salary]])</f>
        <v>85155.056395582287</v>
      </c>
      <c r="I942" s="3" t="s">
        <v>155</v>
      </c>
      <c r="J942" s="3">
        <f>ABS(Table1[[#This Row],[Phone]])</f>
        <v>9611110285</v>
      </c>
      <c r="K942" s="3" t="str">
        <f>PROPER(TRIM(Table1[[#This Row],[Performance_Score]]))</f>
        <v>Good</v>
      </c>
      <c r="L942" s="3" t="b">
        <f>Table1[[#This Row],[Remote_Work]]</f>
        <v>1</v>
      </c>
      <c r="M942" s="3" t="str">
        <f>PROPER(CONCATENATE(Table13[[#This Row],[First_Name]], Table13[[#This Row],[Last_Name]]))</f>
        <v>Evabrown</v>
      </c>
      <c r="N942" s="3" t="str">
        <f t="shared" si="14"/>
        <v>Nov</v>
      </c>
      <c r="O942" s="3" t="str">
        <f>TEXT(Table13[[#This Row],[Join_Date]],"yyyy")</f>
        <v>2022</v>
      </c>
      <c r="P942" s="3" t="str">
        <f>LEFT('Main Project Raw Data'!E942,FIND("-",'Main Project Raw Data'!E942)-1)</f>
        <v>DevOps</v>
      </c>
      <c r="Q942" s="3" t="str">
        <f>RIGHT('Main Project Raw Data'!E942,LEN('Main Project Raw Data'!E942)-FIND("-",'Main Project Raw Data'!E942))</f>
        <v>Texas</v>
      </c>
    </row>
    <row r="943" spans="1:17" x14ac:dyDescent="0.3">
      <c r="A943" s="3" t="str">
        <f>TRIM(Table1[[#This Row],[Employee_ID]])</f>
        <v>EMP1941</v>
      </c>
      <c r="B943" s="3" t="str">
        <f>TRIM(Table1[[#This Row],[First_Name]])</f>
        <v>Eva</v>
      </c>
      <c r="C943" s="3" t="str">
        <f>TRIM(Table1[[#This Row],[Last_Name]])</f>
        <v>Jones</v>
      </c>
      <c r="D943" s="3">
        <f>IF(Table1[[#This Row],[Age]]="",AVERAGE(Table1[Age]),Table1[[#This Row],[Age]])</f>
        <v>30</v>
      </c>
      <c r="E943" s="3" t="s">
        <v>44</v>
      </c>
      <c r="F943" s="3" t="s">
        <v>16</v>
      </c>
      <c r="G943" s="5">
        <f>IF(ISNUMBER('Main Project Raw Data'!G943),'Main Project Raw Data'!G943,IF(ISNUMBER(SEARCH("/",'Main Project Raw Data'!G943)),DATE(RIGHT('Main Project Raw Data'!G943,4),LEFT('Main Project Raw Data'!G943,FIND("/",'Main Project Raw Data'!G943)-1),MID('Main Project Raw Data'!G943,FIND("/",'Main Project Raw Data'!G943)+1,2)),DATE(RIGHT('Main Project Raw Data'!G943,4),MID('Main Project Raw Data'!G943,4,2),LEFT('Main Project Raw Data'!G943,2))))</f>
        <v>44485</v>
      </c>
      <c r="H943" s="3">
        <f>IF(Table1[[#This Row],[Salary]]="",AVERAGE(Table1[Salary]),Table1[[#This Row],[Salary]])</f>
        <v>82273.08</v>
      </c>
      <c r="I943" s="3" t="s">
        <v>277</v>
      </c>
      <c r="J943" s="3">
        <f>ABS(Table1[[#This Row],[Phone]])</f>
        <v>7120072023</v>
      </c>
      <c r="K943" s="3" t="str">
        <f>PROPER(TRIM(Table1[[#This Row],[Performance_Score]]))</f>
        <v>Excellent</v>
      </c>
      <c r="L943" s="3" t="b">
        <f>Table1[[#This Row],[Remote_Work]]</f>
        <v>0</v>
      </c>
      <c r="M943" s="3" t="str">
        <f>PROPER(CONCATENATE(Table13[[#This Row],[First_Name]], Table13[[#This Row],[Last_Name]]))</f>
        <v>Evajones</v>
      </c>
      <c r="N943" s="3" t="str">
        <f t="shared" si="14"/>
        <v>Oct</v>
      </c>
      <c r="O943" s="3" t="str">
        <f>TEXT(Table13[[#This Row],[Join_Date]],"yyyy")</f>
        <v>2021</v>
      </c>
      <c r="P943" s="3" t="str">
        <f>LEFT('Main Project Raw Data'!E943,FIND("-",'Main Project Raw Data'!E943)-1)</f>
        <v>Sales</v>
      </c>
      <c r="Q943" s="3" t="str">
        <f>RIGHT('Main Project Raw Data'!E943,LEN('Main Project Raw Data'!E943)-FIND("-",'Main Project Raw Data'!E943))</f>
        <v>Texas</v>
      </c>
    </row>
    <row r="944" spans="1:17" x14ac:dyDescent="0.3">
      <c r="A944" s="3" t="str">
        <f>TRIM(Table1[[#This Row],[Employee_ID]])</f>
        <v>EMP1942</v>
      </c>
      <c r="B944" s="3" t="str">
        <f>TRIM(Table1[[#This Row],[First_Name]])</f>
        <v>Frank</v>
      </c>
      <c r="C944" s="3" t="str">
        <f>TRIM(Table1[[#This Row],[Last_Name]])</f>
        <v>Garcia</v>
      </c>
      <c r="D944" s="3">
        <f>IF(Table1[[#This Row],[Age]]="",AVERAGE(Table1[Age]),Table1[[#This Row],[Age]])</f>
        <v>30</v>
      </c>
      <c r="E944" s="3" t="s">
        <v>268</v>
      </c>
      <c r="F944" s="3" t="s">
        <v>33</v>
      </c>
      <c r="G944" s="5">
        <f>IF(ISNUMBER('Main Project Raw Data'!G944),'Main Project Raw Data'!G944,IF(ISNUMBER(SEARCH("/",'Main Project Raw Data'!G944)),DATE(RIGHT('Main Project Raw Data'!G944,4),LEFT('Main Project Raw Data'!G944,FIND("/",'Main Project Raw Data'!G944)-1),MID('Main Project Raw Data'!G944,FIND("/",'Main Project Raw Data'!G944)+1,2)),DATE(RIGHT('Main Project Raw Data'!G944,4),MID('Main Project Raw Data'!G944,4,2),LEFT('Main Project Raw Data'!G944,2))))</f>
        <v>44809</v>
      </c>
      <c r="H944" s="3">
        <f>IF(Table1[[#This Row],[Salary]]="",AVERAGE(Table1[Salary]),Table1[[#This Row],[Salary]])</f>
        <v>94537.3</v>
      </c>
      <c r="I944" s="3" t="s">
        <v>180</v>
      </c>
      <c r="J944" s="3">
        <f>ABS(Table1[[#This Row],[Phone]])</f>
        <v>5591024509</v>
      </c>
      <c r="K944" s="3" t="str">
        <f>PROPER(TRIM(Table1[[#This Row],[Performance_Score]]))</f>
        <v>Good</v>
      </c>
      <c r="L944" s="3" t="b">
        <f>Table1[[#This Row],[Remote_Work]]</f>
        <v>1</v>
      </c>
      <c r="M944" s="3" t="str">
        <f>PROPER(CONCATENATE(Table13[[#This Row],[First_Name]], Table13[[#This Row],[Last_Name]]))</f>
        <v>Frankgarcia</v>
      </c>
      <c r="N944" s="3" t="str">
        <f t="shared" si="14"/>
        <v>Sep</v>
      </c>
      <c r="O944" s="3" t="str">
        <f>TEXT(Table13[[#This Row],[Join_Date]],"yyyy")</f>
        <v>2022</v>
      </c>
      <c r="P944" s="3" t="str">
        <f>LEFT('Main Project Raw Data'!E944,FIND("-",'Main Project Raw Data'!E944)-1)</f>
        <v>Cloud Tech</v>
      </c>
      <c r="Q944" s="3" t="str">
        <f>RIGHT('Main Project Raw Data'!E944,LEN('Main Project Raw Data'!E944)-FIND("-",'Main Project Raw Data'!E944))</f>
        <v>California</v>
      </c>
    </row>
    <row r="945" spans="1:17" x14ac:dyDescent="0.3">
      <c r="A945" s="3" t="str">
        <f>TRIM(Table1[[#This Row],[Employee_ID]])</f>
        <v>EMP1943</v>
      </c>
      <c r="B945" s="3" t="str">
        <f>TRIM(Table1[[#This Row],[First_Name]])</f>
        <v>Alice</v>
      </c>
      <c r="C945" s="3" t="str">
        <f>TRIM(Table1[[#This Row],[Last_Name]])</f>
        <v>Jones</v>
      </c>
      <c r="D945" s="3">
        <f>IF(Table1[[#This Row],[Age]]="",AVERAGE(Table1[Age]),Table1[[#This Row],[Age]])</f>
        <v>35</v>
      </c>
      <c r="E945" s="3" t="s">
        <v>192</v>
      </c>
      <c r="F945" s="3" t="s">
        <v>28</v>
      </c>
      <c r="G945" s="5">
        <f>IF(ISNUMBER('Main Project Raw Data'!G945),'Main Project Raw Data'!G945,IF(ISNUMBER(SEARCH("/",'Main Project Raw Data'!G945)),DATE(RIGHT('Main Project Raw Data'!G945,4),LEFT('Main Project Raw Data'!G945,FIND("/",'Main Project Raw Data'!G945)-1),MID('Main Project Raw Data'!G945,FIND("/",'Main Project Raw Data'!G945)+1,2)),DATE(RIGHT('Main Project Raw Data'!G945,4),MID('Main Project Raw Data'!G945,4,2),LEFT('Main Project Raw Data'!G945,2))))</f>
        <v>43988</v>
      </c>
      <c r="H945" s="3">
        <f>IF(Table1[[#This Row],[Salary]]="",AVERAGE(Table1[Salary]),Table1[[#This Row],[Salary]])</f>
        <v>85970.65</v>
      </c>
      <c r="I945" s="3" t="s">
        <v>29</v>
      </c>
      <c r="J945" s="3">
        <f>ABS(Table1[[#This Row],[Phone]])</f>
        <v>9109032670</v>
      </c>
      <c r="K945" s="3" t="str">
        <f>PROPER(TRIM(Table1[[#This Row],[Performance_Score]]))</f>
        <v>Good</v>
      </c>
      <c r="L945" s="3" t="b">
        <f>Table1[[#This Row],[Remote_Work]]</f>
        <v>1</v>
      </c>
      <c r="M945" s="3" t="str">
        <f>PROPER(CONCATENATE(Table13[[#This Row],[First_Name]], Table13[[#This Row],[Last_Name]]))</f>
        <v>Alicejones</v>
      </c>
      <c r="N945" s="3" t="str">
        <f t="shared" si="14"/>
        <v>Jun</v>
      </c>
      <c r="O945" s="3" t="str">
        <f>TEXT(Table13[[#This Row],[Join_Date]],"yyyy")</f>
        <v>2020</v>
      </c>
      <c r="P945" s="3" t="str">
        <f>LEFT('Main Project Raw Data'!E945,FIND("-",'Main Project Raw Data'!E945)-1)</f>
        <v>HR</v>
      </c>
      <c r="Q945" s="3" t="str">
        <f>RIGHT('Main Project Raw Data'!E945,LEN('Main Project Raw Data'!E945)-FIND("-",'Main Project Raw Data'!E945))</f>
        <v>Illinois</v>
      </c>
    </row>
    <row r="946" spans="1:17" x14ac:dyDescent="0.3">
      <c r="A946" s="3" t="str">
        <f>TRIM(Table1[[#This Row],[Employee_ID]])</f>
        <v>EMP1944</v>
      </c>
      <c r="B946" s="3" t="str">
        <f>TRIM(Table1[[#This Row],[First_Name]])</f>
        <v>Charlie</v>
      </c>
      <c r="C946" s="3" t="str">
        <f>TRIM(Table1[[#This Row],[Last_Name]])</f>
        <v>Jones</v>
      </c>
      <c r="D946" s="3">
        <f>IF(Table1[[#This Row],[Age]]="",AVERAGE(Table1[Age]),Table1[[#This Row],[Age]])</f>
        <v>25</v>
      </c>
      <c r="E946" s="3" t="s">
        <v>109</v>
      </c>
      <c r="F946" s="3" t="s">
        <v>28</v>
      </c>
      <c r="G946" s="5">
        <f>IF(ISNUMBER('Main Project Raw Data'!G946),'Main Project Raw Data'!G946,IF(ISNUMBER(SEARCH("/",'Main Project Raw Data'!G946)),DATE(RIGHT('Main Project Raw Data'!G946,4),LEFT('Main Project Raw Data'!G946,FIND("/",'Main Project Raw Data'!G946)-1),MID('Main Project Raw Data'!G946,FIND("/",'Main Project Raw Data'!G946)+1,2)),DATE(RIGHT('Main Project Raw Data'!G946,4),MID('Main Project Raw Data'!G946,4,2),LEFT('Main Project Raw Data'!G946,2))))</f>
        <v>44491</v>
      </c>
      <c r="H946" s="3">
        <f>IF(Table1[[#This Row],[Salary]]="",AVERAGE(Table1[Salary]),Table1[[#This Row],[Salary]])</f>
        <v>111071.02</v>
      </c>
      <c r="I946" s="3" t="s">
        <v>120</v>
      </c>
      <c r="J946" s="3">
        <f>ABS(Table1[[#This Row],[Phone]])</f>
        <v>4949819420</v>
      </c>
      <c r="K946" s="3" t="str">
        <f>PROPER(TRIM(Table1[[#This Row],[Performance_Score]]))</f>
        <v>Excellent</v>
      </c>
      <c r="L946" s="3" t="b">
        <f>Table1[[#This Row],[Remote_Work]]</f>
        <v>0</v>
      </c>
      <c r="M946" s="3" t="str">
        <f>PROPER(CONCATENATE(Table13[[#This Row],[First_Name]], Table13[[#This Row],[Last_Name]]))</f>
        <v>Charliejones</v>
      </c>
      <c r="N946" s="3" t="str">
        <f t="shared" si="14"/>
        <v>Oct</v>
      </c>
      <c r="O946" s="3" t="str">
        <f>TEXT(Table13[[#This Row],[Join_Date]],"yyyy")</f>
        <v>2021</v>
      </c>
      <c r="P946" s="3" t="str">
        <f>LEFT('Main Project Raw Data'!E946,FIND("-",'Main Project Raw Data'!E946)-1)</f>
        <v>Sales</v>
      </c>
      <c r="Q946" s="3" t="str">
        <f>RIGHT('Main Project Raw Data'!E946,LEN('Main Project Raw Data'!E946)-FIND("-",'Main Project Raw Data'!E946))</f>
        <v>New York</v>
      </c>
    </row>
    <row r="947" spans="1:17" x14ac:dyDescent="0.3">
      <c r="A947" s="3" t="str">
        <f>TRIM(Table1[[#This Row],[Employee_ID]])</f>
        <v>EMP1945</v>
      </c>
      <c r="B947" s="3" t="str">
        <f>TRIM(Table1[[#This Row],[First_Name]])</f>
        <v>Eva</v>
      </c>
      <c r="C947" s="3" t="str">
        <f>TRIM(Table1[[#This Row],[Last_Name]])</f>
        <v>Davis</v>
      </c>
      <c r="D947" s="3">
        <f>IF(Table1[[#This Row],[Age]]="",AVERAGE(Table1[Age]),Table1[[#This Row],[Age]])</f>
        <v>35</v>
      </c>
      <c r="E947" s="3" t="s">
        <v>328</v>
      </c>
      <c r="F947" s="3" t="s">
        <v>28</v>
      </c>
      <c r="G947" s="5">
        <f>IF(ISNUMBER('Main Project Raw Data'!G947),'Main Project Raw Data'!G947,IF(ISNUMBER(SEARCH("/",'Main Project Raw Data'!G947)),DATE(RIGHT('Main Project Raw Data'!G947,4),LEFT('Main Project Raw Data'!G947,FIND("/",'Main Project Raw Data'!G947)-1),MID('Main Project Raw Data'!G947,FIND("/",'Main Project Raw Data'!G947)+1,2)),DATE(RIGHT('Main Project Raw Data'!G947,4),MID('Main Project Raw Data'!G947,4,2),LEFT('Main Project Raw Data'!G947,2))))</f>
        <v>44896</v>
      </c>
      <c r="H947" s="3">
        <f>IF(Table1[[#This Row],[Salary]]="",AVERAGE(Table1[Salary]),Table1[[#This Row],[Salary]])</f>
        <v>56708.34</v>
      </c>
      <c r="I947" s="3" t="s">
        <v>35</v>
      </c>
      <c r="J947" s="3">
        <f>ABS(Table1[[#This Row],[Phone]])</f>
        <v>7942817933</v>
      </c>
      <c r="K947" s="3" t="str">
        <f>PROPER(TRIM(Table1[[#This Row],[Performance_Score]]))</f>
        <v>Excellent</v>
      </c>
      <c r="L947" s="3" t="b">
        <f>Table1[[#This Row],[Remote_Work]]</f>
        <v>0</v>
      </c>
      <c r="M947" s="3" t="str">
        <f>PROPER(CONCATENATE(Table13[[#This Row],[First_Name]], Table13[[#This Row],[Last_Name]]))</f>
        <v>Evadavis</v>
      </c>
      <c r="N947" s="3" t="str">
        <f t="shared" si="14"/>
        <v>Dec</v>
      </c>
      <c r="O947" s="3" t="str">
        <f>TEXT(Table13[[#This Row],[Join_Date]],"yyyy")</f>
        <v>2022</v>
      </c>
      <c r="P947" s="3" t="str">
        <f>LEFT('Main Project Raw Data'!E947,FIND("-",'Main Project Raw Data'!E947)-1)</f>
        <v>DevOps</v>
      </c>
      <c r="Q947" s="3" t="str">
        <f>RIGHT('Main Project Raw Data'!E947,LEN('Main Project Raw Data'!E947)-FIND("-",'Main Project Raw Data'!E947))</f>
        <v>Nevada</v>
      </c>
    </row>
    <row r="948" spans="1:17" x14ac:dyDescent="0.3">
      <c r="A948" s="3" t="str">
        <f>TRIM(Table1[[#This Row],[Employee_ID]])</f>
        <v>EMP1946</v>
      </c>
      <c r="B948" s="3" t="str">
        <f>TRIM(Table1[[#This Row],[First_Name]])</f>
        <v>Charlie</v>
      </c>
      <c r="C948" s="3" t="str">
        <f>TRIM(Table1[[#This Row],[Last_Name]])</f>
        <v>Jones</v>
      </c>
      <c r="D948" s="3">
        <f>IF(Table1[[#This Row],[Age]]="",AVERAGE(Table1[Age]),Table1[[#This Row],[Age]])</f>
        <v>25</v>
      </c>
      <c r="E948" s="3" t="s">
        <v>89</v>
      </c>
      <c r="F948" s="3" t="s">
        <v>33</v>
      </c>
      <c r="G948" s="5">
        <f>IF(ISNUMBER('Main Project Raw Data'!G948),'Main Project Raw Data'!G948,IF(ISNUMBER(SEARCH("/",'Main Project Raw Data'!G948)),DATE(RIGHT('Main Project Raw Data'!G948,4),LEFT('Main Project Raw Data'!G948,FIND("/",'Main Project Raw Data'!G948)-1),MID('Main Project Raw Data'!G948,FIND("/",'Main Project Raw Data'!G948)+1,2)),DATE(RIGHT('Main Project Raw Data'!G948,4),MID('Main Project Raw Data'!G948,4,2),LEFT('Main Project Raw Data'!G948,2))))</f>
        <v>44594</v>
      </c>
      <c r="H948" s="3">
        <f>IF(Table1[[#This Row],[Salary]]="",AVERAGE(Table1[Salary]),Table1[[#This Row],[Salary]])</f>
        <v>104516.55</v>
      </c>
      <c r="I948" s="3" t="s">
        <v>120</v>
      </c>
      <c r="J948" s="3">
        <f>ABS(Table1[[#This Row],[Phone]])</f>
        <v>652775843</v>
      </c>
      <c r="K948" s="3" t="str">
        <f>PROPER(TRIM(Table1[[#This Row],[Performance_Score]]))</f>
        <v>Excellent</v>
      </c>
      <c r="L948" s="3" t="b">
        <f>Table1[[#This Row],[Remote_Work]]</f>
        <v>0</v>
      </c>
      <c r="M948" s="3" t="str">
        <f>PROPER(CONCATENATE(Table13[[#This Row],[First_Name]], Table13[[#This Row],[Last_Name]]))</f>
        <v>Charliejones</v>
      </c>
      <c r="N948" s="3" t="str">
        <f t="shared" si="14"/>
        <v>Feb</v>
      </c>
      <c r="O948" s="3" t="str">
        <f>TEXT(Table13[[#This Row],[Join_Date]],"yyyy")</f>
        <v>2022</v>
      </c>
      <c r="P948" s="3" t="str">
        <f>LEFT('Main Project Raw Data'!E948,FIND("-",'Main Project Raw Data'!E948)-1)</f>
        <v>Admin</v>
      </c>
      <c r="Q948" s="3" t="str">
        <f>RIGHT('Main Project Raw Data'!E948,LEN('Main Project Raw Data'!E948)-FIND("-",'Main Project Raw Data'!E948))</f>
        <v>Illinois</v>
      </c>
    </row>
    <row r="949" spans="1:17" x14ac:dyDescent="0.3">
      <c r="A949" s="3" t="str">
        <f>TRIM(Table1[[#This Row],[Employee_ID]])</f>
        <v>EMP1947</v>
      </c>
      <c r="B949" s="3" t="str">
        <f>TRIM(Table1[[#This Row],[First_Name]])</f>
        <v>Charlie</v>
      </c>
      <c r="C949" s="3" t="str">
        <f>TRIM(Table1[[#This Row],[Last_Name]])</f>
        <v>Garcia</v>
      </c>
      <c r="D949" s="3">
        <f>IF(Table1[[#This Row],[Age]]="",AVERAGE(Table1[Age]),Table1[[#This Row],[Age]])</f>
        <v>25</v>
      </c>
      <c r="E949" s="3" t="s">
        <v>196</v>
      </c>
      <c r="F949" s="3" t="s">
        <v>28</v>
      </c>
      <c r="G949" s="5">
        <f>IF(ISNUMBER('Main Project Raw Data'!G949),'Main Project Raw Data'!G949,IF(ISNUMBER(SEARCH("/",'Main Project Raw Data'!G949)),DATE(RIGHT('Main Project Raw Data'!G949,4),LEFT('Main Project Raw Data'!G949,FIND("/",'Main Project Raw Data'!G949)-1),MID('Main Project Raw Data'!G949,FIND("/",'Main Project Raw Data'!G949)+1,2)),DATE(RIGHT('Main Project Raw Data'!G949,4),MID('Main Project Raw Data'!G949,4,2),LEFT('Main Project Raw Data'!G949,2))))</f>
        <v>44283</v>
      </c>
      <c r="H949" s="3">
        <f>IF(Table1[[#This Row],[Salary]]="",AVERAGE(Table1[Salary]),Table1[[#This Row],[Salary]])</f>
        <v>108210.15</v>
      </c>
      <c r="I949" s="3" t="s">
        <v>87</v>
      </c>
      <c r="J949" s="3">
        <f>ABS(Table1[[#This Row],[Phone]])</f>
        <v>6634533721</v>
      </c>
      <c r="K949" s="3" t="str">
        <f>PROPER(TRIM(Table1[[#This Row],[Performance_Score]]))</f>
        <v>Poor</v>
      </c>
      <c r="L949" s="3" t="b">
        <f>Table1[[#This Row],[Remote_Work]]</f>
        <v>1</v>
      </c>
      <c r="M949" s="3" t="str">
        <f>PROPER(CONCATENATE(Table13[[#This Row],[First_Name]], Table13[[#This Row],[Last_Name]]))</f>
        <v>Charliegarcia</v>
      </c>
      <c r="N949" s="3" t="str">
        <f t="shared" si="14"/>
        <v>Mar</v>
      </c>
      <c r="O949" s="3" t="str">
        <f>TEXT(Table13[[#This Row],[Join_Date]],"yyyy")</f>
        <v>2021</v>
      </c>
      <c r="P949" s="3" t="str">
        <f>LEFT('Main Project Raw Data'!E949,FIND("-",'Main Project Raw Data'!E949)-1)</f>
        <v>Admin</v>
      </c>
      <c r="Q949" s="3" t="str">
        <f>RIGHT('Main Project Raw Data'!E949,LEN('Main Project Raw Data'!E949)-FIND("-",'Main Project Raw Data'!E949))</f>
        <v>New York</v>
      </c>
    </row>
    <row r="950" spans="1:17" x14ac:dyDescent="0.3">
      <c r="A950" s="3" t="str">
        <f>TRIM(Table1[[#This Row],[Employee_ID]])</f>
        <v>EMP1948</v>
      </c>
      <c r="B950" s="3" t="str">
        <f>TRIM(Table1[[#This Row],[First_Name]])</f>
        <v>Bob</v>
      </c>
      <c r="C950" s="3" t="str">
        <f>TRIM(Table1[[#This Row],[Last_Name]])</f>
        <v>Miller</v>
      </c>
      <c r="D950" s="3">
        <f>IF(Table1[[#This Row],[Age]]="",AVERAGE(Table1[Age]),Table1[[#This Row],[Age]])</f>
        <v>40</v>
      </c>
      <c r="E950" s="3" t="s">
        <v>21</v>
      </c>
      <c r="F950" s="3" t="s">
        <v>16</v>
      </c>
      <c r="G950" s="5">
        <f>IF(ISNUMBER('Main Project Raw Data'!G950),'Main Project Raw Data'!G950,IF(ISNUMBER(SEARCH("/",'Main Project Raw Data'!G950)),DATE(RIGHT('Main Project Raw Data'!G950,4),LEFT('Main Project Raw Data'!G950,FIND("/",'Main Project Raw Data'!G950)-1),MID('Main Project Raw Data'!G950,FIND("/",'Main Project Raw Data'!G950)+1,2)),DATE(RIGHT('Main Project Raw Data'!G950,4),MID('Main Project Raw Data'!G950,4,2),LEFT('Main Project Raw Data'!G950,2))))</f>
        <v>45359</v>
      </c>
      <c r="H950" s="3">
        <f>IF(Table1[[#This Row],[Salary]]="",AVERAGE(Table1[Salary]),Table1[[#This Row],[Salary]])</f>
        <v>85155.056395582287</v>
      </c>
      <c r="I950" s="3" t="s">
        <v>93</v>
      </c>
      <c r="J950" s="3">
        <f>ABS(Table1[[#This Row],[Phone]])</f>
        <v>109121721</v>
      </c>
      <c r="K950" s="3" t="str">
        <f>PROPER(TRIM(Table1[[#This Row],[Performance_Score]]))</f>
        <v>Excellent</v>
      </c>
      <c r="L950" s="3" t="b">
        <f>Table1[[#This Row],[Remote_Work]]</f>
        <v>1</v>
      </c>
      <c r="M950" s="3" t="str">
        <f>PROPER(CONCATENATE(Table13[[#This Row],[First_Name]], Table13[[#This Row],[Last_Name]]))</f>
        <v>Bobmiller</v>
      </c>
      <c r="N950" s="3" t="str">
        <f t="shared" si="14"/>
        <v>Mar</v>
      </c>
      <c r="O950" s="3" t="str">
        <f>TEXT(Table13[[#This Row],[Join_Date]],"yyyy")</f>
        <v>2024</v>
      </c>
      <c r="P950" s="3" t="str">
        <f>LEFT('Main Project Raw Data'!E950,FIND("-",'Main Project Raw Data'!E950)-1)</f>
        <v>Finance</v>
      </c>
      <c r="Q950" s="3" t="str">
        <f>RIGHT('Main Project Raw Data'!E950,LEN('Main Project Raw Data'!E950)-FIND("-",'Main Project Raw Data'!E950))</f>
        <v>Texas</v>
      </c>
    </row>
    <row r="951" spans="1:17" x14ac:dyDescent="0.3">
      <c r="A951" s="3" t="str">
        <f>TRIM(Table1[[#This Row],[Employee_ID]])</f>
        <v>EMP1949</v>
      </c>
      <c r="B951" s="3" t="str">
        <f>TRIM(Table1[[#This Row],[First_Name]])</f>
        <v>Frank</v>
      </c>
      <c r="C951" s="3" t="str">
        <f>TRIM(Table1[[#This Row],[Last_Name]])</f>
        <v>Jones</v>
      </c>
      <c r="D951" s="3">
        <f>IF(Table1[[#This Row],[Age]]="",AVERAGE(Table1[Age]),Table1[[#This Row],[Age]])</f>
        <v>35</v>
      </c>
      <c r="E951" s="3" t="s">
        <v>15</v>
      </c>
      <c r="F951" s="3" t="s">
        <v>16</v>
      </c>
      <c r="G951" s="5">
        <f>IF(ISNUMBER('Main Project Raw Data'!G951),'Main Project Raw Data'!G951,IF(ISNUMBER(SEARCH("/",'Main Project Raw Data'!G951)),DATE(RIGHT('Main Project Raw Data'!G951,4),LEFT('Main Project Raw Data'!G951,FIND("/",'Main Project Raw Data'!G951)-1),MID('Main Project Raw Data'!G951,FIND("/",'Main Project Raw Data'!G951)+1,2)),DATE(RIGHT('Main Project Raw Data'!G951,4),MID('Main Project Raw Data'!G951,4,2),LEFT('Main Project Raw Data'!G951,2))))</f>
        <v>45504</v>
      </c>
      <c r="H951" s="3">
        <f>IF(Table1[[#This Row],[Salary]]="",AVERAGE(Table1[Salary]),Table1[[#This Row],[Salary]])</f>
        <v>80935.649999999994</v>
      </c>
      <c r="I951" s="3" t="s">
        <v>47</v>
      </c>
      <c r="J951" s="3">
        <f>ABS(Table1[[#This Row],[Phone]])</f>
        <v>1455937660</v>
      </c>
      <c r="K951" s="3" t="str">
        <f>PROPER(TRIM(Table1[[#This Row],[Performance_Score]]))</f>
        <v>Excellent</v>
      </c>
      <c r="L951" s="3" t="b">
        <f>Table1[[#This Row],[Remote_Work]]</f>
        <v>0</v>
      </c>
      <c r="M951" s="3" t="str">
        <f>PROPER(CONCATENATE(Table13[[#This Row],[First_Name]], Table13[[#This Row],[Last_Name]]))</f>
        <v>Frankjones</v>
      </c>
      <c r="N951" s="3" t="str">
        <f t="shared" si="14"/>
        <v>Jul</v>
      </c>
      <c r="O951" s="3" t="str">
        <f>TEXT(Table13[[#This Row],[Join_Date]],"yyyy")</f>
        <v>2024</v>
      </c>
      <c r="P951" s="3" t="str">
        <f>LEFT('Main Project Raw Data'!E951,FIND("-",'Main Project Raw Data'!E951)-1)</f>
        <v>DevOps</v>
      </c>
      <c r="Q951" s="3" t="str">
        <f>RIGHT('Main Project Raw Data'!E951,LEN('Main Project Raw Data'!E951)-FIND("-",'Main Project Raw Data'!E951))</f>
        <v>California</v>
      </c>
    </row>
    <row r="952" spans="1:17" x14ac:dyDescent="0.3">
      <c r="A952" s="3" t="str">
        <f>TRIM(Table1[[#This Row],[Employee_ID]])</f>
        <v>EMP1950</v>
      </c>
      <c r="B952" s="3" t="str">
        <f>TRIM(Table1[[#This Row],[First_Name]])</f>
        <v>Frank</v>
      </c>
      <c r="C952" s="3" t="str">
        <f>TRIM(Table1[[#This Row],[Last_Name]])</f>
        <v>Williams</v>
      </c>
      <c r="D952" s="3">
        <f>IF(Table1[[#This Row],[Age]]="",AVERAGE(Table1[Age]),Table1[[#This Row],[Age]])</f>
        <v>30</v>
      </c>
      <c r="E952" s="3" t="s">
        <v>15</v>
      </c>
      <c r="F952" s="3" t="s">
        <v>16</v>
      </c>
      <c r="G952" s="5">
        <f>IF(ISNUMBER('Main Project Raw Data'!G952),'Main Project Raw Data'!G952,IF(ISNUMBER(SEARCH("/",'Main Project Raw Data'!G952)),DATE(RIGHT('Main Project Raw Data'!G952,4),LEFT('Main Project Raw Data'!G952,FIND("/",'Main Project Raw Data'!G952)-1),MID('Main Project Raw Data'!G952,FIND("/",'Main Project Raw Data'!G952)+1,2)),DATE(RIGHT('Main Project Raw Data'!G952,4),MID('Main Project Raw Data'!G952,4,2),LEFT('Main Project Raw Data'!G952,2))))</f>
        <v>45385</v>
      </c>
      <c r="H952" s="3">
        <f>IF(Table1[[#This Row],[Salary]]="",AVERAGE(Table1[Salary]),Table1[[#This Row],[Salary]])</f>
        <v>107020.19</v>
      </c>
      <c r="I952" s="3" t="s">
        <v>40</v>
      </c>
      <c r="J952" s="3">
        <f>ABS(Table1[[#This Row],[Phone]])</f>
        <v>8943705262</v>
      </c>
      <c r="K952" s="3" t="str">
        <f>PROPER(TRIM(Table1[[#This Row],[Performance_Score]]))</f>
        <v>Excellent</v>
      </c>
      <c r="L952" s="3" t="b">
        <f>Table1[[#This Row],[Remote_Work]]</f>
        <v>0</v>
      </c>
      <c r="M952" s="3" t="str">
        <f>PROPER(CONCATENATE(Table13[[#This Row],[First_Name]], Table13[[#This Row],[Last_Name]]))</f>
        <v>Frankwilliams</v>
      </c>
      <c r="N952" s="3" t="str">
        <f t="shared" si="14"/>
        <v>Apr</v>
      </c>
      <c r="O952" s="3" t="str">
        <f>TEXT(Table13[[#This Row],[Join_Date]],"yyyy")</f>
        <v>2024</v>
      </c>
      <c r="P952" s="3" t="str">
        <f>LEFT('Main Project Raw Data'!E952,FIND("-",'Main Project Raw Data'!E952)-1)</f>
        <v>DevOps</v>
      </c>
      <c r="Q952" s="3" t="str">
        <f>RIGHT('Main Project Raw Data'!E952,LEN('Main Project Raw Data'!E952)-FIND("-",'Main Project Raw Data'!E952))</f>
        <v>California</v>
      </c>
    </row>
    <row r="953" spans="1:17" x14ac:dyDescent="0.3">
      <c r="A953" s="3" t="str">
        <f>TRIM(Table1[[#This Row],[Employee_ID]])</f>
        <v>EMP1951</v>
      </c>
      <c r="B953" s="3" t="str">
        <f>TRIM(Table1[[#This Row],[First_Name]])</f>
        <v>Charlie</v>
      </c>
      <c r="C953" s="3" t="str">
        <f>TRIM(Table1[[#This Row],[Last_Name]])</f>
        <v>Brown</v>
      </c>
      <c r="D953" s="3">
        <f>IF(Table1[[#This Row],[Age]]="",AVERAGE(Table1[Age]),Table1[[#This Row],[Age]])</f>
        <v>30</v>
      </c>
      <c r="E953" s="3" t="s">
        <v>66</v>
      </c>
      <c r="F953" s="3" t="s">
        <v>16</v>
      </c>
      <c r="G953" s="5">
        <f>IF(ISNUMBER('Main Project Raw Data'!G953),'Main Project Raw Data'!G953,IF(ISNUMBER(SEARCH("/",'Main Project Raw Data'!G953)),DATE(RIGHT('Main Project Raw Data'!G953,4),LEFT('Main Project Raw Data'!G953,FIND("/",'Main Project Raw Data'!G953)-1),MID('Main Project Raw Data'!G953,FIND("/",'Main Project Raw Data'!G953)+1,2)),DATE(RIGHT('Main Project Raw Data'!G953,4),MID('Main Project Raw Data'!G953,4,2),LEFT('Main Project Raw Data'!G953,2))))</f>
        <v>44097</v>
      </c>
      <c r="H953" s="3">
        <f>IF(Table1[[#This Row],[Salary]]="",AVERAGE(Table1[Salary]),Table1[[#This Row],[Salary]])</f>
        <v>118677.67</v>
      </c>
      <c r="I953" s="3" t="s">
        <v>125</v>
      </c>
      <c r="J953" s="3">
        <f>ABS(Table1[[#This Row],[Phone]])</f>
        <v>5100462775</v>
      </c>
      <c r="K953" s="3" t="str">
        <f>PROPER(TRIM(Table1[[#This Row],[Performance_Score]]))</f>
        <v>Excellent</v>
      </c>
      <c r="L953" s="3" t="b">
        <f>Table1[[#This Row],[Remote_Work]]</f>
        <v>0</v>
      </c>
      <c r="M953" s="3" t="str">
        <f>PROPER(CONCATENATE(Table13[[#This Row],[First_Name]], Table13[[#This Row],[Last_Name]]))</f>
        <v>Charliebrown</v>
      </c>
      <c r="N953" s="3" t="str">
        <f t="shared" si="14"/>
        <v>Sep</v>
      </c>
      <c r="O953" s="3" t="str">
        <f>TEXT(Table13[[#This Row],[Join_Date]],"yyyy")</f>
        <v>2020</v>
      </c>
      <c r="P953" s="3" t="str">
        <f>LEFT('Main Project Raw Data'!E953,FIND("-",'Main Project Raw Data'!E953)-1)</f>
        <v>HR</v>
      </c>
      <c r="Q953" s="3" t="str">
        <f>RIGHT('Main Project Raw Data'!E953,LEN('Main Project Raw Data'!E953)-FIND("-",'Main Project Raw Data'!E953))</f>
        <v>New York</v>
      </c>
    </row>
    <row r="954" spans="1:17" x14ac:dyDescent="0.3">
      <c r="A954" s="3" t="str">
        <f>TRIM(Table1[[#This Row],[Employee_ID]])</f>
        <v>EMP1952</v>
      </c>
      <c r="B954" s="3" t="str">
        <f>TRIM(Table1[[#This Row],[First_Name]])</f>
        <v>Bob</v>
      </c>
      <c r="C954" s="3" t="str">
        <f>TRIM(Table1[[#This Row],[Last_Name]])</f>
        <v>Jones</v>
      </c>
      <c r="D954" s="3">
        <f>IF(Table1[[#This Row],[Age]]="",AVERAGE(Table1[Age]),Table1[[#This Row],[Age]])</f>
        <v>25</v>
      </c>
      <c r="E954" s="3" t="s">
        <v>39</v>
      </c>
      <c r="F954" s="3" t="s">
        <v>33</v>
      </c>
      <c r="G954" s="5">
        <f>IF(ISNUMBER('Main Project Raw Data'!G954),'Main Project Raw Data'!G954,IF(ISNUMBER(SEARCH("/",'Main Project Raw Data'!G954)),DATE(RIGHT('Main Project Raw Data'!G954,4),LEFT('Main Project Raw Data'!G954,FIND("/",'Main Project Raw Data'!G954)-1),MID('Main Project Raw Data'!G954,FIND("/",'Main Project Raw Data'!G954)+1,2)),DATE(RIGHT('Main Project Raw Data'!G954,4),MID('Main Project Raw Data'!G954,4,2),LEFT('Main Project Raw Data'!G954,2))))</f>
        <v>43918</v>
      </c>
      <c r="H954" s="3">
        <f>IF(Table1[[#This Row],[Salary]]="",AVERAGE(Table1[Salary]),Table1[[#This Row],[Salary]])</f>
        <v>63744.57</v>
      </c>
      <c r="I954" s="3" t="s">
        <v>50</v>
      </c>
      <c r="J954" s="3">
        <f>ABS(Table1[[#This Row],[Phone]])</f>
        <v>5725659201</v>
      </c>
      <c r="K954" s="3" t="str">
        <f>PROPER(TRIM(Table1[[#This Row],[Performance_Score]]))</f>
        <v>Average</v>
      </c>
      <c r="L954" s="3" t="b">
        <f>Table1[[#This Row],[Remote_Work]]</f>
        <v>0</v>
      </c>
      <c r="M954" s="3" t="str">
        <f>PROPER(CONCATENATE(Table13[[#This Row],[First_Name]], Table13[[#This Row],[Last_Name]]))</f>
        <v>Bobjones</v>
      </c>
      <c r="N954" s="3" t="str">
        <f t="shared" si="14"/>
        <v>Mar</v>
      </c>
      <c r="O954" s="3" t="str">
        <f>TEXT(Table13[[#This Row],[Join_Date]],"yyyy")</f>
        <v>2020</v>
      </c>
      <c r="P954" s="3" t="str">
        <f>LEFT('Main Project Raw Data'!E954,FIND("-",'Main Project Raw Data'!E954)-1)</f>
        <v>Cloud Tech</v>
      </c>
      <c r="Q954" s="3" t="str">
        <f>RIGHT('Main Project Raw Data'!E954,LEN('Main Project Raw Data'!E954)-FIND("-",'Main Project Raw Data'!E954))</f>
        <v>Florida</v>
      </c>
    </row>
    <row r="955" spans="1:17" x14ac:dyDescent="0.3">
      <c r="A955" s="3" t="str">
        <f>TRIM(Table1[[#This Row],[Employee_ID]])</f>
        <v>EMP1953</v>
      </c>
      <c r="B955" s="3" t="str">
        <f>TRIM(Table1[[#This Row],[First_Name]])</f>
        <v>Alice</v>
      </c>
      <c r="C955" s="3" t="str">
        <f>TRIM(Table1[[#This Row],[Last_Name]])</f>
        <v>Brown</v>
      </c>
      <c r="D955" s="3">
        <f>IF(Table1[[#This Row],[Age]]="",AVERAGE(Table1[Age]),Table1[[#This Row],[Age]])</f>
        <v>40</v>
      </c>
      <c r="E955" s="3" t="s">
        <v>268</v>
      </c>
      <c r="F955" s="3" t="s">
        <v>16</v>
      </c>
      <c r="G955" s="5">
        <f>IF(ISNUMBER('Main Project Raw Data'!G955),'Main Project Raw Data'!G955,IF(ISNUMBER(SEARCH("/",'Main Project Raw Data'!G955)),DATE(RIGHT('Main Project Raw Data'!G955,4),LEFT('Main Project Raw Data'!G955,FIND("/",'Main Project Raw Data'!G955)-1),MID('Main Project Raw Data'!G955,FIND("/",'Main Project Raw Data'!G955)+1,2)),DATE(RIGHT('Main Project Raw Data'!G955,4),MID('Main Project Raw Data'!G955,4,2),LEFT('Main Project Raw Data'!G955,2))))</f>
        <v>43966</v>
      </c>
      <c r="H955" s="3">
        <f>IF(Table1[[#This Row],[Salary]]="",AVERAGE(Table1[Salary]),Table1[[#This Row],[Salary]])</f>
        <v>85155.056395582287</v>
      </c>
      <c r="I955" s="3" t="s">
        <v>80</v>
      </c>
      <c r="J955" s="3">
        <f>ABS(Table1[[#This Row],[Phone]])</f>
        <v>4617520237</v>
      </c>
      <c r="K955" s="3" t="str">
        <f>PROPER(TRIM(Table1[[#This Row],[Performance_Score]]))</f>
        <v>Poor</v>
      </c>
      <c r="L955" s="3" t="b">
        <f>Table1[[#This Row],[Remote_Work]]</f>
        <v>0</v>
      </c>
      <c r="M955" s="3" t="str">
        <f>PROPER(CONCATENATE(Table13[[#This Row],[First_Name]], Table13[[#This Row],[Last_Name]]))</f>
        <v>Alicebrown</v>
      </c>
      <c r="N955" s="3" t="str">
        <f t="shared" si="14"/>
        <v>May</v>
      </c>
      <c r="O955" s="3" t="str">
        <f>TEXT(Table13[[#This Row],[Join_Date]],"yyyy")</f>
        <v>2020</v>
      </c>
      <c r="P955" s="3" t="str">
        <f>LEFT('Main Project Raw Data'!E955,FIND("-",'Main Project Raw Data'!E955)-1)</f>
        <v>Cloud Tech</v>
      </c>
      <c r="Q955" s="3" t="str">
        <f>RIGHT('Main Project Raw Data'!E955,LEN('Main Project Raw Data'!E955)-FIND("-",'Main Project Raw Data'!E955))</f>
        <v>California</v>
      </c>
    </row>
    <row r="956" spans="1:17" x14ac:dyDescent="0.3">
      <c r="A956" s="3" t="str">
        <f>TRIM(Table1[[#This Row],[Employee_ID]])</f>
        <v>EMP1954</v>
      </c>
      <c r="B956" s="3" t="str">
        <f>TRIM(Table1[[#This Row],[First_Name]])</f>
        <v>Bob</v>
      </c>
      <c r="C956" s="3" t="str">
        <f>TRIM(Table1[[#This Row],[Last_Name]])</f>
        <v>Williams</v>
      </c>
      <c r="D956" s="3">
        <f>IF(Table1[[#This Row],[Age]]="",AVERAGE(Table1[Age]),Table1[[#This Row],[Age]])</f>
        <v>25</v>
      </c>
      <c r="E956" s="3" t="s">
        <v>109</v>
      </c>
      <c r="F956" s="3" t="s">
        <v>28</v>
      </c>
      <c r="G956" s="5">
        <f>IF(ISNUMBER('Main Project Raw Data'!G956),'Main Project Raw Data'!G956,IF(ISNUMBER(SEARCH("/",'Main Project Raw Data'!G956)),DATE(RIGHT('Main Project Raw Data'!G956,4),LEFT('Main Project Raw Data'!G956,FIND("/",'Main Project Raw Data'!G956)-1),MID('Main Project Raw Data'!G956,FIND("/",'Main Project Raw Data'!G956)+1,2)),DATE(RIGHT('Main Project Raw Data'!G956,4),MID('Main Project Raw Data'!G956,4,2),LEFT('Main Project Raw Data'!G956,2))))</f>
        <v>44240</v>
      </c>
      <c r="H956" s="3">
        <f>IF(Table1[[#This Row],[Salary]]="",AVERAGE(Table1[Salary]),Table1[[#This Row],[Salary]])</f>
        <v>62934.73</v>
      </c>
      <c r="I956" s="3" t="s">
        <v>144</v>
      </c>
      <c r="J956" s="3">
        <f>ABS(Table1[[#This Row],[Phone]])</f>
        <v>9743260054</v>
      </c>
      <c r="K956" s="3" t="str">
        <f>PROPER(TRIM(Table1[[#This Row],[Performance_Score]]))</f>
        <v>Good</v>
      </c>
      <c r="L956" s="3" t="b">
        <f>Table1[[#This Row],[Remote_Work]]</f>
        <v>0</v>
      </c>
      <c r="M956" s="3" t="str">
        <f>PROPER(CONCATENATE(Table13[[#This Row],[First_Name]], Table13[[#This Row],[Last_Name]]))</f>
        <v>Bobwilliams</v>
      </c>
      <c r="N956" s="3" t="str">
        <f t="shared" si="14"/>
        <v>Feb</v>
      </c>
      <c r="O956" s="3" t="str">
        <f>TEXT(Table13[[#This Row],[Join_Date]],"yyyy")</f>
        <v>2021</v>
      </c>
      <c r="P956" s="3" t="str">
        <f>LEFT('Main Project Raw Data'!E956,FIND("-",'Main Project Raw Data'!E956)-1)</f>
        <v>Sales</v>
      </c>
      <c r="Q956" s="3" t="str">
        <f>RIGHT('Main Project Raw Data'!E956,LEN('Main Project Raw Data'!E956)-FIND("-",'Main Project Raw Data'!E956))</f>
        <v>New York</v>
      </c>
    </row>
    <row r="957" spans="1:17" x14ac:dyDescent="0.3">
      <c r="A957" s="3" t="str">
        <f>TRIM(Table1[[#This Row],[Employee_ID]])</f>
        <v>EMP1955</v>
      </c>
      <c r="B957" s="3" t="str">
        <f>TRIM(Table1[[#This Row],[First_Name]])</f>
        <v>Bob</v>
      </c>
      <c r="C957" s="3" t="str">
        <f>TRIM(Table1[[#This Row],[Last_Name]])</f>
        <v>Williams</v>
      </c>
      <c r="D957" s="3">
        <f>IF(Table1[[#This Row],[Age]]="",AVERAGE(Table1[Age]),Table1[[#This Row],[Age]])</f>
        <v>30</v>
      </c>
      <c r="E957" s="3" t="s">
        <v>15</v>
      </c>
      <c r="F957" s="3" t="s">
        <v>28</v>
      </c>
      <c r="G957" s="5">
        <f>IF(ISNUMBER('Main Project Raw Data'!G957),'Main Project Raw Data'!G957,IF(ISNUMBER(SEARCH("/",'Main Project Raw Data'!G957)),DATE(RIGHT('Main Project Raw Data'!G957,4),LEFT('Main Project Raw Data'!G957,FIND("/",'Main Project Raw Data'!G957)-1),MID('Main Project Raw Data'!G957,FIND("/",'Main Project Raw Data'!G957)+1,2)),DATE(RIGHT('Main Project Raw Data'!G957,4),MID('Main Project Raw Data'!G957,4,2),LEFT('Main Project Raw Data'!G957,2))))</f>
        <v>44543</v>
      </c>
      <c r="H957" s="3">
        <f>IF(Table1[[#This Row],[Salary]]="",AVERAGE(Table1[Salary]),Table1[[#This Row],[Salary]])</f>
        <v>74654.23</v>
      </c>
      <c r="I957" s="3" t="s">
        <v>144</v>
      </c>
      <c r="J957" s="3">
        <f>ABS(Table1[[#This Row],[Phone]])</f>
        <v>9550178331</v>
      </c>
      <c r="K957" s="3" t="str">
        <f>PROPER(TRIM(Table1[[#This Row],[Performance_Score]]))</f>
        <v>Excellent</v>
      </c>
      <c r="L957" s="3" t="b">
        <f>Table1[[#This Row],[Remote_Work]]</f>
        <v>1</v>
      </c>
      <c r="M957" s="3" t="str">
        <f>PROPER(CONCATENATE(Table13[[#This Row],[First_Name]], Table13[[#This Row],[Last_Name]]))</f>
        <v>Bobwilliams</v>
      </c>
      <c r="N957" s="3" t="str">
        <f t="shared" si="14"/>
        <v>Dec</v>
      </c>
      <c r="O957" s="3" t="str">
        <f>TEXT(Table13[[#This Row],[Join_Date]],"yyyy")</f>
        <v>2021</v>
      </c>
      <c r="P957" s="3" t="str">
        <f>LEFT('Main Project Raw Data'!E957,FIND("-",'Main Project Raw Data'!E957)-1)</f>
        <v>DevOps</v>
      </c>
      <c r="Q957" s="3" t="str">
        <f>RIGHT('Main Project Raw Data'!E957,LEN('Main Project Raw Data'!E957)-FIND("-",'Main Project Raw Data'!E957))</f>
        <v>California</v>
      </c>
    </row>
    <row r="958" spans="1:17" x14ac:dyDescent="0.3">
      <c r="A958" s="3" t="str">
        <f>TRIM(Table1[[#This Row],[Employee_ID]])</f>
        <v>EMP1956</v>
      </c>
      <c r="B958" s="3" t="str">
        <f>TRIM(Table1[[#This Row],[First_Name]])</f>
        <v>David</v>
      </c>
      <c r="C958" s="3" t="str">
        <f>TRIM(Table1[[#This Row],[Last_Name]])</f>
        <v>Brown</v>
      </c>
      <c r="D958" s="3">
        <f>IF(Table1[[#This Row],[Age]]="",AVERAGE(Table1[Age]),Table1[[#This Row],[Age]])</f>
        <v>32.484548825710753</v>
      </c>
      <c r="E958" s="3" t="s">
        <v>44</v>
      </c>
      <c r="F958" s="3" t="s">
        <v>16</v>
      </c>
      <c r="G958" s="5">
        <f>IF(ISNUMBER('Main Project Raw Data'!G958),'Main Project Raw Data'!G958,IF(ISNUMBER(SEARCH("/",'Main Project Raw Data'!G958)),DATE(RIGHT('Main Project Raw Data'!G958,4),LEFT('Main Project Raw Data'!G958,FIND("/",'Main Project Raw Data'!G958)-1),MID('Main Project Raw Data'!G958,FIND("/",'Main Project Raw Data'!G958)+1,2)),DATE(RIGHT('Main Project Raw Data'!G958,4),MID('Main Project Raw Data'!G958,4,2),LEFT('Main Project Raw Data'!G958,2))))</f>
        <v>45420</v>
      </c>
      <c r="H958" s="3">
        <f>IF(Table1[[#This Row],[Salary]]="",AVERAGE(Table1[Salary]),Table1[[#This Row],[Salary]])</f>
        <v>85155.056395582287</v>
      </c>
      <c r="I958" s="3" t="s">
        <v>225</v>
      </c>
      <c r="J958" s="3">
        <f>ABS(Table1[[#This Row],[Phone]])</f>
        <v>5848689992</v>
      </c>
      <c r="K958" s="3" t="str">
        <f>PROPER(TRIM(Table1[[#This Row],[Performance_Score]]))</f>
        <v>Average</v>
      </c>
      <c r="L958" s="3" t="b">
        <f>Table1[[#This Row],[Remote_Work]]</f>
        <v>1</v>
      </c>
      <c r="M958" s="3" t="str">
        <f>PROPER(CONCATENATE(Table13[[#This Row],[First_Name]], Table13[[#This Row],[Last_Name]]))</f>
        <v>Davidbrown</v>
      </c>
      <c r="N958" s="3" t="str">
        <f t="shared" si="14"/>
        <v>May</v>
      </c>
      <c r="O958" s="3" t="str">
        <f>TEXT(Table13[[#This Row],[Join_Date]],"yyyy")</f>
        <v>2024</v>
      </c>
      <c r="P958" s="3" t="str">
        <f>LEFT('Main Project Raw Data'!E958,FIND("-",'Main Project Raw Data'!E958)-1)</f>
        <v>Sales</v>
      </c>
      <c r="Q958" s="3" t="str">
        <f>RIGHT('Main Project Raw Data'!E958,LEN('Main Project Raw Data'!E958)-FIND("-",'Main Project Raw Data'!E958))</f>
        <v>Texas</v>
      </c>
    </row>
    <row r="959" spans="1:17" x14ac:dyDescent="0.3">
      <c r="A959" s="3" t="str">
        <f>TRIM(Table1[[#This Row],[Employee_ID]])</f>
        <v>EMP1957</v>
      </c>
      <c r="B959" s="3" t="str">
        <f>TRIM(Table1[[#This Row],[First_Name]])</f>
        <v>David</v>
      </c>
      <c r="C959" s="3" t="str">
        <f>TRIM(Table1[[#This Row],[Last_Name]])</f>
        <v>Smith</v>
      </c>
      <c r="D959" s="3">
        <f>IF(Table1[[#This Row],[Age]]="",AVERAGE(Table1[Age]),Table1[[#This Row],[Age]])</f>
        <v>30</v>
      </c>
      <c r="E959" s="3" t="s">
        <v>66</v>
      </c>
      <c r="F959" s="3" t="s">
        <v>28</v>
      </c>
      <c r="G959" s="5">
        <f>IF(ISNUMBER('Main Project Raw Data'!G959),'Main Project Raw Data'!G959,IF(ISNUMBER(SEARCH("/",'Main Project Raw Data'!G959)),DATE(RIGHT('Main Project Raw Data'!G959,4),LEFT('Main Project Raw Data'!G959,FIND("/",'Main Project Raw Data'!G959)-1),MID('Main Project Raw Data'!G959,FIND("/",'Main Project Raw Data'!G959)+1,2)),DATE(RIGHT('Main Project Raw Data'!G959,4),MID('Main Project Raw Data'!G959,4,2),LEFT('Main Project Raw Data'!G959,2))))</f>
        <v>44075</v>
      </c>
      <c r="H959" s="3">
        <f>IF(Table1[[#This Row],[Salary]]="",AVERAGE(Table1[Salary]),Table1[[#This Row],[Salary]])</f>
        <v>118150.59</v>
      </c>
      <c r="I959" s="3" t="s">
        <v>340</v>
      </c>
      <c r="J959" s="3">
        <f>ABS(Table1[[#This Row],[Phone]])</f>
        <v>6079848703</v>
      </c>
      <c r="K959" s="3" t="str">
        <f>PROPER(TRIM(Table1[[#This Row],[Performance_Score]]))</f>
        <v>Average</v>
      </c>
      <c r="L959" s="3" t="b">
        <f>Table1[[#This Row],[Remote_Work]]</f>
        <v>1</v>
      </c>
      <c r="M959" s="3" t="str">
        <f>PROPER(CONCATENATE(Table13[[#This Row],[First_Name]], Table13[[#This Row],[Last_Name]]))</f>
        <v>Davidsmith</v>
      </c>
      <c r="N959" s="3" t="str">
        <f t="shared" si="14"/>
        <v>Sep</v>
      </c>
      <c r="O959" s="3" t="str">
        <f>TEXT(Table13[[#This Row],[Join_Date]],"yyyy")</f>
        <v>2020</v>
      </c>
      <c r="P959" s="3" t="str">
        <f>LEFT('Main Project Raw Data'!E959,FIND("-",'Main Project Raw Data'!E959)-1)</f>
        <v>HR</v>
      </c>
      <c r="Q959" s="3" t="str">
        <f>RIGHT('Main Project Raw Data'!E959,LEN('Main Project Raw Data'!E959)-FIND("-",'Main Project Raw Data'!E959))</f>
        <v>New York</v>
      </c>
    </row>
    <row r="960" spans="1:17" x14ac:dyDescent="0.3">
      <c r="A960" s="3" t="str">
        <f>TRIM(Table1[[#This Row],[Employee_ID]])</f>
        <v>EMP1958</v>
      </c>
      <c r="B960" s="3" t="str">
        <f>TRIM(Table1[[#This Row],[First_Name]])</f>
        <v>David</v>
      </c>
      <c r="C960" s="3" t="str">
        <f>TRIM(Table1[[#This Row],[Last_Name]])</f>
        <v>Johnson</v>
      </c>
      <c r="D960" s="3">
        <f>IF(Table1[[#This Row],[Age]]="",AVERAGE(Table1[Age]),Table1[[#This Row],[Age]])</f>
        <v>32.484548825710753</v>
      </c>
      <c r="E960" s="3" t="s">
        <v>230</v>
      </c>
      <c r="F960" s="3" t="s">
        <v>33</v>
      </c>
      <c r="G960" s="5">
        <f>IF(ISNUMBER('Main Project Raw Data'!G960),'Main Project Raw Data'!G960,IF(ISNUMBER(SEARCH("/",'Main Project Raw Data'!G960)),DATE(RIGHT('Main Project Raw Data'!G960,4),LEFT('Main Project Raw Data'!G960,FIND("/",'Main Project Raw Data'!G960)-1),MID('Main Project Raw Data'!G960,FIND("/",'Main Project Raw Data'!G960)+1,2)),DATE(RIGHT('Main Project Raw Data'!G960,4),MID('Main Project Raw Data'!G960,4,2),LEFT('Main Project Raw Data'!G960,2))))</f>
        <v>45260</v>
      </c>
      <c r="H960" s="3">
        <f>IF(Table1[[#This Row],[Salary]]="",AVERAGE(Table1[Salary]),Table1[[#This Row],[Salary]])</f>
        <v>91256.639999999999</v>
      </c>
      <c r="I960" s="3" t="s">
        <v>217</v>
      </c>
      <c r="J960" s="3">
        <f>ABS(Table1[[#This Row],[Phone]])</f>
        <v>5069176798</v>
      </c>
      <c r="K960" s="3" t="str">
        <f>PROPER(TRIM(Table1[[#This Row],[Performance_Score]]))</f>
        <v>Average</v>
      </c>
      <c r="L960" s="3" t="b">
        <f>Table1[[#This Row],[Remote_Work]]</f>
        <v>0</v>
      </c>
      <c r="M960" s="3" t="str">
        <f>PROPER(CONCATENATE(Table13[[#This Row],[First_Name]], Table13[[#This Row],[Last_Name]]))</f>
        <v>Davidjohnson</v>
      </c>
      <c r="N960" s="3" t="str">
        <f t="shared" si="14"/>
        <v>Nov</v>
      </c>
      <c r="O960" s="3" t="str">
        <f>TEXT(Table13[[#This Row],[Join_Date]],"yyyy")</f>
        <v>2023</v>
      </c>
      <c r="P960" s="3" t="str">
        <f>LEFT('Main Project Raw Data'!E960,FIND("-",'Main Project Raw Data'!E960)-1)</f>
        <v>DevOps</v>
      </c>
      <c r="Q960" s="3" t="str">
        <f>RIGHT('Main Project Raw Data'!E960,LEN('Main Project Raw Data'!E960)-FIND("-",'Main Project Raw Data'!E960))</f>
        <v>Florida</v>
      </c>
    </row>
    <row r="961" spans="1:17" x14ac:dyDescent="0.3">
      <c r="A961" s="3" t="str">
        <f>TRIM(Table1[[#This Row],[Employee_ID]])</f>
        <v>EMP1959</v>
      </c>
      <c r="B961" s="3" t="str">
        <f>TRIM(Table1[[#This Row],[First_Name]])</f>
        <v>Bob</v>
      </c>
      <c r="C961" s="3" t="str">
        <f>TRIM(Table1[[#This Row],[Last_Name]])</f>
        <v>Davis</v>
      </c>
      <c r="D961" s="3">
        <f>IF(Table1[[#This Row],[Age]]="",AVERAGE(Table1[Age]),Table1[[#This Row],[Age]])</f>
        <v>30</v>
      </c>
      <c r="E961" s="3" t="s">
        <v>212</v>
      </c>
      <c r="F961" s="3" t="s">
        <v>33</v>
      </c>
      <c r="G961" s="5">
        <f>IF(ISNUMBER('Main Project Raw Data'!G961),'Main Project Raw Data'!G961,IF(ISNUMBER(SEARCH("/",'Main Project Raw Data'!G961)),DATE(RIGHT('Main Project Raw Data'!G961,4),LEFT('Main Project Raw Data'!G961,FIND("/",'Main Project Raw Data'!G961)-1),MID('Main Project Raw Data'!G961,FIND("/",'Main Project Raw Data'!G961)+1,2)),DATE(RIGHT('Main Project Raw Data'!G961,4),MID('Main Project Raw Data'!G961,4,2),LEFT('Main Project Raw Data'!G961,2))))</f>
        <v>44269</v>
      </c>
      <c r="H961" s="3">
        <f>IF(Table1[[#This Row],[Salary]]="",AVERAGE(Table1[Salary]),Table1[[#This Row],[Salary]])</f>
        <v>85997.57</v>
      </c>
      <c r="I961" s="3" t="s">
        <v>17</v>
      </c>
      <c r="J961" s="3">
        <f>ABS(Table1[[#This Row],[Phone]])</f>
        <v>3593744038</v>
      </c>
      <c r="K961" s="3" t="str">
        <f>PROPER(TRIM(Table1[[#This Row],[Performance_Score]]))</f>
        <v>Good</v>
      </c>
      <c r="L961" s="3" t="b">
        <f>Table1[[#This Row],[Remote_Work]]</f>
        <v>0</v>
      </c>
      <c r="M961" s="3" t="str">
        <f>PROPER(CONCATENATE(Table13[[#This Row],[First_Name]], Table13[[#This Row],[Last_Name]]))</f>
        <v>Bobdavis</v>
      </c>
      <c r="N961" s="3" t="str">
        <f t="shared" si="14"/>
        <v>Mar</v>
      </c>
      <c r="O961" s="3" t="str">
        <f>TEXT(Table13[[#This Row],[Join_Date]],"yyyy")</f>
        <v>2021</v>
      </c>
      <c r="P961" s="3" t="str">
        <f>LEFT('Main Project Raw Data'!E961,FIND("-",'Main Project Raw Data'!E961)-1)</f>
        <v>HR</v>
      </c>
      <c r="Q961" s="3" t="str">
        <f>RIGHT('Main Project Raw Data'!E961,LEN('Main Project Raw Data'!E961)-FIND("-",'Main Project Raw Data'!E961))</f>
        <v>Florida</v>
      </c>
    </row>
    <row r="962" spans="1:17" x14ac:dyDescent="0.3">
      <c r="A962" s="3" t="str">
        <f>TRIM(Table1[[#This Row],[Employee_ID]])</f>
        <v>EMP1960</v>
      </c>
      <c r="B962" s="3" t="str">
        <f>TRIM(Table1[[#This Row],[First_Name]])</f>
        <v>Frank</v>
      </c>
      <c r="C962" s="3" t="str">
        <f>TRIM(Table1[[#This Row],[Last_Name]])</f>
        <v>Smith</v>
      </c>
      <c r="D962" s="3">
        <f>IF(Table1[[#This Row],[Age]]="",AVERAGE(Table1[Age]),Table1[[#This Row],[Age]])</f>
        <v>25</v>
      </c>
      <c r="E962" s="3" t="s">
        <v>21</v>
      </c>
      <c r="F962" s="3" t="s">
        <v>28</v>
      </c>
      <c r="G962" s="5">
        <f>IF(ISNUMBER('Main Project Raw Data'!G962),'Main Project Raw Data'!G962,IF(ISNUMBER(SEARCH("/",'Main Project Raw Data'!G962)),DATE(RIGHT('Main Project Raw Data'!G962,4),LEFT('Main Project Raw Data'!G962,FIND("/",'Main Project Raw Data'!G962)-1),MID('Main Project Raw Data'!G962,FIND("/",'Main Project Raw Data'!G962)+1,2)),DATE(RIGHT('Main Project Raw Data'!G962,4),MID('Main Project Raw Data'!G962,4,2),LEFT('Main Project Raw Data'!G962,2))))</f>
        <v>43961</v>
      </c>
      <c r="H962" s="3">
        <f>IF(Table1[[#This Row],[Salary]]="",AVERAGE(Table1[Salary]),Table1[[#This Row],[Salary]])</f>
        <v>84707.12</v>
      </c>
      <c r="I962" s="3" t="s">
        <v>137</v>
      </c>
      <c r="J962" s="3">
        <f>ABS(Table1[[#This Row],[Phone]])</f>
        <v>4640830372</v>
      </c>
      <c r="K962" s="3" t="str">
        <f>PROPER(TRIM(Table1[[#This Row],[Performance_Score]]))</f>
        <v>Excellent</v>
      </c>
      <c r="L962" s="3" t="b">
        <f>Table1[[#This Row],[Remote_Work]]</f>
        <v>0</v>
      </c>
      <c r="M962" s="3" t="str">
        <f>PROPER(CONCATENATE(Table13[[#This Row],[First_Name]], Table13[[#This Row],[Last_Name]]))</f>
        <v>Franksmith</v>
      </c>
      <c r="N962" s="3" t="str">
        <f t="shared" ref="N962:N1021" si="15">TEXT(G962,"mmm")</f>
        <v>May</v>
      </c>
      <c r="O962" s="3" t="str">
        <f>TEXT(Table13[[#This Row],[Join_Date]],"yyyy")</f>
        <v>2020</v>
      </c>
      <c r="P962" s="3" t="str">
        <f>LEFT('Main Project Raw Data'!E962,FIND("-",'Main Project Raw Data'!E962)-1)</f>
        <v>Finance</v>
      </c>
      <c r="Q962" s="3" t="str">
        <f>RIGHT('Main Project Raw Data'!E962,LEN('Main Project Raw Data'!E962)-FIND("-",'Main Project Raw Data'!E962))</f>
        <v>Texas</v>
      </c>
    </row>
    <row r="963" spans="1:17" x14ac:dyDescent="0.3">
      <c r="A963" s="3" t="str">
        <f>TRIM(Table1[[#This Row],[Employee_ID]])</f>
        <v>EMP1961</v>
      </c>
      <c r="B963" s="3" t="str">
        <f>TRIM(Table1[[#This Row],[First_Name]])</f>
        <v>Eva</v>
      </c>
      <c r="C963" s="3" t="str">
        <f>TRIM(Table1[[#This Row],[Last_Name]])</f>
        <v>Smith</v>
      </c>
      <c r="D963" s="3">
        <f>IF(Table1[[#This Row],[Age]]="",AVERAGE(Table1[Age]),Table1[[#This Row],[Age]])</f>
        <v>32.484548825710753</v>
      </c>
      <c r="E963" s="3" t="s">
        <v>237</v>
      </c>
      <c r="F963" s="3" t="s">
        <v>16</v>
      </c>
      <c r="G963" s="5">
        <f>IF(ISNUMBER('Main Project Raw Data'!G963),'Main Project Raw Data'!G963,IF(ISNUMBER(SEARCH("/",'Main Project Raw Data'!G963)),DATE(RIGHT('Main Project Raw Data'!G963,4),LEFT('Main Project Raw Data'!G963,FIND("/",'Main Project Raw Data'!G963)-1),MID('Main Project Raw Data'!G963,FIND("/",'Main Project Raw Data'!G963)+1,2)),DATE(RIGHT('Main Project Raw Data'!G963,4),MID('Main Project Raw Data'!G963,4,2),LEFT('Main Project Raw Data'!G963,2))))</f>
        <v>44238</v>
      </c>
      <c r="H963" s="3">
        <f>IF(Table1[[#This Row],[Salary]]="",AVERAGE(Table1[Salary]),Table1[[#This Row],[Salary]])</f>
        <v>84559.9</v>
      </c>
      <c r="I963" s="3" t="s">
        <v>521</v>
      </c>
      <c r="J963" s="3">
        <f>ABS(Table1[[#This Row],[Phone]])</f>
        <v>6060148859</v>
      </c>
      <c r="K963" s="3" t="str">
        <f>PROPER(TRIM(Table1[[#This Row],[Performance_Score]]))</f>
        <v>Poor</v>
      </c>
      <c r="L963" s="3" t="b">
        <f>Table1[[#This Row],[Remote_Work]]</f>
        <v>0</v>
      </c>
      <c r="M963" s="3" t="str">
        <f>PROPER(CONCATENATE(Table13[[#This Row],[First_Name]], Table13[[#This Row],[Last_Name]]))</f>
        <v>Evasmith</v>
      </c>
      <c r="N963" s="3" t="str">
        <f t="shared" si="15"/>
        <v>Feb</v>
      </c>
      <c r="O963" s="3" t="str">
        <f>TEXT(Table13[[#This Row],[Join_Date]],"yyyy")</f>
        <v>2021</v>
      </c>
      <c r="P963" s="3" t="str">
        <f>LEFT('Main Project Raw Data'!E963,FIND("-",'Main Project Raw Data'!E963)-1)</f>
        <v>DevOps</v>
      </c>
      <c r="Q963" s="3" t="str">
        <f>RIGHT('Main Project Raw Data'!E963,LEN('Main Project Raw Data'!E963)-FIND("-",'Main Project Raw Data'!E963))</f>
        <v>Texas</v>
      </c>
    </row>
    <row r="964" spans="1:17" x14ac:dyDescent="0.3">
      <c r="A964" s="3" t="str">
        <f>TRIM(Table1[[#This Row],[Employee_ID]])</f>
        <v>EMP1962</v>
      </c>
      <c r="B964" s="3" t="str">
        <f>TRIM(Table1[[#This Row],[First_Name]])</f>
        <v>Heidi</v>
      </c>
      <c r="C964" s="3" t="str">
        <f>TRIM(Table1[[#This Row],[Last_Name]])</f>
        <v>Miller</v>
      </c>
      <c r="D964" s="3">
        <f>IF(Table1[[#This Row],[Age]]="",AVERAGE(Table1[Age]),Table1[[#This Row],[Age]])</f>
        <v>32.484548825710753</v>
      </c>
      <c r="E964" s="3" t="s">
        <v>15</v>
      </c>
      <c r="F964" s="3" t="s">
        <v>28</v>
      </c>
      <c r="G964" s="5">
        <f>IF(ISNUMBER('Main Project Raw Data'!G964),'Main Project Raw Data'!G964,IF(ISNUMBER(SEARCH("/",'Main Project Raw Data'!G964)),DATE(RIGHT('Main Project Raw Data'!G964,4),LEFT('Main Project Raw Data'!G964,FIND("/",'Main Project Raw Data'!G964)-1),MID('Main Project Raw Data'!G964,FIND("/",'Main Project Raw Data'!G964)+1,2)),DATE(RIGHT('Main Project Raw Data'!G964,4),MID('Main Project Raw Data'!G964,4,2),LEFT('Main Project Raw Data'!G964,2))))</f>
        <v>45553</v>
      </c>
      <c r="H964" s="3">
        <f>IF(Table1[[#This Row],[Salary]]="",AVERAGE(Table1[Salary]),Table1[[#This Row],[Salary]])</f>
        <v>81076.91</v>
      </c>
      <c r="I964" s="3" t="s">
        <v>130</v>
      </c>
      <c r="J964" s="3">
        <f>ABS(Table1[[#This Row],[Phone]])</f>
        <v>8490793883</v>
      </c>
      <c r="K964" s="3" t="str">
        <f>PROPER(TRIM(Table1[[#This Row],[Performance_Score]]))</f>
        <v>Poor</v>
      </c>
      <c r="L964" s="3" t="b">
        <f>Table1[[#This Row],[Remote_Work]]</f>
        <v>0</v>
      </c>
      <c r="M964" s="3" t="str">
        <f>PROPER(CONCATENATE(Table13[[#This Row],[First_Name]], Table13[[#This Row],[Last_Name]]))</f>
        <v>Heidimiller</v>
      </c>
      <c r="N964" s="3" t="str">
        <f t="shared" si="15"/>
        <v>Sep</v>
      </c>
      <c r="O964" s="3" t="str">
        <f>TEXT(Table13[[#This Row],[Join_Date]],"yyyy")</f>
        <v>2024</v>
      </c>
      <c r="P964" s="3" t="str">
        <f>LEFT('Main Project Raw Data'!E964,FIND("-",'Main Project Raw Data'!E964)-1)</f>
        <v>DevOps</v>
      </c>
      <c r="Q964" s="3" t="str">
        <f>RIGHT('Main Project Raw Data'!E964,LEN('Main Project Raw Data'!E964)-FIND("-",'Main Project Raw Data'!E964))</f>
        <v>California</v>
      </c>
    </row>
    <row r="965" spans="1:17" x14ac:dyDescent="0.3">
      <c r="A965" s="3" t="str">
        <f>TRIM(Table1[[#This Row],[Employee_ID]])</f>
        <v>EMP1963</v>
      </c>
      <c r="B965" s="3" t="str">
        <f>TRIM(Table1[[#This Row],[First_Name]])</f>
        <v>Eva</v>
      </c>
      <c r="C965" s="3" t="str">
        <f>TRIM(Table1[[#This Row],[Last_Name]])</f>
        <v>Davis</v>
      </c>
      <c r="D965" s="3">
        <f>IF(Table1[[#This Row],[Age]]="",AVERAGE(Table1[Age]),Table1[[#This Row],[Age]])</f>
        <v>40</v>
      </c>
      <c r="E965" s="3" t="s">
        <v>103</v>
      </c>
      <c r="F965" s="3" t="s">
        <v>33</v>
      </c>
      <c r="G965" s="5">
        <f>IF(ISNUMBER('Main Project Raw Data'!G965),'Main Project Raw Data'!G965,IF(ISNUMBER(SEARCH("/",'Main Project Raw Data'!G965)),DATE(RIGHT('Main Project Raw Data'!G965,4),LEFT('Main Project Raw Data'!G965,FIND("/",'Main Project Raw Data'!G965)-1),MID('Main Project Raw Data'!G965,FIND("/",'Main Project Raw Data'!G965)+1,2)),DATE(RIGHT('Main Project Raw Data'!G965,4),MID('Main Project Raw Data'!G965,4,2),LEFT('Main Project Raw Data'!G965,2))))</f>
        <v>45221</v>
      </c>
      <c r="H965" s="3">
        <f>IF(Table1[[#This Row],[Salary]]="",AVERAGE(Table1[Salary]),Table1[[#This Row],[Salary]])</f>
        <v>85155.056395582287</v>
      </c>
      <c r="I965" s="3" t="s">
        <v>35</v>
      </c>
      <c r="J965" s="3">
        <f>ABS(Table1[[#This Row],[Phone]])</f>
        <v>1368528305</v>
      </c>
      <c r="K965" s="3" t="str">
        <f>PROPER(TRIM(Table1[[#This Row],[Performance_Score]]))</f>
        <v>Average</v>
      </c>
      <c r="L965" s="3" t="b">
        <f>Table1[[#This Row],[Remote_Work]]</f>
        <v>0</v>
      </c>
      <c r="M965" s="3" t="str">
        <f>PROPER(CONCATENATE(Table13[[#This Row],[First_Name]], Table13[[#This Row],[Last_Name]]))</f>
        <v>Evadavis</v>
      </c>
      <c r="N965" s="3" t="str">
        <f t="shared" si="15"/>
        <v>Oct</v>
      </c>
      <c r="O965" s="3" t="str">
        <f>TEXT(Table13[[#This Row],[Join_Date]],"yyyy")</f>
        <v>2023</v>
      </c>
      <c r="P965" s="3" t="str">
        <f>LEFT('Main Project Raw Data'!E965,FIND("-",'Main Project Raw Data'!E965)-1)</f>
        <v>Admin</v>
      </c>
      <c r="Q965" s="3" t="str">
        <f>RIGHT('Main Project Raw Data'!E965,LEN('Main Project Raw Data'!E965)-FIND("-",'Main Project Raw Data'!E965))</f>
        <v>Texas</v>
      </c>
    </row>
    <row r="966" spans="1:17" x14ac:dyDescent="0.3">
      <c r="A966" s="3" t="str">
        <f>TRIM(Table1[[#This Row],[Employee_ID]])</f>
        <v>EMP1964</v>
      </c>
      <c r="B966" s="3" t="str">
        <f>TRIM(Table1[[#This Row],[First_Name]])</f>
        <v>Heidi</v>
      </c>
      <c r="C966" s="3" t="str">
        <f>TRIM(Table1[[#This Row],[Last_Name]])</f>
        <v>Davis</v>
      </c>
      <c r="D966" s="3">
        <f>IF(Table1[[#This Row],[Age]]="",AVERAGE(Table1[Age]),Table1[[#This Row],[Age]])</f>
        <v>25</v>
      </c>
      <c r="E966" s="3" t="s">
        <v>112</v>
      </c>
      <c r="F966" s="3" t="s">
        <v>28</v>
      </c>
      <c r="G966" s="5">
        <f>IF(ISNUMBER('Main Project Raw Data'!G966),'Main Project Raw Data'!G966,IF(ISNUMBER(SEARCH("/",'Main Project Raw Data'!G966)),DATE(RIGHT('Main Project Raw Data'!G966,4),LEFT('Main Project Raw Data'!G966,FIND("/",'Main Project Raw Data'!G966)-1),MID('Main Project Raw Data'!G966,FIND("/",'Main Project Raw Data'!G966)+1,2)),DATE(RIGHT('Main Project Raw Data'!G966,4),MID('Main Project Raw Data'!G966,4,2),LEFT('Main Project Raw Data'!G966,2))))</f>
        <v>45208</v>
      </c>
      <c r="H966" s="3">
        <f>IF(Table1[[#This Row],[Salary]]="",AVERAGE(Table1[Salary]),Table1[[#This Row],[Salary]])</f>
        <v>97356.31</v>
      </c>
      <c r="I966" s="3" t="s">
        <v>394</v>
      </c>
      <c r="J966" s="3">
        <f>ABS(Table1[[#This Row],[Phone]])</f>
        <v>1537012423</v>
      </c>
      <c r="K966" s="3" t="str">
        <f>PROPER(TRIM(Table1[[#This Row],[Performance_Score]]))</f>
        <v>Good</v>
      </c>
      <c r="L966" s="3" t="b">
        <f>Table1[[#This Row],[Remote_Work]]</f>
        <v>1</v>
      </c>
      <c r="M966" s="3" t="str">
        <f>PROPER(CONCATENATE(Table13[[#This Row],[First_Name]], Table13[[#This Row],[Last_Name]]))</f>
        <v>Heididavis</v>
      </c>
      <c r="N966" s="3" t="str">
        <f t="shared" si="15"/>
        <v>Oct</v>
      </c>
      <c r="O966" s="3" t="str">
        <f>TEXT(Table13[[#This Row],[Join_Date]],"yyyy")</f>
        <v>2023</v>
      </c>
      <c r="P966" s="3" t="str">
        <f>LEFT('Main Project Raw Data'!E966,FIND("-",'Main Project Raw Data'!E966)-1)</f>
        <v>Finance</v>
      </c>
      <c r="Q966" s="3" t="str">
        <f>RIGHT('Main Project Raw Data'!E966,LEN('Main Project Raw Data'!E966)-FIND("-",'Main Project Raw Data'!E966))</f>
        <v>Florida</v>
      </c>
    </row>
    <row r="967" spans="1:17" x14ac:dyDescent="0.3">
      <c r="A967" s="3" t="str">
        <f>TRIM(Table1[[#This Row],[Employee_ID]])</f>
        <v>EMP1965</v>
      </c>
      <c r="B967" s="3" t="str">
        <f>TRIM(Table1[[#This Row],[First_Name]])</f>
        <v>Grace</v>
      </c>
      <c r="C967" s="3" t="str">
        <f>TRIM(Table1[[#This Row],[Last_Name]])</f>
        <v>Smith</v>
      </c>
      <c r="D967" s="3">
        <f>IF(Table1[[#This Row],[Age]]="",AVERAGE(Table1[Age]),Table1[[#This Row],[Age]])</f>
        <v>40</v>
      </c>
      <c r="E967" s="3" t="s">
        <v>78</v>
      </c>
      <c r="F967" s="3" t="s">
        <v>16</v>
      </c>
      <c r="G967" s="5">
        <f>IF(ISNUMBER('Main Project Raw Data'!G967),'Main Project Raw Data'!G967,IF(ISNUMBER(SEARCH("/",'Main Project Raw Data'!G967)),DATE(RIGHT('Main Project Raw Data'!G967,4),LEFT('Main Project Raw Data'!G967,FIND("/",'Main Project Raw Data'!G967)-1),MID('Main Project Raw Data'!G967,FIND("/",'Main Project Raw Data'!G967)+1,2)),DATE(RIGHT('Main Project Raw Data'!G967,4),MID('Main Project Raw Data'!G967,4,2),LEFT('Main Project Raw Data'!G967,2))))</f>
        <v>45349</v>
      </c>
      <c r="H967" s="3">
        <f>IF(Table1[[#This Row],[Salary]]="",AVERAGE(Table1[Salary]),Table1[[#This Row],[Salary]])</f>
        <v>114770.32</v>
      </c>
      <c r="I967" s="3" t="s">
        <v>135</v>
      </c>
      <c r="J967" s="3">
        <f>ABS(Table1[[#This Row],[Phone]])</f>
        <v>4626325143</v>
      </c>
      <c r="K967" s="3" t="str">
        <f>PROPER(TRIM(Table1[[#This Row],[Performance_Score]]))</f>
        <v>Good</v>
      </c>
      <c r="L967" s="3" t="b">
        <f>Table1[[#This Row],[Remote_Work]]</f>
        <v>1</v>
      </c>
      <c r="M967" s="3" t="str">
        <f>PROPER(CONCATENATE(Table13[[#This Row],[First_Name]], Table13[[#This Row],[Last_Name]]))</f>
        <v>Gracesmith</v>
      </c>
      <c r="N967" s="3" t="str">
        <f t="shared" si="15"/>
        <v>Feb</v>
      </c>
      <c r="O967" s="3" t="str">
        <f>TEXT(Table13[[#This Row],[Join_Date]],"yyyy")</f>
        <v>2024</v>
      </c>
      <c r="P967" s="3" t="str">
        <f>LEFT('Main Project Raw Data'!E967,FIND("-",'Main Project Raw Data'!E967)-1)</f>
        <v>DevOps</v>
      </c>
      <c r="Q967" s="3" t="str">
        <f>RIGHT('Main Project Raw Data'!E967,LEN('Main Project Raw Data'!E967)-FIND("-",'Main Project Raw Data'!E967))</f>
        <v>Illinois</v>
      </c>
    </row>
    <row r="968" spans="1:17" x14ac:dyDescent="0.3">
      <c r="A968" s="3" t="str">
        <f>TRIM(Table1[[#This Row],[Employee_ID]])</f>
        <v>EMP1966</v>
      </c>
      <c r="B968" s="3" t="str">
        <f>TRIM(Table1[[#This Row],[First_Name]])</f>
        <v>Bob</v>
      </c>
      <c r="C968" s="3" t="str">
        <f>TRIM(Table1[[#This Row],[Last_Name]])</f>
        <v>Jones</v>
      </c>
      <c r="D968" s="3">
        <f>IF(Table1[[#This Row],[Age]]="",AVERAGE(Table1[Age]),Table1[[#This Row],[Age]])</f>
        <v>35</v>
      </c>
      <c r="E968" s="3" t="s">
        <v>118</v>
      </c>
      <c r="F968" s="3" t="s">
        <v>16</v>
      </c>
      <c r="G968" s="5">
        <f>IF(ISNUMBER('Main Project Raw Data'!G968),'Main Project Raw Data'!G968,IF(ISNUMBER(SEARCH("/",'Main Project Raw Data'!G968)),DATE(RIGHT('Main Project Raw Data'!G968,4),LEFT('Main Project Raw Data'!G968,FIND("/",'Main Project Raw Data'!G968)-1),MID('Main Project Raw Data'!G968,FIND("/",'Main Project Raw Data'!G968)+1,2)),DATE(RIGHT('Main Project Raw Data'!G968,4),MID('Main Project Raw Data'!G968,4,2),LEFT('Main Project Raw Data'!G968,2))))</f>
        <v>44990</v>
      </c>
      <c r="H968" s="3">
        <f>IF(Table1[[#This Row],[Salary]]="",AVERAGE(Table1[Salary]),Table1[[#This Row],[Salary]])</f>
        <v>109082.07</v>
      </c>
      <c r="I968" s="3" t="s">
        <v>50</v>
      </c>
      <c r="J968" s="3">
        <f>ABS(Table1[[#This Row],[Phone]])</f>
        <v>8811210313</v>
      </c>
      <c r="K968" s="3" t="str">
        <f>PROPER(TRIM(Table1[[#This Row],[Performance_Score]]))</f>
        <v>Good</v>
      </c>
      <c r="L968" s="3" t="b">
        <f>Table1[[#This Row],[Remote_Work]]</f>
        <v>0</v>
      </c>
      <c r="M968" s="3" t="str">
        <f>PROPER(CONCATENATE(Table13[[#This Row],[First_Name]], Table13[[#This Row],[Last_Name]]))</f>
        <v>Bobjones</v>
      </c>
      <c r="N968" s="3" t="str">
        <f t="shared" si="15"/>
        <v>Mar</v>
      </c>
      <c r="O968" s="3" t="str">
        <f>TEXT(Table13[[#This Row],[Join_Date]],"yyyy")</f>
        <v>2023</v>
      </c>
      <c r="P968" s="3" t="str">
        <f>LEFT('Main Project Raw Data'!E968,FIND("-",'Main Project Raw Data'!E968)-1)</f>
        <v>Admin</v>
      </c>
      <c r="Q968" s="3" t="str">
        <f>RIGHT('Main Project Raw Data'!E968,LEN('Main Project Raw Data'!E968)-FIND("-",'Main Project Raw Data'!E968))</f>
        <v>California</v>
      </c>
    </row>
    <row r="969" spans="1:17" x14ac:dyDescent="0.3">
      <c r="A969" s="3" t="str">
        <f>TRIM(Table1[[#This Row],[Employee_ID]])</f>
        <v>EMP1967</v>
      </c>
      <c r="B969" s="3" t="str">
        <f>TRIM(Table1[[#This Row],[First_Name]])</f>
        <v>David</v>
      </c>
      <c r="C969" s="3" t="str">
        <f>TRIM(Table1[[#This Row],[Last_Name]])</f>
        <v>Miller</v>
      </c>
      <c r="D969" s="3">
        <f>IF(Table1[[#This Row],[Age]]="",AVERAGE(Table1[Age]),Table1[[#This Row],[Age]])</f>
        <v>40</v>
      </c>
      <c r="E969" s="3" t="s">
        <v>230</v>
      </c>
      <c r="F969" s="3" t="s">
        <v>33</v>
      </c>
      <c r="G969" s="5">
        <f>IF(ISNUMBER('Main Project Raw Data'!G969),'Main Project Raw Data'!G969,IF(ISNUMBER(SEARCH("/",'Main Project Raw Data'!G969)),DATE(RIGHT('Main Project Raw Data'!G969,4),LEFT('Main Project Raw Data'!G969,FIND("/",'Main Project Raw Data'!G969)-1),MID('Main Project Raw Data'!G969,FIND("/",'Main Project Raw Data'!G969)+1,2)),DATE(RIGHT('Main Project Raw Data'!G969,4),MID('Main Project Raw Data'!G969,4,2),LEFT('Main Project Raw Data'!G969,2))))</f>
        <v>45397</v>
      </c>
      <c r="H969" s="3">
        <f>IF(Table1[[#This Row],[Salary]]="",AVERAGE(Table1[Salary]),Table1[[#This Row],[Salary]])</f>
        <v>99944.57</v>
      </c>
      <c r="I969" s="3" t="s">
        <v>107</v>
      </c>
      <c r="J969" s="3">
        <f>ABS(Table1[[#This Row],[Phone]])</f>
        <v>2175188780</v>
      </c>
      <c r="K969" s="3" t="str">
        <f>PROPER(TRIM(Table1[[#This Row],[Performance_Score]]))</f>
        <v>Poor</v>
      </c>
      <c r="L969" s="3" t="b">
        <f>Table1[[#This Row],[Remote_Work]]</f>
        <v>1</v>
      </c>
      <c r="M969" s="3" t="str">
        <f>PROPER(CONCATENATE(Table13[[#This Row],[First_Name]], Table13[[#This Row],[Last_Name]]))</f>
        <v>Davidmiller</v>
      </c>
      <c r="N969" s="3" t="str">
        <f t="shared" si="15"/>
        <v>Apr</v>
      </c>
      <c r="O969" s="3" t="str">
        <f>TEXT(Table13[[#This Row],[Join_Date]],"yyyy")</f>
        <v>2024</v>
      </c>
      <c r="P969" s="3" t="str">
        <f>LEFT('Main Project Raw Data'!E969,FIND("-",'Main Project Raw Data'!E969)-1)</f>
        <v>DevOps</v>
      </c>
      <c r="Q969" s="3" t="str">
        <f>RIGHT('Main Project Raw Data'!E969,LEN('Main Project Raw Data'!E969)-FIND("-",'Main Project Raw Data'!E969))</f>
        <v>Florida</v>
      </c>
    </row>
    <row r="970" spans="1:17" x14ac:dyDescent="0.3">
      <c r="A970" s="3" t="str">
        <f>TRIM(Table1[[#This Row],[Employee_ID]])</f>
        <v>EMP1968</v>
      </c>
      <c r="B970" s="3" t="str">
        <f>TRIM(Table1[[#This Row],[First_Name]])</f>
        <v>Eva</v>
      </c>
      <c r="C970" s="3" t="str">
        <f>TRIM(Table1[[#This Row],[Last_Name]])</f>
        <v>Miller</v>
      </c>
      <c r="D970" s="3">
        <f>IF(Table1[[#This Row],[Age]]="",AVERAGE(Table1[Age]),Table1[[#This Row],[Age]])</f>
        <v>40</v>
      </c>
      <c r="E970" s="3" t="s">
        <v>212</v>
      </c>
      <c r="F970" s="3" t="s">
        <v>28</v>
      </c>
      <c r="G970" s="5">
        <f>IF(ISNUMBER('Main Project Raw Data'!G970),'Main Project Raw Data'!G970,IF(ISNUMBER(SEARCH("/",'Main Project Raw Data'!G970)),DATE(RIGHT('Main Project Raw Data'!G970,4),LEFT('Main Project Raw Data'!G970,FIND("/",'Main Project Raw Data'!G970)-1),MID('Main Project Raw Data'!G970,FIND("/",'Main Project Raw Data'!G970)+1,2)),DATE(RIGHT('Main Project Raw Data'!G970,4),MID('Main Project Raw Data'!G970,4,2),LEFT('Main Project Raw Data'!G970,2))))</f>
        <v>45066</v>
      </c>
      <c r="H970" s="3">
        <f>IF(Table1[[#This Row],[Salary]]="",AVERAGE(Table1[Salary]),Table1[[#This Row],[Salary]])</f>
        <v>116509.72</v>
      </c>
      <c r="I970" s="3" t="s">
        <v>263</v>
      </c>
      <c r="J970" s="3">
        <f>ABS(Table1[[#This Row],[Phone]])</f>
        <v>7941515262</v>
      </c>
      <c r="K970" s="3" t="str">
        <f>PROPER(TRIM(Table1[[#This Row],[Performance_Score]]))</f>
        <v>Average</v>
      </c>
      <c r="L970" s="3" t="b">
        <f>Table1[[#This Row],[Remote_Work]]</f>
        <v>0</v>
      </c>
      <c r="M970" s="3" t="str">
        <f>PROPER(CONCATENATE(Table13[[#This Row],[First_Name]], Table13[[#This Row],[Last_Name]]))</f>
        <v>Evamiller</v>
      </c>
      <c r="N970" s="3" t="str">
        <f t="shared" si="15"/>
        <v>May</v>
      </c>
      <c r="O970" s="3" t="str">
        <f>TEXT(Table13[[#This Row],[Join_Date]],"yyyy")</f>
        <v>2023</v>
      </c>
      <c r="P970" s="3" t="str">
        <f>LEFT('Main Project Raw Data'!E970,FIND("-",'Main Project Raw Data'!E970)-1)</f>
        <v>HR</v>
      </c>
      <c r="Q970" s="3" t="str">
        <f>RIGHT('Main Project Raw Data'!E970,LEN('Main Project Raw Data'!E970)-FIND("-",'Main Project Raw Data'!E970))</f>
        <v>Florida</v>
      </c>
    </row>
    <row r="971" spans="1:17" x14ac:dyDescent="0.3">
      <c r="A971" s="3" t="str">
        <f>TRIM(Table1[[#This Row],[Employee_ID]])</f>
        <v>EMP1969</v>
      </c>
      <c r="B971" s="3" t="str">
        <f>TRIM(Table1[[#This Row],[First_Name]])</f>
        <v>Eva</v>
      </c>
      <c r="C971" s="3" t="str">
        <f>TRIM(Table1[[#This Row],[Last_Name]])</f>
        <v>Williams</v>
      </c>
      <c r="D971" s="3">
        <f>IF(Table1[[#This Row],[Age]]="",AVERAGE(Table1[Age]),Table1[[#This Row],[Age]])</f>
        <v>30</v>
      </c>
      <c r="E971" s="3" t="s">
        <v>21</v>
      </c>
      <c r="F971" s="3" t="s">
        <v>16</v>
      </c>
      <c r="G971" s="5">
        <f>IF(ISNUMBER('Main Project Raw Data'!G971),'Main Project Raw Data'!G971,IF(ISNUMBER(SEARCH("/",'Main Project Raw Data'!G971)),DATE(RIGHT('Main Project Raw Data'!G971,4),LEFT('Main Project Raw Data'!G971,FIND("/",'Main Project Raw Data'!G971)-1),MID('Main Project Raw Data'!G971,FIND("/",'Main Project Raw Data'!G971)+1,2)),DATE(RIGHT('Main Project Raw Data'!G971,4),MID('Main Project Raw Data'!G971,4,2),LEFT('Main Project Raw Data'!G971,2))))</f>
        <v>44344</v>
      </c>
      <c r="H971" s="3">
        <f>IF(Table1[[#This Row],[Salary]]="",AVERAGE(Table1[Salary]),Table1[[#This Row],[Salary]])</f>
        <v>84253.9</v>
      </c>
      <c r="I971" s="3" t="s">
        <v>141</v>
      </c>
      <c r="J971" s="3">
        <f>ABS(Table1[[#This Row],[Phone]])</f>
        <v>8409112251</v>
      </c>
      <c r="K971" s="3" t="str">
        <f>PROPER(TRIM(Table1[[#This Row],[Performance_Score]]))</f>
        <v>Excellent</v>
      </c>
      <c r="L971" s="3" t="b">
        <f>Table1[[#This Row],[Remote_Work]]</f>
        <v>1</v>
      </c>
      <c r="M971" s="3" t="str">
        <f>PROPER(CONCATENATE(Table13[[#This Row],[First_Name]], Table13[[#This Row],[Last_Name]]))</f>
        <v>Evawilliams</v>
      </c>
      <c r="N971" s="3" t="str">
        <f t="shared" si="15"/>
        <v>May</v>
      </c>
      <c r="O971" s="3" t="str">
        <f>TEXT(Table13[[#This Row],[Join_Date]],"yyyy")</f>
        <v>2021</v>
      </c>
      <c r="P971" s="3" t="str">
        <f>LEFT('Main Project Raw Data'!E971,FIND("-",'Main Project Raw Data'!E971)-1)</f>
        <v>Finance</v>
      </c>
      <c r="Q971" s="3" t="str">
        <f>RIGHT('Main Project Raw Data'!E971,LEN('Main Project Raw Data'!E971)-FIND("-",'Main Project Raw Data'!E971))</f>
        <v>Texas</v>
      </c>
    </row>
    <row r="972" spans="1:17" x14ac:dyDescent="0.3">
      <c r="A972" s="3" t="str">
        <f>TRIM(Table1[[#This Row],[Employee_ID]])</f>
        <v>EMP1970</v>
      </c>
      <c r="B972" s="3" t="str">
        <f>TRIM(Table1[[#This Row],[First_Name]])</f>
        <v>Charlie</v>
      </c>
      <c r="C972" s="3" t="str">
        <f>TRIM(Table1[[#This Row],[Last_Name]])</f>
        <v>Garcia</v>
      </c>
      <c r="D972" s="3">
        <f>IF(Table1[[#This Row],[Age]]="",AVERAGE(Table1[Age]),Table1[[#This Row],[Age]])</f>
        <v>25</v>
      </c>
      <c r="E972" s="3" t="s">
        <v>85</v>
      </c>
      <c r="F972" s="3" t="s">
        <v>16</v>
      </c>
      <c r="G972" s="5">
        <f>IF(ISNUMBER('Main Project Raw Data'!G972),'Main Project Raw Data'!G972,IF(ISNUMBER(SEARCH("/",'Main Project Raw Data'!G972)),DATE(RIGHT('Main Project Raw Data'!G972,4),LEFT('Main Project Raw Data'!G972,FIND("/",'Main Project Raw Data'!G972)-1),MID('Main Project Raw Data'!G972,FIND("/",'Main Project Raw Data'!G972)+1,2)),DATE(RIGHT('Main Project Raw Data'!G972,4),MID('Main Project Raw Data'!G972,4,2),LEFT('Main Project Raw Data'!G972,2))))</f>
        <v>45531</v>
      </c>
      <c r="H972" s="3">
        <f>IF(Table1[[#This Row],[Salary]]="",AVERAGE(Table1[Salary]),Table1[[#This Row],[Salary]])</f>
        <v>54776.01</v>
      </c>
      <c r="I972" s="3" t="s">
        <v>87</v>
      </c>
      <c r="J972" s="3">
        <f>ABS(Table1[[#This Row],[Phone]])</f>
        <v>8837505660</v>
      </c>
      <c r="K972" s="3" t="str">
        <f>PROPER(TRIM(Table1[[#This Row],[Performance_Score]]))</f>
        <v>Poor</v>
      </c>
      <c r="L972" s="3" t="b">
        <f>Table1[[#This Row],[Remote_Work]]</f>
        <v>0</v>
      </c>
      <c r="M972" s="3" t="str">
        <f>PROPER(CONCATENATE(Table13[[#This Row],[First_Name]], Table13[[#This Row],[Last_Name]]))</f>
        <v>Charliegarcia</v>
      </c>
      <c r="N972" s="3" t="str">
        <f t="shared" si="15"/>
        <v>Aug</v>
      </c>
      <c r="O972" s="3" t="str">
        <f>TEXT(Table13[[#This Row],[Join_Date]],"yyyy")</f>
        <v>2024</v>
      </c>
      <c r="P972" s="3" t="str">
        <f>LEFT('Main Project Raw Data'!E972,FIND("-",'Main Project Raw Data'!E972)-1)</f>
        <v>Cloud Tech</v>
      </c>
      <c r="Q972" s="3" t="str">
        <f>RIGHT('Main Project Raw Data'!E972,LEN('Main Project Raw Data'!E972)-FIND("-",'Main Project Raw Data'!E972))</f>
        <v>Nevada</v>
      </c>
    </row>
    <row r="973" spans="1:17" x14ac:dyDescent="0.3">
      <c r="A973" s="3" t="str">
        <f>TRIM(Table1[[#This Row],[Employee_ID]])</f>
        <v>EMP1971</v>
      </c>
      <c r="B973" s="3" t="str">
        <f>TRIM(Table1[[#This Row],[First_Name]])</f>
        <v>Charlie</v>
      </c>
      <c r="C973" s="3" t="str">
        <f>TRIM(Table1[[#This Row],[Last_Name]])</f>
        <v>Davis</v>
      </c>
      <c r="D973" s="3">
        <f>IF(Table1[[#This Row],[Age]]="",AVERAGE(Table1[Age]),Table1[[#This Row],[Age]])</f>
        <v>40</v>
      </c>
      <c r="E973" s="3" t="s">
        <v>219</v>
      </c>
      <c r="F973" s="3" t="s">
        <v>33</v>
      </c>
      <c r="G973" s="5">
        <f>IF(ISNUMBER('Main Project Raw Data'!G973),'Main Project Raw Data'!G973,IF(ISNUMBER(SEARCH("/",'Main Project Raw Data'!G973)),DATE(RIGHT('Main Project Raw Data'!G973,4),LEFT('Main Project Raw Data'!G973,FIND("/",'Main Project Raw Data'!G973)-1),MID('Main Project Raw Data'!G973,FIND("/",'Main Project Raw Data'!G973)+1,2)),DATE(RIGHT('Main Project Raw Data'!G973,4),MID('Main Project Raw Data'!G973,4,2),LEFT('Main Project Raw Data'!G973,2))))</f>
        <v>44054</v>
      </c>
      <c r="H973" s="3">
        <f>IF(Table1[[#This Row],[Salary]]="",AVERAGE(Table1[Salary]),Table1[[#This Row],[Salary]])</f>
        <v>71192.679999999993</v>
      </c>
      <c r="I973" s="3" t="s">
        <v>170</v>
      </c>
      <c r="J973" s="3">
        <f>ABS(Table1[[#This Row],[Phone]])</f>
        <v>8632397912</v>
      </c>
      <c r="K973" s="3" t="str">
        <f>PROPER(TRIM(Table1[[#This Row],[Performance_Score]]))</f>
        <v>Average</v>
      </c>
      <c r="L973" s="3" t="b">
        <f>Table1[[#This Row],[Remote_Work]]</f>
        <v>0</v>
      </c>
      <c r="M973" s="3" t="str">
        <f>PROPER(CONCATENATE(Table13[[#This Row],[First_Name]], Table13[[#This Row],[Last_Name]]))</f>
        <v>Charliedavis</v>
      </c>
      <c r="N973" s="3" t="str">
        <f t="shared" si="15"/>
        <v>Aug</v>
      </c>
      <c r="O973" s="3" t="str">
        <f>TEXT(Table13[[#This Row],[Join_Date]],"yyyy")</f>
        <v>2020</v>
      </c>
      <c r="P973" s="3" t="str">
        <f>LEFT('Main Project Raw Data'!E973,FIND("-",'Main Project Raw Data'!E973)-1)</f>
        <v>Sales</v>
      </c>
      <c r="Q973" s="3" t="str">
        <f>RIGHT('Main Project Raw Data'!E973,LEN('Main Project Raw Data'!E973)-FIND("-",'Main Project Raw Data'!E973))</f>
        <v>Nevada</v>
      </c>
    </row>
    <row r="974" spans="1:17" x14ac:dyDescent="0.3">
      <c r="A974" s="3" t="str">
        <f>TRIM(Table1[[#This Row],[Employee_ID]])</f>
        <v>EMP1972</v>
      </c>
      <c r="B974" s="3" t="str">
        <f>TRIM(Table1[[#This Row],[First_Name]])</f>
        <v>Bob</v>
      </c>
      <c r="C974" s="3" t="str">
        <f>TRIM(Table1[[#This Row],[Last_Name]])</f>
        <v>Smith</v>
      </c>
      <c r="D974" s="3">
        <f>IF(Table1[[#This Row],[Age]]="",AVERAGE(Table1[Age]),Table1[[#This Row],[Age]])</f>
        <v>32.484548825710753</v>
      </c>
      <c r="E974" s="3" t="s">
        <v>112</v>
      </c>
      <c r="F974" s="3" t="s">
        <v>16</v>
      </c>
      <c r="G974" s="5">
        <f>IF(ISNUMBER('Main Project Raw Data'!G974),'Main Project Raw Data'!G974,IF(ISNUMBER(SEARCH("/",'Main Project Raw Data'!G974)),DATE(RIGHT('Main Project Raw Data'!G974,4),LEFT('Main Project Raw Data'!G974,FIND("/",'Main Project Raw Data'!G974)-1),MID('Main Project Raw Data'!G974,FIND("/",'Main Project Raw Data'!G974)+1,2)),DATE(RIGHT('Main Project Raw Data'!G974,4),MID('Main Project Raw Data'!G974,4,2),LEFT('Main Project Raw Data'!G974,2))))</f>
        <v>44432</v>
      </c>
      <c r="H974" s="3">
        <f>IF(Table1[[#This Row],[Salary]]="",AVERAGE(Table1[Salary]),Table1[[#This Row],[Salary]])</f>
        <v>96346.53</v>
      </c>
      <c r="I974" s="3" t="s">
        <v>123</v>
      </c>
      <c r="J974" s="3">
        <f>ABS(Table1[[#This Row],[Phone]])</f>
        <v>7876553006</v>
      </c>
      <c r="K974" s="3" t="str">
        <f>PROPER(TRIM(Table1[[#This Row],[Performance_Score]]))</f>
        <v>Average</v>
      </c>
      <c r="L974" s="3" t="b">
        <f>Table1[[#This Row],[Remote_Work]]</f>
        <v>1</v>
      </c>
      <c r="M974" s="3" t="str">
        <f>PROPER(CONCATENATE(Table13[[#This Row],[First_Name]], Table13[[#This Row],[Last_Name]]))</f>
        <v>Bobsmith</v>
      </c>
      <c r="N974" s="3" t="str">
        <f t="shared" si="15"/>
        <v>Aug</v>
      </c>
      <c r="O974" s="3" t="str">
        <f>TEXT(Table13[[#This Row],[Join_Date]],"yyyy")</f>
        <v>2021</v>
      </c>
      <c r="P974" s="3" t="str">
        <f>LEFT('Main Project Raw Data'!E974,FIND("-",'Main Project Raw Data'!E974)-1)</f>
        <v>Finance</v>
      </c>
      <c r="Q974" s="3" t="str">
        <f>RIGHT('Main Project Raw Data'!E974,LEN('Main Project Raw Data'!E974)-FIND("-",'Main Project Raw Data'!E974))</f>
        <v>Florida</v>
      </c>
    </row>
    <row r="975" spans="1:17" x14ac:dyDescent="0.3">
      <c r="A975" s="3" t="str">
        <f>TRIM(Table1[[#This Row],[Employee_ID]])</f>
        <v>EMP1973</v>
      </c>
      <c r="B975" s="3" t="str">
        <f>TRIM(Table1[[#This Row],[First_Name]])</f>
        <v>Eva</v>
      </c>
      <c r="C975" s="3" t="str">
        <f>TRIM(Table1[[#This Row],[Last_Name]])</f>
        <v>Williams</v>
      </c>
      <c r="D975" s="3">
        <f>IF(Table1[[#This Row],[Age]]="",AVERAGE(Table1[Age]),Table1[[#This Row],[Age]])</f>
        <v>32.484548825710753</v>
      </c>
      <c r="E975" s="3" t="s">
        <v>192</v>
      </c>
      <c r="F975" s="3" t="s">
        <v>28</v>
      </c>
      <c r="G975" s="5">
        <f>IF(ISNUMBER('Main Project Raw Data'!G975),'Main Project Raw Data'!G975,IF(ISNUMBER(SEARCH("/",'Main Project Raw Data'!G975)),DATE(RIGHT('Main Project Raw Data'!G975,4),LEFT('Main Project Raw Data'!G975,FIND("/",'Main Project Raw Data'!G975)-1),MID('Main Project Raw Data'!G975,FIND("/",'Main Project Raw Data'!G975)+1,2)),DATE(RIGHT('Main Project Raw Data'!G975,4),MID('Main Project Raw Data'!G975,4,2),LEFT('Main Project Raw Data'!G975,2))))</f>
        <v>43984</v>
      </c>
      <c r="H975" s="3">
        <f>IF(Table1[[#This Row],[Salary]]="",AVERAGE(Table1[Salary]),Table1[[#This Row],[Salary]])</f>
        <v>116680.63</v>
      </c>
      <c r="I975" s="3" t="s">
        <v>141</v>
      </c>
      <c r="J975" s="3">
        <f>ABS(Table1[[#This Row],[Phone]])</f>
        <v>3095055604</v>
      </c>
      <c r="K975" s="3" t="str">
        <f>PROPER(TRIM(Table1[[#This Row],[Performance_Score]]))</f>
        <v>Excellent</v>
      </c>
      <c r="L975" s="3" t="b">
        <f>Table1[[#This Row],[Remote_Work]]</f>
        <v>1</v>
      </c>
      <c r="M975" s="3" t="str">
        <f>PROPER(CONCATENATE(Table13[[#This Row],[First_Name]], Table13[[#This Row],[Last_Name]]))</f>
        <v>Evawilliams</v>
      </c>
      <c r="N975" s="3" t="str">
        <f t="shared" si="15"/>
        <v>Jun</v>
      </c>
      <c r="O975" s="3" t="str">
        <f>TEXT(Table13[[#This Row],[Join_Date]],"yyyy")</f>
        <v>2020</v>
      </c>
      <c r="P975" s="3" t="str">
        <f>LEFT('Main Project Raw Data'!E975,FIND("-",'Main Project Raw Data'!E975)-1)</f>
        <v>HR</v>
      </c>
      <c r="Q975" s="3" t="str">
        <f>RIGHT('Main Project Raw Data'!E975,LEN('Main Project Raw Data'!E975)-FIND("-",'Main Project Raw Data'!E975))</f>
        <v>Illinois</v>
      </c>
    </row>
    <row r="976" spans="1:17" x14ac:dyDescent="0.3">
      <c r="A976" s="3" t="str">
        <f>TRIM(Table1[[#This Row],[Employee_ID]])</f>
        <v>EMP1974</v>
      </c>
      <c r="B976" s="3" t="str">
        <f>TRIM(Table1[[#This Row],[First_Name]])</f>
        <v>Grace</v>
      </c>
      <c r="C976" s="3" t="str">
        <f>TRIM(Table1[[#This Row],[Last_Name]])</f>
        <v>Brown</v>
      </c>
      <c r="D976" s="3">
        <f>IF(Table1[[#This Row],[Age]]="",AVERAGE(Table1[Age]),Table1[[#This Row],[Age]])</f>
        <v>25</v>
      </c>
      <c r="E976" s="3" t="s">
        <v>112</v>
      </c>
      <c r="F976" s="3" t="s">
        <v>33</v>
      </c>
      <c r="G976" s="5">
        <f>IF(ISNUMBER('Main Project Raw Data'!G976),'Main Project Raw Data'!G976,IF(ISNUMBER(SEARCH("/",'Main Project Raw Data'!G976)),DATE(RIGHT('Main Project Raw Data'!G976,4),LEFT('Main Project Raw Data'!G976,FIND("/",'Main Project Raw Data'!G976)-1),MID('Main Project Raw Data'!G976,FIND("/",'Main Project Raw Data'!G976)+1,2)),DATE(RIGHT('Main Project Raw Data'!G976,4),MID('Main Project Raw Data'!G976,4,2),LEFT('Main Project Raw Data'!G976,2))))</f>
        <v>45636</v>
      </c>
      <c r="H976" s="3">
        <f>IF(Table1[[#This Row],[Salary]]="",AVERAGE(Table1[Salary]),Table1[[#This Row],[Salary]])</f>
        <v>76343.56</v>
      </c>
      <c r="I976" s="3" t="s">
        <v>201</v>
      </c>
      <c r="J976" s="3">
        <f>ABS(Table1[[#This Row],[Phone]])</f>
        <v>7121988191</v>
      </c>
      <c r="K976" s="3" t="str">
        <f>PROPER(TRIM(Table1[[#This Row],[Performance_Score]]))</f>
        <v>Excellent</v>
      </c>
      <c r="L976" s="3" t="b">
        <f>Table1[[#This Row],[Remote_Work]]</f>
        <v>0</v>
      </c>
      <c r="M976" s="3" t="str">
        <f>PROPER(CONCATENATE(Table13[[#This Row],[First_Name]], Table13[[#This Row],[Last_Name]]))</f>
        <v>Gracebrown</v>
      </c>
      <c r="N976" s="3" t="str">
        <f t="shared" si="15"/>
        <v>Dec</v>
      </c>
      <c r="O976" s="3" t="str">
        <f>TEXT(Table13[[#This Row],[Join_Date]],"yyyy")</f>
        <v>2024</v>
      </c>
      <c r="P976" s="3" t="str">
        <f>LEFT('Main Project Raw Data'!E976,FIND("-",'Main Project Raw Data'!E976)-1)</f>
        <v>Finance</v>
      </c>
      <c r="Q976" s="3" t="str">
        <f>RIGHT('Main Project Raw Data'!E976,LEN('Main Project Raw Data'!E976)-FIND("-",'Main Project Raw Data'!E976))</f>
        <v>Florida</v>
      </c>
    </row>
    <row r="977" spans="1:17" x14ac:dyDescent="0.3">
      <c r="A977" s="3" t="str">
        <f>TRIM(Table1[[#This Row],[Employee_ID]])</f>
        <v>EMP1975</v>
      </c>
      <c r="B977" s="3" t="str">
        <f>TRIM(Table1[[#This Row],[First_Name]])</f>
        <v>Alice</v>
      </c>
      <c r="C977" s="3" t="str">
        <f>TRIM(Table1[[#This Row],[Last_Name]])</f>
        <v>Johnson</v>
      </c>
      <c r="D977" s="3">
        <f>IF(Table1[[#This Row],[Age]]="",AVERAGE(Table1[Age]),Table1[[#This Row],[Age]])</f>
        <v>30</v>
      </c>
      <c r="E977" s="3" t="s">
        <v>219</v>
      </c>
      <c r="F977" s="3" t="s">
        <v>33</v>
      </c>
      <c r="G977" s="5">
        <f>IF(ISNUMBER('Main Project Raw Data'!G977),'Main Project Raw Data'!G977,IF(ISNUMBER(SEARCH("/",'Main Project Raw Data'!G977)),DATE(RIGHT('Main Project Raw Data'!G977,4),LEFT('Main Project Raw Data'!G977,FIND("/",'Main Project Raw Data'!G977)-1),MID('Main Project Raw Data'!G977,FIND("/",'Main Project Raw Data'!G977)+1,2)),DATE(RIGHT('Main Project Raw Data'!G977,4),MID('Main Project Raw Data'!G977,4,2),LEFT('Main Project Raw Data'!G977,2))))</f>
        <v>45642</v>
      </c>
      <c r="H977" s="3">
        <f>IF(Table1[[#This Row],[Salary]]="",AVERAGE(Table1[Salary]),Table1[[#This Row],[Salary]])</f>
        <v>99424.14</v>
      </c>
      <c r="I977" s="3" t="s">
        <v>150</v>
      </c>
      <c r="J977" s="3">
        <f>ABS(Table1[[#This Row],[Phone]])</f>
        <v>7788519052</v>
      </c>
      <c r="K977" s="3" t="str">
        <f>PROPER(TRIM(Table1[[#This Row],[Performance_Score]]))</f>
        <v>Excellent</v>
      </c>
      <c r="L977" s="3" t="b">
        <f>Table1[[#This Row],[Remote_Work]]</f>
        <v>0</v>
      </c>
      <c r="M977" s="3" t="str">
        <f>PROPER(CONCATENATE(Table13[[#This Row],[First_Name]], Table13[[#This Row],[Last_Name]]))</f>
        <v>Alicejohnson</v>
      </c>
      <c r="N977" s="3" t="str">
        <f t="shared" si="15"/>
        <v>Dec</v>
      </c>
      <c r="O977" s="3" t="str">
        <f>TEXT(Table13[[#This Row],[Join_Date]],"yyyy")</f>
        <v>2024</v>
      </c>
      <c r="P977" s="3" t="str">
        <f>LEFT('Main Project Raw Data'!E977,FIND("-",'Main Project Raw Data'!E977)-1)</f>
        <v>Sales</v>
      </c>
      <c r="Q977" s="3" t="str">
        <f>RIGHT('Main Project Raw Data'!E977,LEN('Main Project Raw Data'!E977)-FIND("-",'Main Project Raw Data'!E977))</f>
        <v>Nevada</v>
      </c>
    </row>
    <row r="978" spans="1:17" x14ac:dyDescent="0.3">
      <c r="A978" s="3" t="str">
        <f>TRIM(Table1[[#This Row],[Employee_ID]])</f>
        <v>EMP1976</v>
      </c>
      <c r="B978" s="3" t="str">
        <f>TRIM(Table1[[#This Row],[First_Name]])</f>
        <v>Charlie</v>
      </c>
      <c r="C978" s="3" t="str">
        <f>TRIM(Table1[[#This Row],[Last_Name]])</f>
        <v>Garcia</v>
      </c>
      <c r="D978" s="3">
        <f>IF(Table1[[#This Row],[Age]]="",AVERAGE(Table1[Age]),Table1[[#This Row],[Age]])</f>
        <v>35</v>
      </c>
      <c r="E978" s="3" t="s">
        <v>230</v>
      </c>
      <c r="F978" s="3" t="s">
        <v>33</v>
      </c>
      <c r="G978" s="5">
        <f>IF(ISNUMBER('Main Project Raw Data'!G978),'Main Project Raw Data'!G978,IF(ISNUMBER(SEARCH("/",'Main Project Raw Data'!G978)),DATE(RIGHT('Main Project Raw Data'!G978,4),LEFT('Main Project Raw Data'!G978,FIND("/",'Main Project Raw Data'!G978)-1),MID('Main Project Raw Data'!G978,FIND("/",'Main Project Raw Data'!G978)+1,2)),DATE(RIGHT('Main Project Raw Data'!G978,4),MID('Main Project Raw Data'!G978,4,2),LEFT('Main Project Raw Data'!G978,2))))</f>
        <v>45395</v>
      </c>
      <c r="H978" s="3">
        <f>IF(Table1[[#This Row],[Salary]]="",AVERAGE(Table1[Salary]),Table1[[#This Row],[Salary]])</f>
        <v>57656.74</v>
      </c>
      <c r="I978" s="3" t="s">
        <v>87</v>
      </c>
      <c r="J978" s="3">
        <f>ABS(Table1[[#This Row],[Phone]])</f>
        <v>4864010423</v>
      </c>
      <c r="K978" s="3" t="str">
        <f>PROPER(TRIM(Table1[[#This Row],[Performance_Score]]))</f>
        <v>Good</v>
      </c>
      <c r="L978" s="3" t="b">
        <f>Table1[[#This Row],[Remote_Work]]</f>
        <v>1</v>
      </c>
      <c r="M978" s="3" t="str">
        <f>PROPER(CONCATENATE(Table13[[#This Row],[First_Name]], Table13[[#This Row],[Last_Name]]))</f>
        <v>Charliegarcia</v>
      </c>
      <c r="N978" s="3" t="str">
        <f t="shared" si="15"/>
        <v>Apr</v>
      </c>
      <c r="O978" s="3" t="str">
        <f>TEXT(Table13[[#This Row],[Join_Date]],"yyyy")</f>
        <v>2024</v>
      </c>
      <c r="P978" s="3" t="str">
        <f>LEFT('Main Project Raw Data'!E978,FIND("-",'Main Project Raw Data'!E978)-1)</f>
        <v>DevOps</v>
      </c>
      <c r="Q978" s="3" t="str">
        <f>RIGHT('Main Project Raw Data'!E978,LEN('Main Project Raw Data'!E978)-FIND("-",'Main Project Raw Data'!E978))</f>
        <v>Florida</v>
      </c>
    </row>
    <row r="979" spans="1:17" x14ac:dyDescent="0.3">
      <c r="A979" s="3" t="str">
        <f>TRIM(Table1[[#This Row],[Employee_ID]])</f>
        <v>EMP1977</v>
      </c>
      <c r="B979" s="3" t="str">
        <f>TRIM(Table1[[#This Row],[First_Name]])</f>
        <v>Heidi</v>
      </c>
      <c r="C979" s="3" t="str">
        <f>TRIM(Table1[[#This Row],[Last_Name]])</f>
        <v>Garcia</v>
      </c>
      <c r="D979" s="3">
        <f>IF(Table1[[#This Row],[Age]]="",AVERAGE(Table1[Age]),Table1[[#This Row],[Age]])</f>
        <v>40</v>
      </c>
      <c r="E979" s="3" t="s">
        <v>109</v>
      </c>
      <c r="F979" s="3" t="s">
        <v>28</v>
      </c>
      <c r="G979" s="5">
        <f>IF(ISNUMBER('Main Project Raw Data'!G979),'Main Project Raw Data'!G979,IF(ISNUMBER(SEARCH("/",'Main Project Raw Data'!G979)),DATE(RIGHT('Main Project Raw Data'!G979,4),LEFT('Main Project Raw Data'!G979,FIND("/",'Main Project Raw Data'!G979)-1),MID('Main Project Raw Data'!G979,FIND("/",'Main Project Raw Data'!G979)+1,2)),DATE(RIGHT('Main Project Raw Data'!G979,4),MID('Main Project Raw Data'!G979,4,2),LEFT('Main Project Raw Data'!G979,2))))</f>
        <v>43945</v>
      </c>
      <c r="H979" s="3">
        <f>IF(Table1[[#This Row],[Salary]]="",AVERAGE(Table1[Salary]),Table1[[#This Row],[Salary]])</f>
        <v>77396.94</v>
      </c>
      <c r="I979" s="3" t="s">
        <v>257</v>
      </c>
      <c r="J979" s="3">
        <f>ABS(Table1[[#This Row],[Phone]])</f>
        <v>6245618516</v>
      </c>
      <c r="K979" s="3" t="str">
        <f>PROPER(TRIM(Table1[[#This Row],[Performance_Score]]))</f>
        <v>Excellent</v>
      </c>
      <c r="L979" s="3" t="b">
        <f>Table1[[#This Row],[Remote_Work]]</f>
        <v>1</v>
      </c>
      <c r="M979" s="3" t="str">
        <f>PROPER(CONCATENATE(Table13[[#This Row],[First_Name]], Table13[[#This Row],[Last_Name]]))</f>
        <v>Heidigarcia</v>
      </c>
      <c r="N979" s="3" t="str">
        <f t="shared" si="15"/>
        <v>Apr</v>
      </c>
      <c r="O979" s="3" t="str">
        <f>TEXT(Table13[[#This Row],[Join_Date]],"yyyy")</f>
        <v>2020</v>
      </c>
      <c r="P979" s="3" t="str">
        <f>LEFT('Main Project Raw Data'!E979,FIND("-",'Main Project Raw Data'!E979)-1)</f>
        <v>Sales</v>
      </c>
      <c r="Q979" s="3" t="str">
        <f>RIGHT('Main Project Raw Data'!E979,LEN('Main Project Raw Data'!E979)-FIND("-",'Main Project Raw Data'!E979))</f>
        <v>New York</v>
      </c>
    </row>
    <row r="980" spans="1:17" x14ac:dyDescent="0.3">
      <c r="A980" s="3" t="str">
        <f>TRIM(Table1[[#This Row],[Employee_ID]])</f>
        <v>EMP1978</v>
      </c>
      <c r="B980" s="3" t="str">
        <f>TRIM(Table1[[#This Row],[First_Name]])</f>
        <v>Grace</v>
      </c>
      <c r="C980" s="3" t="str">
        <f>TRIM(Table1[[#This Row],[Last_Name]])</f>
        <v>Garcia</v>
      </c>
      <c r="D980" s="3">
        <f>IF(Table1[[#This Row],[Age]]="",AVERAGE(Table1[Age]),Table1[[#This Row],[Age]])</f>
        <v>32.484548825710753</v>
      </c>
      <c r="E980" s="3" t="s">
        <v>15</v>
      </c>
      <c r="F980" s="3" t="s">
        <v>33</v>
      </c>
      <c r="G980" s="5">
        <f>IF(ISNUMBER('Main Project Raw Data'!G980),'Main Project Raw Data'!G980,IF(ISNUMBER(SEARCH("/",'Main Project Raw Data'!G980)),DATE(RIGHT('Main Project Raw Data'!G980,4),LEFT('Main Project Raw Data'!G980,FIND("/",'Main Project Raw Data'!G980)-1),MID('Main Project Raw Data'!G980,FIND("/",'Main Project Raw Data'!G980)+1,2)),DATE(RIGHT('Main Project Raw Data'!G980,4),MID('Main Project Raw Data'!G980,4,2),LEFT('Main Project Raw Data'!G980,2))))</f>
        <v>44487</v>
      </c>
      <c r="H980" s="3">
        <f>IF(Table1[[#This Row],[Salary]]="",AVERAGE(Table1[Salary]),Table1[[#This Row],[Salary]])</f>
        <v>54299.68</v>
      </c>
      <c r="I980" s="3" t="s">
        <v>83</v>
      </c>
      <c r="J980" s="3">
        <f>ABS(Table1[[#This Row],[Phone]])</f>
        <v>4460045211</v>
      </c>
      <c r="K980" s="3" t="str">
        <f>PROPER(TRIM(Table1[[#This Row],[Performance_Score]]))</f>
        <v>Average</v>
      </c>
      <c r="L980" s="3" t="b">
        <f>Table1[[#This Row],[Remote_Work]]</f>
        <v>0</v>
      </c>
      <c r="M980" s="3" t="str">
        <f>PROPER(CONCATENATE(Table13[[#This Row],[First_Name]], Table13[[#This Row],[Last_Name]]))</f>
        <v>Gracegarcia</v>
      </c>
      <c r="N980" s="3" t="str">
        <f t="shared" si="15"/>
        <v>Oct</v>
      </c>
      <c r="O980" s="3" t="str">
        <f>TEXT(Table13[[#This Row],[Join_Date]],"yyyy")</f>
        <v>2021</v>
      </c>
      <c r="P980" s="3" t="str">
        <f>LEFT('Main Project Raw Data'!E980,FIND("-",'Main Project Raw Data'!E980)-1)</f>
        <v>DevOps</v>
      </c>
      <c r="Q980" s="3" t="str">
        <f>RIGHT('Main Project Raw Data'!E980,LEN('Main Project Raw Data'!E980)-FIND("-",'Main Project Raw Data'!E980))</f>
        <v>California</v>
      </c>
    </row>
    <row r="981" spans="1:17" x14ac:dyDescent="0.3">
      <c r="A981" s="3" t="str">
        <f>TRIM(Table1[[#This Row],[Employee_ID]])</f>
        <v>EMP1979</v>
      </c>
      <c r="B981" s="3" t="str">
        <f>TRIM(Table1[[#This Row],[First_Name]])</f>
        <v>Charlie</v>
      </c>
      <c r="C981" s="3" t="str">
        <f>TRIM(Table1[[#This Row],[Last_Name]])</f>
        <v>Miller</v>
      </c>
      <c r="D981" s="3">
        <f>IF(Table1[[#This Row],[Age]]="",AVERAGE(Table1[Age]),Table1[[#This Row],[Age]])</f>
        <v>35</v>
      </c>
      <c r="E981" s="3" t="s">
        <v>149</v>
      </c>
      <c r="F981" s="3" t="s">
        <v>28</v>
      </c>
      <c r="G981" s="5">
        <f>IF(ISNUMBER('Main Project Raw Data'!G981),'Main Project Raw Data'!G981,IF(ISNUMBER(SEARCH("/",'Main Project Raw Data'!G981)),DATE(RIGHT('Main Project Raw Data'!G981,4),LEFT('Main Project Raw Data'!G981,FIND("/",'Main Project Raw Data'!G981)-1),MID('Main Project Raw Data'!G981,FIND("/",'Main Project Raw Data'!G981)+1,2)),DATE(RIGHT('Main Project Raw Data'!G981,4),MID('Main Project Raw Data'!G981,4,2),LEFT('Main Project Raw Data'!G981,2))))</f>
        <v>43886</v>
      </c>
      <c r="H981" s="3">
        <f>IF(Table1[[#This Row],[Salary]]="",AVERAGE(Table1[Salary]),Table1[[#This Row],[Salary]])</f>
        <v>103563.58</v>
      </c>
      <c r="I981" s="3" t="s">
        <v>501</v>
      </c>
      <c r="J981" s="3">
        <f>ABS(Table1[[#This Row],[Phone]])</f>
        <v>8991511454</v>
      </c>
      <c r="K981" s="3" t="str">
        <f>PROPER(TRIM(Table1[[#This Row],[Performance_Score]]))</f>
        <v>Excellent</v>
      </c>
      <c r="L981" s="3" t="b">
        <f>Table1[[#This Row],[Remote_Work]]</f>
        <v>1</v>
      </c>
      <c r="M981" s="3" t="str">
        <f>PROPER(CONCATENATE(Table13[[#This Row],[First_Name]], Table13[[#This Row],[Last_Name]]))</f>
        <v>Charliemiller</v>
      </c>
      <c r="N981" s="3" t="str">
        <f t="shared" si="15"/>
        <v>Feb</v>
      </c>
      <c r="O981" s="3" t="str">
        <f>TEXT(Table13[[#This Row],[Join_Date]],"yyyy")</f>
        <v>2020</v>
      </c>
      <c r="P981" s="3" t="str">
        <f>LEFT('Main Project Raw Data'!E981,FIND("-",'Main Project Raw Data'!E981)-1)</f>
        <v>HR</v>
      </c>
      <c r="Q981" s="3" t="str">
        <f>RIGHT('Main Project Raw Data'!E981,LEN('Main Project Raw Data'!E981)-FIND("-",'Main Project Raw Data'!E981))</f>
        <v>Nevada</v>
      </c>
    </row>
    <row r="982" spans="1:17" x14ac:dyDescent="0.3">
      <c r="A982" s="3" t="str">
        <f>TRIM(Table1[[#This Row],[Employee_ID]])</f>
        <v>EMP1980</v>
      </c>
      <c r="B982" s="3" t="str">
        <f>TRIM(Table1[[#This Row],[First_Name]])</f>
        <v>Grace</v>
      </c>
      <c r="C982" s="3" t="str">
        <f>TRIM(Table1[[#This Row],[Last_Name]])</f>
        <v>Brown</v>
      </c>
      <c r="D982" s="3">
        <f>IF(Table1[[#This Row],[Age]]="",AVERAGE(Table1[Age]),Table1[[#This Row],[Age]])</f>
        <v>25</v>
      </c>
      <c r="E982" s="3" t="s">
        <v>70</v>
      </c>
      <c r="F982" s="3" t="s">
        <v>33</v>
      </c>
      <c r="G982" s="5">
        <f>IF(ISNUMBER('Main Project Raw Data'!G982),'Main Project Raw Data'!G982,IF(ISNUMBER(SEARCH("/",'Main Project Raw Data'!G982)),DATE(RIGHT('Main Project Raw Data'!G982,4),LEFT('Main Project Raw Data'!G982,FIND("/",'Main Project Raw Data'!G982)-1),MID('Main Project Raw Data'!G982,FIND("/",'Main Project Raw Data'!G982)+1,2)),DATE(RIGHT('Main Project Raw Data'!G982,4),MID('Main Project Raw Data'!G982,4,2),LEFT('Main Project Raw Data'!G982,2))))</f>
        <v>44674</v>
      </c>
      <c r="H982" s="3">
        <f>IF(Table1[[#This Row],[Salary]]="",AVERAGE(Table1[Salary]),Table1[[#This Row],[Salary]])</f>
        <v>74588.850000000006</v>
      </c>
      <c r="I982" s="3" t="s">
        <v>201</v>
      </c>
      <c r="J982" s="3">
        <f>ABS(Table1[[#This Row],[Phone]])</f>
        <v>1293913043</v>
      </c>
      <c r="K982" s="3" t="str">
        <f>PROPER(TRIM(Table1[[#This Row],[Performance_Score]]))</f>
        <v>Average</v>
      </c>
      <c r="L982" s="3" t="b">
        <f>Table1[[#This Row],[Remote_Work]]</f>
        <v>0</v>
      </c>
      <c r="M982" s="3" t="str">
        <f>PROPER(CONCATENATE(Table13[[#This Row],[First_Name]], Table13[[#This Row],[Last_Name]]))</f>
        <v>Gracebrown</v>
      </c>
      <c r="N982" s="3" t="str">
        <f t="shared" si="15"/>
        <v>Apr</v>
      </c>
      <c r="O982" s="3" t="str">
        <f>TEXT(Table13[[#This Row],[Join_Date]],"yyyy")</f>
        <v>2022</v>
      </c>
      <c r="P982" s="3" t="str">
        <f>LEFT('Main Project Raw Data'!E982,FIND("-",'Main Project Raw Data'!E982)-1)</f>
        <v>Finance</v>
      </c>
      <c r="Q982" s="3" t="str">
        <f>RIGHT('Main Project Raw Data'!E982,LEN('Main Project Raw Data'!E982)-FIND("-",'Main Project Raw Data'!E982))</f>
        <v>California</v>
      </c>
    </row>
    <row r="983" spans="1:17" x14ac:dyDescent="0.3">
      <c r="A983" s="3" t="str">
        <f>TRIM(Table1[[#This Row],[Employee_ID]])</f>
        <v>EMP1981</v>
      </c>
      <c r="B983" s="3" t="str">
        <f>TRIM(Table1[[#This Row],[First_Name]])</f>
        <v>David</v>
      </c>
      <c r="C983" s="3" t="str">
        <f>TRIM(Table1[[#This Row],[Last_Name]])</f>
        <v>Garcia</v>
      </c>
      <c r="D983" s="3">
        <f>IF(Table1[[#This Row],[Age]]="",AVERAGE(Table1[Age]),Table1[[#This Row],[Age]])</f>
        <v>30</v>
      </c>
      <c r="E983" s="3" t="s">
        <v>15</v>
      </c>
      <c r="F983" s="3" t="s">
        <v>28</v>
      </c>
      <c r="G983" s="5">
        <f>IF(ISNUMBER('Main Project Raw Data'!G983),'Main Project Raw Data'!G983,IF(ISNUMBER(SEARCH("/",'Main Project Raw Data'!G983)),DATE(RIGHT('Main Project Raw Data'!G983,4),LEFT('Main Project Raw Data'!G983,FIND("/",'Main Project Raw Data'!G983)-1),MID('Main Project Raw Data'!G983,FIND("/",'Main Project Raw Data'!G983)+1,2)),DATE(RIGHT('Main Project Raw Data'!G983,4),MID('Main Project Raw Data'!G983,4,2),LEFT('Main Project Raw Data'!G983,2))))</f>
        <v>44004</v>
      </c>
      <c r="H983" s="3">
        <f>IF(Table1[[#This Row],[Salary]]="",AVERAGE(Table1[Salary]),Table1[[#This Row],[Salary]])</f>
        <v>113727.23</v>
      </c>
      <c r="I983" s="3" t="s">
        <v>101</v>
      </c>
      <c r="J983" s="3">
        <f>ABS(Table1[[#This Row],[Phone]])</f>
        <v>8818984840</v>
      </c>
      <c r="K983" s="3" t="str">
        <f>PROPER(TRIM(Table1[[#This Row],[Performance_Score]]))</f>
        <v>Poor</v>
      </c>
      <c r="L983" s="3" t="b">
        <f>Table1[[#This Row],[Remote_Work]]</f>
        <v>0</v>
      </c>
      <c r="M983" s="3" t="str">
        <f>PROPER(CONCATENATE(Table13[[#This Row],[First_Name]], Table13[[#This Row],[Last_Name]]))</f>
        <v>Davidgarcia</v>
      </c>
      <c r="N983" s="3" t="str">
        <f t="shared" si="15"/>
        <v>Jun</v>
      </c>
      <c r="O983" s="3" t="str">
        <f>TEXT(Table13[[#This Row],[Join_Date]],"yyyy")</f>
        <v>2020</v>
      </c>
      <c r="P983" s="3" t="str">
        <f>LEFT('Main Project Raw Data'!E983,FIND("-",'Main Project Raw Data'!E983)-1)</f>
        <v>DevOps</v>
      </c>
      <c r="Q983" s="3" t="str">
        <f>RIGHT('Main Project Raw Data'!E983,LEN('Main Project Raw Data'!E983)-FIND("-",'Main Project Raw Data'!E983))</f>
        <v>California</v>
      </c>
    </row>
    <row r="984" spans="1:17" x14ac:dyDescent="0.3">
      <c r="A984" s="3" t="str">
        <f>TRIM(Table1[[#This Row],[Employee_ID]])</f>
        <v>EMP1982</v>
      </c>
      <c r="B984" s="3" t="str">
        <f>TRIM(Table1[[#This Row],[First_Name]])</f>
        <v>Eva</v>
      </c>
      <c r="C984" s="3" t="str">
        <f>TRIM(Table1[[#This Row],[Last_Name]])</f>
        <v>Brown</v>
      </c>
      <c r="D984" s="3">
        <f>IF(Table1[[#This Row],[Age]]="",AVERAGE(Table1[Age]),Table1[[#This Row],[Age]])</f>
        <v>25</v>
      </c>
      <c r="E984" s="3" t="s">
        <v>66</v>
      </c>
      <c r="F984" s="3" t="s">
        <v>16</v>
      </c>
      <c r="G984" s="5">
        <f>IF(ISNUMBER('Main Project Raw Data'!G984),'Main Project Raw Data'!G984,IF(ISNUMBER(SEARCH("/",'Main Project Raw Data'!G984)),DATE(RIGHT('Main Project Raw Data'!G984,4),LEFT('Main Project Raw Data'!G984,FIND("/",'Main Project Raw Data'!G984)-1),MID('Main Project Raw Data'!G984,FIND("/",'Main Project Raw Data'!G984)+1,2)),DATE(RIGHT('Main Project Raw Data'!G984,4),MID('Main Project Raw Data'!G984,4,2),LEFT('Main Project Raw Data'!G984,2))))</f>
        <v>45108</v>
      </c>
      <c r="H984" s="3">
        <f>IF(Table1[[#This Row],[Salary]]="",AVERAGE(Table1[Salary]),Table1[[#This Row],[Salary]])</f>
        <v>72828.179999999993</v>
      </c>
      <c r="I984" s="3" t="s">
        <v>155</v>
      </c>
      <c r="J984" s="3">
        <f>ABS(Table1[[#This Row],[Phone]])</f>
        <v>6046154020</v>
      </c>
      <c r="K984" s="3" t="str">
        <f>PROPER(TRIM(Table1[[#This Row],[Performance_Score]]))</f>
        <v>Good</v>
      </c>
      <c r="L984" s="3" t="b">
        <f>Table1[[#This Row],[Remote_Work]]</f>
        <v>0</v>
      </c>
      <c r="M984" s="3" t="str">
        <f>PROPER(CONCATENATE(Table13[[#This Row],[First_Name]], Table13[[#This Row],[Last_Name]]))</f>
        <v>Evabrown</v>
      </c>
      <c r="N984" s="3" t="str">
        <f t="shared" si="15"/>
        <v>Jul</v>
      </c>
      <c r="O984" s="3" t="str">
        <f>TEXT(Table13[[#This Row],[Join_Date]],"yyyy")</f>
        <v>2023</v>
      </c>
      <c r="P984" s="3" t="str">
        <f>LEFT('Main Project Raw Data'!E984,FIND("-",'Main Project Raw Data'!E984)-1)</f>
        <v>HR</v>
      </c>
      <c r="Q984" s="3" t="str">
        <f>RIGHT('Main Project Raw Data'!E984,LEN('Main Project Raw Data'!E984)-FIND("-",'Main Project Raw Data'!E984))</f>
        <v>New York</v>
      </c>
    </row>
    <row r="985" spans="1:17" x14ac:dyDescent="0.3">
      <c r="A985" s="3" t="str">
        <f>TRIM(Table1[[#This Row],[Employee_ID]])</f>
        <v>EMP1983</v>
      </c>
      <c r="B985" s="3" t="str">
        <f>TRIM(Table1[[#This Row],[First_Name]])</f>
        <v>Grace</v>
      </c>
      <c r="C985" s="3" t="str">
        <f>TRIM(Table1[[#This Row],[Last_Name]])</f>
        <v>Jones</v>
      </c>
      <c r="D985" s="3">
        <f>IF(Table1[[#This Row],[Age]]="",AVERAGE(Table1[Age]),Table1[[#This Row],[Age]])</f>
        <v>32.484548825710753</v>
      </c>
      <c r="E985" s="3" t="s">
        <v>74</v>
      </c>
      <c r="F985" s="3" t="s">
        <v>33</v>
      </c>
      <c r="G985" s="5">
        <f>IF(ISNUMBER('Main Project Raw Data'!G985),'Main Project Raw Data'!G985,IF(ISNUMBER(SEARCH("/",'Main Project Raw Data'!G985)),DATE(RIGHT('Main Project Raw Data'!G985,4),LEFT('Main Project Raw Data'!G985,FIND("/",'Main Project Raw Data'!G985)-1),MID('Main Project Raw Data'!G985,FIND("/",'Main Project Raw Data'!G985)+1,2)),DATE(RIGHT('Main Project Raw Data'!G985,4),MID('Main Project Raw Data'!G985,4,2),LEFT('Main Project Raw Data'!G985,2))))</f>
        <v>44137</v>
      </c>
      <c r="H985" s="3">
        <f>IF(Table1[[#This Row],[Salary]]="",AVERAGE(Table1[Salary]),Table1[[#This Row],[Salary]])</f>
        <v>98717.09</v>
      </c>
      <c r="I985" s="3" t="s">
        <v>76</v>
      </c>
      <c r="J985" s="3">
        <f>ABS(Table1[[#This Row],[Phone]])</f>
        <v>1901707567</v>
      </c>
      <c r="K985" s="3" t="str">
        <f>PROPER(TRIM(Table1[[#This Row],[Performance_Score]]))</f>
        <v>Poor</v>
      </c>
      <c r="L985" s="3" t="b">
        <f>Table1[[#This Row],[Remote_Work]]</f>
        <v>0</v>
      </c>
      <c r="M985" s="3" t="str">
        <f>PROPER(CONCATENATE(Table13[[#This Row],[First_Name]], Table13[[#This Row],[Last_Name]]))</f>
        <v>Gracejones</v>
      </c>
      <c r="N985" s="3" t="str">
        <f t="shared" si="15"/>
        <v>Nov</v>
      </c>
      <c r="O985" s="3" t="str">
        <f>TEXT(Table13[[#This Row],[Join_Date]],"yyyy")</f>
        <v>2020</v>
      </c>
      <c r="P985" s="3" t="str">
        <f>LEFT('Main Project Raw Data'!E985,FIND("-",'Main Project Raw Data'!E985)-1)</f>
        <v>Sales</v>
      </c>
      <c r="Q985" s="3" t="str">
        <f>RIGHT('Main Project Raw Data'!E985,LEN('Main Project Raw Data'!E985)-FIND("-",'Main Project Raw Data'!E985))</f>
        <v>Florida</v>
      </c>
    </row>
    <row r="986" spans="1:17" x14ac:dyDescent="0.3">
      <c r="A986" s="3" t="str">
        <f>TRIM(Table1[[#This Row],[Employee_ID]])</f>
        <v>EMP1984</v>
      </c>
      <c r="B986" s="3" t="str">
        <f>TRIM(Table1[[#This Row],[First_Name]])</f>
        <v>Frank</v>
      </c>
      <c r="C986" s="3" t="str">
        <f>TRIM(Table1[[#This Row],[Last_Name]])</f>
        <v>Garcia</v>
      </c>
      <c r="D986" s="3">
        <f>IF(Table1[[#This Row],[Age]]="",AVERAGE(Table1[Age]),Table1[[#This Row],[Age]])</f>
        <v>40</v>
      </c>
      <c r="E986" s="3" t="s">
        <v>74</v>
      </c>
      <c r="F986" s="3" t="s">
        <v>33</v>
      </c>
      <c r="G986" s="5">
        <f>IF(ISNUMBER('Main Project Raw Data'!G986),'Main Project Raw Data'!G986,IF(ISNUMBER(SEARCH("/",'Main Project Raw Data'!G986)),DATE(RIGHT('Main Project Raw Data'!G986,4),LEFT('Main Project Raw Data'!G986,FIND("/",'Main Project Raw Data'!G986)-1),MID('Main Project Raw Data'!G986,FIND("/",'Main Project Raw Data'!G986)+1,2)),DATE(RIGHT('Main Project Raw Data'!G986,4),MID('Main Project Raw Data'!G986,4,2),LEFT('Main Project Raw Data'!G986,2))))</f>
        <v>45003</v>
      </c>
      <c r="H986" s="3">
        <f>IF(Table1[[#This Row],[Salary]]="",AVERAGE(Table1[Salary]),Table1[[#This Row],[Salary]])</f>
        <v>56840.800000000003</v>
      </c>
      <c r="I986" s="3" t="s">
        <v>180</v>
      </c>
      <c r="J986" s="3">
        <f>ABS(Table1[[#This Row],[Phone]])</f>
        <v>1429831521</v>
      </c>
      <c r="K986" s="3" t="str">
        <f>PROPER(TRIM(Table1[[#This Row],[Performance_Score]]))</f>
        <v>Poor</v>
      </c>
      <c r="L986" s="3" t="b">
        <f>Table1[[#This Row],[Remote_Work]]</f>
        <v>1</v>
      </c>
      <c r="M986" s="3" t="str">
        <f>PROPER(CONCATENATE(Table13[[#This Row],[First_Name]], Table13[[#This Row],[Last_Name]]))</f>
        <v>Frankgarcia</v>
      </c>
      <c r="N986" s="3" t="str">
        <f t="shared" si="15"/>
        <v>Mar</v>
      </c>
      <c r="O986" s="3" t="str">
        <f>TEXT(Table13[[#This Row],[Join_Date]],"yyyy")</f>
        <v>2023</v>
      </c>
      <c r="P986" s="3" t="str">
        <f>LEFT('Main Project Raw Data'!E986,FIND("-",'Main Project Raw Data'!E986)-1)</f>
        <v>Sales</v>
      </c>
      <c r="Q986" s="3" t="str">
        <f>RIGHT('Main Project Raw Data'!E986,LEN('Main Project Raw Data'!E986)-FIND("-",'Main Project Raw Data'!E986))</f>
        <v>Florida</v>
      </c>
    </row>
    <row r="987" spans="1:17" x14ac:dyDescent="0.3">
      <c r="A987" s="3" t="str">
        <f>TRIM(Table1[[#This Row],[Employee_ID]])</f>
        <v>EMP1985</v>
      </c>
      <c r="B987" s="3" t="str">
        <f>TRIM(Table1[[#This Row],[First_Name]])</f>
        <v>David</v>
      </c>
      <c r="C987" s="3" t="str">
        <f>TRIM(Table1[[#This Row],[Last_Name]])</f>
        <v>Johnson</v>
      </c>
      <c r="D987" s="3">
        <f>IF(Table1[[#This Row],[Age]]="",AVERAGE(Table1[Age]),Table1[[#This Row],[Age]])</f>
        <v>35</v>
      </c>
      <c r="E987" s="3" t="s">
        <v>265</v>
      </c>
      <c r="F987" s="3" t="s">
        <v>28</v>
      </c>
      <c r="G987" s="5">
        <f>IF(ISNUMBER('Main Project Raw Data'!G987),'Main Project Raw Data'!G987,IF(ISNUMBER(SEARCH("/",'Main Project Raw Data'!G987)),DATE(RIGHT('Main Project Raw Data'!G987,4),LEFT('Main Project Raw Data'!G987,FIND("/",'Main Project Raw Data'!G987)-1),MID('Main Project Raw Data'!G987,FIND("/",'Main Project Raw Data'!G987)+1,2)),DATE(RIGHT('Main Project Raw Data'!G987,4),MID('Main Project Raw Data'!G987,4,2),LEFT('Main Project Raw Data'!G987,2))))</f>
        <v>44526</v>
      </c>
      <c r="H987" s="3">
        <f>IF(Table1[[#This Row],[Salary]]="",AVERAGE(Table1[Salary]),Table1[[#This Row],[Salary]])</f>
        <v>61663.91</v>
      </c>
      <c r="I987" s="3" t="s">
        <v>217</v>
      </c>
      <c r="J987" s="3">
        <f>ABS(Table1[[#This Row],[Phone]])</f>
        <v>9107322835</v>
      </c>
      <c r="K987" s="3" t="str">
        <f>PROPER(TRIM(Table1[[#This Row],[Performance_Score]]))</f>
        <v>Average</v>
      </c>
      <c r="L987" s="3" t="b">
        <f>Table1[[#This Row],[Remote_Work]]</f>
        <v>1</v>
      </c>
      <c r="M987" s="3" t="str">
        <f>PROPER(CONCATENATE(Table13[[#This Row],[First_Name]], Table13[[#This Row],[Last_Name]]))</f>
        <v>Davidjohnson</v>
      </c>
      <c r="N987" s="3" t="str">
        <f t="shared" si="15"/>
        <v>Nov</v>
      </c>
      <c r="O987" s="3" t="str">
        <f>TEXT(Table13[[#This Row],[Join_Date]],"yyyy")</f>
        <v>2021</v>
      </c>
      <c r="P987" s="3" t="str">
        <f>LEFT('Main Project Raw Data'!E987,FIND("-",'Main Project Raw Data'!E987)-1)</f>
        <v>Finance</v>
      </c>
      <c r="Q987" s="3" t="str">
        <f>RIGHT('Main Project Raw Data'!E987,LEN('Main Project Raw Data'!E987)-FIND("-",'Main Project Raw Data'!E987))</f>
        <v>Illinois</v>
      </c>
    </row>
    <row r="988" spans="1:17" x14ac:dyDescent="0.3">
      <c r="A988" s="3" t="str">
        <f>TRIM(Table1[[#This Row],[Employee_ID]])</f>
        <v>EMP1986</v>
      </c>
      <c r="B988" s="3" t="str">
        <f>TRIM(Table1[[#This Row],[First_Name]])</f>
        <v>Grace</v>
      </c>
      <c r="C988" s="3" t="str">
        <f>TRIM(Table1[[#This Row],[Last_Name]])</f>
        <v>Brown</v>
      </c>
      <c r="D988" s="3">
        <f>IF(Table1[[#This Row],[Age]]="",AVERAGE(Table1[Age]),Table1[[#This Row],[Age]])</f>
        <v>30</v>
      </c>
      <c r="E988" s="3" t="s">
        <v>100</v>
      </c>
      <c r="F988" s="3" t="s">
        <v>16</v>
      </c>
      <c r="G988" s="5">
        <f>IF(ISNUMBER('Main Project Raw Data'!G988),'Main Project Raw Data'!G988,IF(ISNUMBER(SEARCH("/",'Main Project Raw Data'!G988)),DATE(RIGHT('Main Project Raw Data'!G988,4),LEFT('Main Project Raw Data'!G988,FIND("/",'Main Project Raw Data'!G988)-1),MID('Main Project Raw Data'!G988,FIND("/",'Main Project Raw Data'!G988)+1,2)),DATE(RIGHT('Main Project Raw Data'!G988,4),MID('Main Project Raw Data'!G988,4,2),LEFT('Main Project Raw Data'!G988,2))))</f>
        <v>45552</v>
      </c>
      <c r="H988" s="3">
        <f>IF(Table1[[#This Row],[Salary]]="",AVERAGE(Table1[Salary]),Table1[[#This Row],[Salary]])</f>
        <v>109523.4</v>
      </c>
      <c r="I988" s="3" t="s">
        <v>201</v>
      </c>
      <c r="J988" s="3">
        <f>ABS(Table1[[#This Row],[Phone]])</f>
        <v>849378305</v>
      </c>
      <c r="K988" s="3" t="str">
        <f>PROPER(TRIM(Table1[[#This Row],[Performance_Score]]))</f>
        <v>Poor</v>
      </c>
      <c r="L988" s="3" t="b">
        <f>Table1[[#This Row],[Remote_Work]]</f>
        <v>1</v>
      </c>
      <c r="M988" s="3" t="str">
        <f>PROPER(CONCATENATE(Table13[[#This Row],[First_Name]], Table13[[#This Row],[Last_Name]]))</f>
        <v>Gracebrown</v>
      </c>
      <c r="N988" s="3" t="str">
        <f t="shared" si="15"/>
        <v>Sep</v>
      </c>
      <c r="O988" s="3" t="str">
        <f>TEXT(Table13[[#This Row],[Join_Date]],"yyyy")</f>
        <v>2024</v>
      </c>
      <c r="P988" s="3" t="str">
        <f>LEFT('Main Project Raw Data'!E988,FIND("-",'Main Project Raw Data'!E988)-1)</f>
        <v>Finance</v>
      </c>
      <c r="Q988" s="3" t="str">
        <f>RIGHT('Main Project Raw Data'!E988,LEN('Main Project Raw Data'!E988)-FIND("-",'Main Project Raw Data'!E988))</f>
        <v>Nevada</v>
      </c>
    </row>
    <row r="989" spans="1:17" x14ac:dyDescent="0.3">
      <c r="A989" s="3" t="str">
        <f>TRIM(Table1[[#This Row],[Employee_ID]])</f>
        <v>EMP1987</v>
      </c>
      <c r="B989" s="3" t="str">
        <f>TRIM(Table1[[#This Row],[First_Name]])</f>
        <v>Eva</v>
      </c>
      <c r="C989" s="3" t="str">
        <f>TRIM(Table1[[#This Row],[Last_Name]])</f>
        <v>Brown</v>
      </c>
      <c r="D989" s="3">
        <f>IF(Table1[[#This Row],[Age]]="",AVERAGE(Table1[Age]),Table1[[#This Row],[Age]])</f>
        <v>25</v>
      </c>
      <c r="E989" s="3" t="s">
        <v>192</v>
      </c>
      <c r="F989" s="3" t="s">
        <v>33</v>
      </c>
      <c r="G989" s="5">
        <f>IF(ISNUMBER('Main Project Raw Data'!G989),'Main Project Raw Data'!G989,IF(ISNUMBER(SEARCH("/",'Main Project Raw Data'!G989)),DATE(RIGHT('Main Project Raw Data'!G989,4),LEFT('Main Project Raw Data'!G989,FIND("/",'Main Project Raw Data'!G989)-1),MID('Main Project Raw Data'!G989,FIND("/",'Main Project Raw Data'!G989)+1,2)),DATE(RIGHT('Main Project Raw Data'!G989,4),MID('Main Project Raw Data'!G989,4,2),LEFT('Main Project Raw Data'!G989,2))))</f>
        <v>45419</v>
      </c>
      <c r="H989" s="3">
        <f>IF(Table1[[#This Row],[Salary]]="",AVERAGE(Table1[Salary]),Table1[[#This Row],[Salary]])</f>
        <v>65812.02</v>
      </c>
      <c r="I989" s="3" t="s">
        <v>155</v>
      </c>
      <c r="J989" s="3">
        <f>ABS(Table1[[#This Row],[Phone]])</f>
        <v>3963845268</v>
      </c>
      <c r="K989" s="3" t="str">
        <f>PROPER(TRIM(Table1[[#This Row],[Performance_Score]]))</f>
        <v>Average</v>
      </c>
      <c r="L989" s="3" t="b">
        <f>Table1[[#This Row],[Remote_Work]]</f>
        <v>1</v>
      </c>
      <c r="M989" s="3" t="str">
        <f>PROPER(CONCATENATE(Table13[[#This Row],[First_Name]], Table13[[#This Row],[Last_Name]]))</f>
        <v>Evabrown</v>
      </c>
      <c r="N989" s="3" t="str">
        <f t="shared" si="15"/>
        <v>May</v>
      </c>
      <c r="O989" s="3" t="str">
        <f>TEXT(Table13[[#This Row],[Join_Date]],"yyyy")</f>
        <v>2024</v>
      </c>
      <c r="P989" s="3" t="str">
        <f>LEFT('Main Project Raw Data'!E989,FIND("-",'Main Project Raw Data'!E989)-1)</f>
        <v>HR</v>
      </c>
      <c r="Q989" s="3" t="str">
        <f>RIGHT('Main Project Raw Data'!E989,LEN('Main Project Raw Data'!E989)-FIND("-",'Main Project Raw Data'!E989))</f>
        <v>Illinois</v>
      </c>
    </row>
    <row r="990" spans="1:17" x14ac:dyDescent="0.3">
      <c r="A990" s="3" t="str">
        <f>TRIM(Table1[[#This Row],[Employee_ID]])</f>
        <v>EMP1988</v>
      </c>
      <c r="B990" s="3" t="str">
        <f>TRIM(Table1[[#This Row],[First_Name]])</f>
        <v>Bob</v>
      </c>
      <c r="C990" s="3" t="str">
        <f>TRIM(Table1[[#This Row],[Last_Name]])</f>
        <v>Johnson</v>
      </c>
      <c r="D990" s="3">
        <f>IF(Table1[[#This Row],[Age]]="",AVERAGE(Table1[Age]),Table1[[#This Row],[Age]])</f>
        <v>32.484548825710753</v>
      </c>
      <c r="E990" s="3" t="s">
        <v>95</v>
      </c>
      <c r="F990" s="3" t="s">
        <v>33</v>
      </c>
      <c r="G990" s="5">
        <f>IF(ISNUMBER('Main Project Raw Data'!G990),'Main Project Raw Data'!G990,IF(ISNUMBER(SEARCH("/",'Main Project Raw Data'!G990)),DATE(RIGHT('Main Project Raw Data'!G990,4),LEFT('Main Project Raw Data'!G990,FIND("/",'Main Project Raw Data'!G990)-1),MID('Main Project Raw Data'!G990,FIND("/",'Main Project Raw Data'!G990)+1,2)),DATE(RIGHT('Main Project Raw Data'!G990,4),MID('Main Project Raw Data'!G990,4,2),LEFT('Main Project Raw Data'!G990,2))))</f>
        <v>44390</v>
      </c>
      <c r="H990" s="3">
        <f>IF(Table1[[#This Row],[Salary]]="",AVERAGE(Table1[Salary]),Table1[[#This Row],[Salary]])</f>
        <v>54708.88</v>
      </c>
      <c r="I990" s="3" t="s">
        <v>199</v>
      </c>
      <c r="J990" s="3">
        <f>ABS(Table1[[#This Row],[Phone]])</f>
        <v>6944391648</v>
      </c>
      <c r="K990" s="3" t="str">
        <f>PROPER(TRIM(Table1[[#This Row],[Performance_Score]]))</f>
        <v>Excellent</v>
      </c>
      <c r="L990" s="3" t="b">
        <f>Table1[[#This Row],[Remote_Work]]</f>
        <v>1</v>
      </c>
      <c r="M990" s="3" t="str">
        <f>PROPER(CONCATENATE(Table13[[#This Row],[First_Name]], Table13[[#This Row],[Last_Name]]))</f>
        <v>Bobjohnson</v>
      </c>
      <c r="N990" s="3" t="str">
        <f t="shared" si="15"/>
        <v>Jul</v>
      </c>
      <c r="O990" s="3" t="str">
        <f>TEXT(Table13[[#This Row],[Join_Date]],"yyyy")</f>
        <v>2021</v>
      </c>
      <c r="P990" s="3" t="str">
        <f>LEFT('Main Project Raw Data'!E990,FIND("-",'Main Project Raw Data'!E990)-1)</f>
        <v>Cloud Tech</v>
      </c>
      <c r="Q990" s="3" t="str">
        <f>RIGHT('Main Project Raw Data'!E990,LEN('Main Project Raw Data'!E990)-FIND("-",'Main Project Raw Data'!E990))</f>
        <v>Illinois</v>
      </c>
    </row>
    <row r="991" spans="1:17" x14ac:dyDescent="0.3">
      <c r="A991" s="3" t="str">
        <f>TRIM(Table1[[#This Row],[Employee_ID]])</f>
        <v>EMP1989</v>
      </c>
      <c r="B991" s="3" t="str">
        <f>TRIM(Table1[[#This Row],[First_Name]])</f>
        <v>Heidi</v>
      </c>
      <c r="C991" s="3" t="str">
        <f>TRIM(Table1[[#This Row],[Last_Name]])</f>
        <v>Garcia</v>
      </c>
      <c r="D991" s="3">
        <f>IF(Table1[[#This Row],[Age]]="",AVERAGE(Table1[Age]),Table1[[#This Row],[Age]])</f>
        <v>40</v>
      </c>
      <c r="E991" s="3" t="s">
        <v>118</v>
      </c>
      <c r="F991" s="3" t="s">
        <v>16</v>
      </c>
      <c r="G991" s="5">
        <f>IF(ISNUMBER('Main Project Raw Data'!G991),'Main Project Raw Data'!G991,IF(ISNUMBER(SEARCH("/",'Main Project Raw Data'!G991)),DATE(RIGHT('Main Project Raw Data'!G991,4),LEFT('Main Project Raw Data'!G991,FIND("/",'Main Project Raw Data'!G991)-1),MID('Main Project Raw Data'!G991,FIND("/",'Main Project Raw Data'!G991)+1,2)),DATE(RIGHT('Main Project Raw Data'!G991,4),MID('Main Project Raw Data'!G991,4,2),LEFT('Main Project Raw Data'!G991,2))))</f>
        <v>45165</v>
      </c>
      <c r="H991" s="3">
        <f>IF(Table1[[#This Row],[Salary]]="",AVERAGE(Table1[Salary]),Table1[[#This Row],[Salary]])</f>
        <v>107661.73</v>
      </c>
      <c r="I991" s="3" t="s">
        <v>257</v>
      </c>
      <c r="J991" s="3">
        <f>ABS(Table1[[#This Row],[Phone]])</f>
        <v>7016934291</v>
      </c>
      <c r="K991" s="3" t="str">
        <f>PROPER(TRIM(Table1[[#This Row],[Performance_Score]]))</f>
        <v>Excellent</v>
      </c>
      <c r="L991" s="3" t="b">
        <f>Table1[[#This Row],[Remote_Work]]</f>
        <v>1</v>
      </c>
      <c r="M991" s="3" t="str">
        <f>PROPER(CONCATENATE(Table13[[#This Row],[First_Name]], Table13[[#This Row],[Last_Name]]))</f>
        <v>Heidigarcia</v>
      </c>
      <c r="N991" s="3" t="str">
        <f t="shared" si="15"/>
        <v>Aug</v>
      </c>
      <c r="O991" s="3" t="str">
        <f>TEXT(Table13[[#This Row],[Join_Date]],"yyyy")</f>
        <v>2023</v>
      </c>
      <c r="P991" s="3" t="str">
        <f>LEFT('Main Project Raw Data'!E991,FIND("-",'Main Project Raw Data'!E991)-1)</f>
        <v>Admin</v>
      </c>
      <c r="Q991" s="3" t="str">
        <f>RIGHT('Main Project Raw Data'!E991,LEN('Main Project Raw Data'!E991)-FIND("-",'Main Project Raw Data'!E991))</f>
        <v>California</v>
      </c>
    </row>
    <row r="992" spans="1:17" x14ac:dyDescent="0.3">
      <c r="A992" s="3" t="str">
        <f>TRIM(Table1[[#This Row],[Employee_ID]])</f>
        <v>EMP1990</v>
      </c>
      <c r="B992" s="3" t="str">
        <f>TRIM(Table1[[#This Row],[First_Name]])</f>
        <v>Eva</v>
      </c>
      <c r="C992" s="3" t="str">
        <f>TRIM(Table1[[#This Row],[Last_Name]])</f>
        <v>Johnson</v>
      </c>
      <c r="D992" s="3">
        <f>IF(Table1[[#This Row],[Age]]="",AVERAGE(Table1[Age]),Table1[[#This Row],[Age]])</f>
        <v>40</v>
      </c>
      <c r="E992" s="3" t="s">
        <v>78</v>
      </c>
      <c r="F992" s="3" t="s">
        <v>33</v>
      </c>
      <c r="G992" s="5">
        <f>IF(ISNUMBER('Main Project Raw Data'!G992),'Main Project Raw Data'!G992,IF(ISNUMBER(SEARCH("/",'Main Project Raw Data'!G992)),DATE(RIGHT('Main Project Raw Data'!G992,4),LEFT('Main Project Raw Data'!G992,FIND("/",'Main Project Raw Data'!G992)-1),MID('Main Project Raw Data'!G992,FIND("/",'Main Project Raw Data'!G992)+1,2)),DATE(RIGHT('Main Project Raw Data'!G992,4),MID('Main Project Raw Data'!G992,4,2),LEFT('Main Project Raw Data'!G992,2))))</f>
        <v>44240</v>
      </c>
      <c r="H992" s="3">
        <f>IF(Table1[[#This Row],[Salary]]="",AVERAGE(Table1[Salary]),Table1[[#This Row],[Salary]])</f>
        <v>79002</v>
      </c>
      <c r="I992" s="3" t="s">
        <v>322</v>
      </c>
      <c r="J992" s="3">
        <f>ABS(Table1[[#This Row],[Phone]])</f>
        <v>9132033015</v>
      </c>
      <c r="K992" s="3" t="str">
        <f>PROPER(TRIM(Table1[[#This Row],[Performance_Score]]))</f>
        <v>Average</v>
      </c>
      <c r="L992" s="3" t="b">
        <f>Table1[[#This Row],[Remote_Work]]</f>
        <v>1</v>
      </c>
      <c r="M992" s="3" t="str">
        <f>PROPER(CONCATENATE(Table13[[#This Row],[First_Name]], Table13[[#This Row],[Last_Name]]))</f>
        <v>Evajohnson</v>
      </c>
      <c r="N992" s="3" t="str">
        <f t="shared" si="15"/>
        <v>Feb</v>
      </c>
      <c r="O992" s="3" t="str">
        <f>TEXT(Table13[[#This Row],[Join_Date]],"yyyy")</f>
        <v>2021</v>
      </c>
      <c r="P992" s="3" t="str">
        <f>LEFT('Main Project Raw Data'!E992,FIND("-",'Main Project Raw Data'!E992)-1)</f>
        <v>DevOps</v>
      </c>
      <c r="Q992" s="3" t="str">
        <f>RIGHT('Main Project Raw Data'!E992,LEN('Main Project Raw Data'!E992)-FIND("-",'Main Project Raw Data'!E992))</f>
        <v>Illinois</v>
      </c>
    </row>
    <row r="993" spans="1:17" x14ac:dyDescent="0.3">
      <c r="A993" s="3" t="str">
        <f>TRIM(Table1[[#This Row],[Employee_ID]])</f>
        <v>EMP1991</v>
      </c>
      <c r="B993" s="3" t="str">
        <f>TRIM(Table1[[#This Row],[First_Name]])</f>
        <v>Heidi</v>
      </c>
      <c r="C993" s="3" t="str">
        <f>TRIM(Table1[[#This Row],[Last_Name]])</f>
        <v>Brown</v>
      </c>
      <c r="D993" s="3">
        <f>IF(Table1[[#This Row],[Age]]="",AVERAGE(Table1[Age]),Table1[[#This Row],[Age]])</f>
        <v>32.484548825710753</v>
      </c>
      <c r="E993" s="3" t="s">
        <v>103</v>
      </c>
      <c r="F993" s="3" t="s">
        <v>28</v>
      </c>
      <c r="G993" s="5">
        <f>IF(ISNUMBER('Main Project Raw Data'!G993),'Main Project Raw Data'!G993,IF(ISNUMBER(SEARCH("/",'Main Project Raw Data'!G993)),DATE(RIGHT('Main Project Raw Data'!G993,4),LEFT('Main Project Raw Data'!G993,FIND("/",'Main Project Raw Data'!G993)-1),MID('Main Project Raw Data'!G993,FIND("/",'Main Project Raw Data'!G993)+1,2)),DATE(RIGHT('Main Project Raw Data'!G993,4),MID('Main Project Raw Data'!G993,4,2),LEFT('Main Project Raw Data'!G993,2))))</f>
        <v>45242</v>
      </c>
      <c r="H993" s="3">
        <f>IF(Table1[[#This Row],[Salary]]="",AVERAGE(Table1[Salary]),Table1[[#This Row],[Salary]])</f>
        <v>86135.69</v>
      </c>
      <c r="I993" s="3" t="s">
        <v>403</v>
      </c>
      <c r="J993" s="3">
        <f>ABS(Table1[[#This Row],[Phone]])</f>
        <v>2341903105</v>
      </c>
      <c r="K993" s="3" t="str">
        <f>PROPER(TRIM(Table1[[#This Row],[Performance_Score]]))</f>
        <v>Excellent</v>
      </c>
      <c r="L993" s="3" t="b">
        <f>Table1[[#This Row],[Remote_Work]]</f>
        <v>0</v>
      </c>
      <c r="M993" s="3" t="str">
        <f>PROPER(CONCATENATE(Table13[[#This Row],[First_Name]], Table13[[#This Row],[Last_Name]]))</f>
        <v>Heidibrown</v>
      </c>
      <c r="N993" s="3" t="str">
        <f t="shared" si="15"/>
        <v>Nov</v>
      </c>
      <c r="O993" s="3" t="str">
        <f>TEXT(Table13[[#This Row],[Join_Date]],"yyyy")</f>
        <v>2023</v>
      </c>
      <c r="P993" s="3" t="str">
        <f>LEFT('Main Project Raw Data'!E993,FIND("-",'Main Project Raw Data'!E993)-1)</f>
        <v>Admin</v>
      </c>
      <c r="Q993" s="3" t="str">
        <f>RIGHT('Main Project Raw Data'!E993,LEN('Main Project Raw Data'!E993)-FIND("-",'Main Project Raw Data'!E993))</f>
        <v>Texas</v>
      </c>
    </row>
    <row r="994" spans="1:17" x14ac:dyDescent="0.3">
      <c r="A994" s="3" t="str">
        <f>TRIM(Table1[[#This Row],[Employee_ID]])</f>
        <v>EMP1992</v>
      </c>
      <c r="B994" s="3" t="str">
        <f>TRIM(Table1[[#This Row],[First_Name]])</f>
        <v>Heidi</v>
      </c>
      <c r="C994" s="3" t="str">
        <f>TRIM(Table1[[#This Row],[Last_Name]])</f>
        <v>Johnson</v>
      </c>
      <c r="D994" s="3">
        <f>IF(Table1[[#This Row],[Age]]="",AVERAGE(Table1[Age]),Table1[[#This Row],[Age]])</f>
        <v>30</v>
      </c>
      <c r="E994" s="3" t="s">
        <v>328</v>
      </c>
      <c r="F994" s="3" t="s">
        <v>33</v>
      </c>
      <c r="G994" s="5">
        <f>IF(ISNUMBER('Main Project Raw Data'!G994),'Main Project Raw Data'!G994,IF(ISNUMBER(SEARCH("/",'Main Project Raw Data'!G994)),DATE(RIGHT('Main Project Raw Data'!G994,4),LEFT('Main Project Raw Data'!G994,FIND("/",'Main Project Raw Data'!G994)-1),MID('Main Project Raw Data'!G994,FIND("/",'Main Project Raw Data'!G994)+1,2)),DATE(RIGHT('Main Project Raw Data'!G994,4),MID('Main Project Raw Data'!G994,4,2),LEFT('Main Project Raw Data'!G994,2))))</f>
        <v>44234</v>
      </c>
      <c r="H994" s="3">
        <f>IF(Table1[[#This Row],[Salary]]="",AVERAGE(Table1[Salary]),Table1[[#This Row],[Salary]])</f>
        <v>115601.4</v>
      </c>
      <c r="I994" s="3" t="s">
        <v>113</v>
      </c>
      <c r="J994" s="3">
        <f>ABS(Table1[[#This Row],[Phone]])</f>
        <v>1537221555</v>
      </c>
      <c r="K994" s="3" t="str">
        <f>PROPER(TRIM(Table1[[#This Row],[Performance_Score]]))</f>
        <v>Good</v>
      </c>
      <c r="L994" s="3" t="b">
        <f>Table1[[#This Row],[Remote_Work]]</f>
        <v>1</v>
      </c>
      <c r="M994" s="3" t="str">
        <f>PROPER(CONCATENATE(Table13[[#This Row],[First_Name]], Table13[[#This Row],[Last_Name]]))</f>
        <v>Heidijohnson</v>
      </c>
      <c r="N994" s="3" t="str">
        <f t="shared" si="15"/>
        <v>Feb</v>
      </c>
      <c r="O994" s="3" t="str">
        <f>TEXT(Table13[[#This Row],[Join_Date]],"yyyy")</f>
        <v>2021</v>
      </c>
      <c r="P994" s="3" t="str">
        <f>LEFT('Main Project Raw Data'!E994,FIND("-",'Main Project Raw Data'!E994)-1)</f>
        <v>DevOps</v>
      </c>
      <c r="Q994" s="3" t="str">
        <f>RIGHT('Main Project Raw Data'!E994,LEN('Main Project Raw Data'!E994)-FIND("-",'Main Project Raw Data'!E994))</f>
        <v>Nevada</v>
      </c>
    </row>
    <row r="995" spans="1:17" x14ac:dyDescent="0.3">
      <c r="A995" s="3" t="str">
        <f>TRIM(Table1[[#This Row],[Employee_ID]])</f>
        <v>EMP1993</v>
      </c>
      <c r="B995" s="3" t="str">
        <f>TRIM(Table1[[#This Row],[First_Name]])</f>
        <v>Grace</v>
      </c>
      <c r="C995" s="3" t="str">
        <f>TRIM(Table1[[#This Row],[Last_Name]])</f>
        <v>Brown</v>
      </c>
      <c r="D995" s="3">
        <f>IF(Table1[[#This Row],[Age]]="",AVERAGE(Table1[Age]),Table1[[#This Row],[Age]])</f>
        <v>32.484548825710753</v>
      </c>
      <c r="E995" s="3" t="s">
        <v>328</v>
      </c>
      <c r="F995" s="3" t="s">
        <v>16</v>
      </c>
      <c r="G995" s="5">
        <f>IF(ISNUMBER('Main Project Raw Data'!G995),'Main Project Raw Data'!G995,IF(ISNUMBER(SEARCH("/",'Main Project Raw Data'!G995)),DATE(RIGHT('Main Project Raw Data'!G995,4),LEFT('Main Project Raw Data'!G995,FIND("/",'Main Project Raw Data'!G995)-1),MID('Main Project Raw Data'!G995,FIND("/",'Main Project Raw Data'!G995)+1,2)),DATE(RIGHT('Main Project Raw Data'!G995,4),MID('Main Project Raw Data'!G995,4,2),LEFT('Main Project Raw Data'!G995,2))))</f>
        <v>44693</v>
      </c>
      <c r="H995" s="3">
        <f>IF(Table1[[#This Row],[Salary]]="",AVERAGE(Table1[Salary]),Table1[[#This Row],[Salary]])</f>
        <v>64045.36</v>
      </c>
      <c r="I995" s="3" t="s">
        <v>201</v>
      </c>
      <c r="J995" s="3">
        <f>ABS(Table1[[#This Row],[Phone]])</f>
        <v>6847323652</v>
      </c>
      <c r="K995" s="3" t="str">
        <f>PROPER(TRIM(Table1[[#This Row],[Performance_Score]]))</f>
        <v>Poor</v>
      </c>
      <c r="L995" s="3" t="b">
        <f>Table1[[#This Row],[Remote_Work]]</f>
        <v>1</v>
      </c>
      <c r="M995" s="3" t="str">
        <f>PROPER(CONCATENATE(Table13[[#This Row],[First_Name]], Table13[[#This Row],[Last_Name]]))</f>
        <v>Gracebrown</v>
      </c>
      <c r="N995" s="3" t="str">
        <f t="shared" si="15"/>
        <v>May</v>
      </c>
      <c r="O995" s="3" t="str">
        <f>TEXT(Table13[[#This Row],[Join_Date]],"yyyy")</f>
        <v>2022</v>
      </c>
      <c r="P995" s="3" t="str">
        <f>LEFT('Main Project Raw Data'!E995,FIND("-",'Main Project Raw Data'!E995)-1)</f>
        <v>DevOps</v>
      </c>
      <c r="Q995" s="3" t="str">
        <f>RIGHT('Main Project Raw Data'!E995,LEN('Main Project Raw Data'!E995)-FIND("-",'Main Project Raw Data'!E995))</f>
        <v>Nevada</v>
      </c>
    </row>
    <row r="996" spans="1:17" x14ac:dyDescent="0.3">
      <c r="A996" s="3" t="str">
        <f>TRIM(Table1[[#This Row],[Employee_ID]])</f>
        <v>EMP1994</v>
      </c>
      <c r="B996" s="3" t="str">
        <f>TRIM(Table1[[#This Row],[First_Name]])</f>
        <v>David</v>
      </c>
      <c r="C996" s="3" t="str">
        <f>TRIM(Table1[[#This Row],[Last_Name]])</f>
        <v>Brown</v>
      </c>
      <c r="D996" s="3">
        <f>IF(Table1[[#This Row],[Age]]="",AVERAGE(Table1[Age]),Table1[[#This Row],[Age]])</f>
        <v>30</v>
      </c>
      <c r="E996" s="3" t="s">
        <v>328</v>
      </c>
      <c r="F996" s="3" t="s">
        <v>33</v>
      </c>
      <c r="G996" s="5">
        <f>IF(ISNUMBER('Main Project Raw Data'!G996),'Main Project Raw Data'!G996,IF(ISNUMBER(SEARCH("/",'Main Project Raw Data'!G996)),DATE(RIGHT('Main Project Raw Data'!G996,4),LEFT('Main Project Raw Data'!G996,FIND("/",'Main Project Raw Data'!G996)-1),MID('Main Project Raw Data'!G996,FIND("/",'Main Project Raw Data'!G996)+1,2)),DATE(RIGHT('Main Project Raw Data'!G996,4),MID('Main Project Raw Data'!G996,4,2),LEFT('Main Project Raw Data'!G996,2))))</f>
        <v>45559</v>
      </c>
      <c r="H996" s="3">
        <f>IF(Table1[[#This Row],[Salary]]="",AVERAGE(Table1[Salary]),Table1[[#This Row],[Salary]])</f>
        <v>80477.210000000006</v>
      </c>
      <c r="I996" s="3" t="s">
        <v>225</v>
      </c>
      <c r="J996" s="3">
        <f>ABS(Table1[[#This Row],[Phone]])</f>
        <v>3774604066</v>
      </c>
      <c r="K996" s="3" t="str">
        <f>PROPER(TRIM(Table1[[#This Row],[Performance_Score]]))</f>
        <v>Good</v>
      </c>
      <c r="L996" s="3" t="b">
        <f>Table1[[#This Row],[Remote_Work]]</f>
        <v>0</v>
      </c>
      <c r="M996" s="3" t="str">
        <f>PROPER(CONCATENATE(Table13[[#This Row],[First_Name]], Table13[[#This Row],[Last_Name]]))</f>
        <v>Davidbrown</v>
      </c>
      <c r="N996" s="3" t="str">
        <f t="shared" si="15"/>
        <v>Sep</v>
      </c>
      <c r="O996" s="3" t="str">
        <f>TEXT(Table13[[#This Row],[Join_Date]],"yyyy")</f>
        <v>2024</v>
      </c>
      <c r="P996" s="3" t="str">
        <f>LEFT('Main Project Raw Data'!E996,FIND("-",'Main Project Raw Data'!E996)-1)</f>
        <v>DevOps</v>
      </c>
      <c r="Q996" s="3" t="str">
        <f>RIGHT('Main Project Raw Data'!E996,LEN('Main Project Raw Data'!E996)-FIND("-",'Main Project Raw Data'!E996))</f>
        <v>Nevada</v>
      </c>
    </row>
    <row r="997" spans="1:17" x14ac:dyDescent="0.3">
      <c r="A997" s="3" t="str">
        <f>TRIM(Table1[[#This Row],[Employee_ID]])</f>
        <v>EMP1995</v>
      </c>
      <c r="B997" s="3" t="str">
        <f>TRIM(Table1[[#This Row],[First_Name]])</f>
        <v>Bob</v>
      </c>
      <c r="C997" s="3" t="str">
        <f>TRIM(Table1[[#This Row],[Last_Name]])</f>
        <v>Jones</v>
      </c>
      <c r="D997" s="3">
        <f>IF(Table1[[#This Row],[Age]]="",AVERAGE(Table1[Age]),Table1[[#This Row],[Age]])</f>
        <v>30</v>
      </c>
      <c r="E997" s="3" t="s">
        <v>70</v>
      </c>
      <c r="F997" s="3" t="s">
        <v>33</v>
      </c>
      <c r="G997" s="5">
        <f>IF(ISNUMBER('Main Project Raw Data'!G997),'Main Project Raw Data'!G997,IF(ISNUMBER(SEARCH("/",'Main Project Raw Data'!G997)),DATE(RIGHT('Main Project Raw Data'!G997,4),LEFT('Main Project Raw Data'!G997,FIND("/",'Main Project Raw Data'!G997)-1),MID('Main Project Raw Data'!G997,FIND("/",'Main Project Raw Data'!G997)+1,2)),DATE(RIGHT('Main Project Raw Data'!G997,4),MID('Main Project Raw Data'!G997,4,2),LEFT('Main Project Raw Data'!G997,2))))</f>
        <v>45154</v>
      </c>
      <c r="H997" s="3">
        <f>IF(Table1[[#This Row],[Salary]]="",AVERAGE(Table1[Salary]),Table1[[#This Row],[Salary]])</f>
        <v>61240.9</v>
      </c>
      <c r="I997" s="3" t="s">
        <v>50</v>
      </c>
      <c r="J997" s="3">
        <f>ABS(Table1[[#This Row],[Phone]])</f>
        <v>2007843613</v>
      </c>
      <c r="K997" s="3" t="str">
        <f>PROPER(TRIM(Table1[[#This Row],[Performance_Score]]))</f>
        <v>Poor</v>
      </c>
      <c r="L997" s="3" t="b">
        <f>Table1[[#This Row],[Remote_Work]]</f>
        <v>1</v>
      </c>
      <c r="M997" s="3" t="str">
        <f>PROPER(CONCATENATE(Table13[[#This Row],[First_Name]], Table13[[#This Row],[Last_Name]]))</f>
        <v>Bobjones</v>
      </c>
      <c r="N997" s="3" t="str">
        <f t="shared" si="15"/>
        <v>Aug</v>
      </c>
      <c r="O997" s="3" t="str">
        <f>TEXT(Table13[[#This Row],[Join_Date]],"yyyy")</f>
        <v>2023</v>
      </c>
      <c r="P997" s="3" t="str">
        <f>LEFT('Main Project Raw Data'!E997,FIND("-",'Main Project Raw Data'!E997)-1)</f>
        <v>Finance</v>
      </c>
      <c r="Q997" s="3" t="str">
        <f>RIGHT('Main Project Raw Data'!E997,LEN('Main Project Raw Data'!E997)-FIND("-",'Main Project Raw Data'!E997))</f>
        <v>California</v>
      </c>
    </row>
    <row r="998" spans="1:17" x14ac:dyDescent="0.3">
      <c r="A998" s="3" t="str">
        <f>TRIM(Table1[[#This Row],[Employee_ID]])</f>
        <v>EMP1996</v>
      </c>
      <c r="B998" s="3" t="str">
        <f>TRIM(Table1[[#This Row],[First_Name]])</f>
        <v>David</v>
      </c>
      <c r="C998" s="3" t="str">
        <f>TRIM(Table1[[#This Row],[Last_Name]])</f>
        <v>Smith</v>
      </c>
      <c r="D998" s="3">
        <f>IF(Table1[[#This Row],[Age]]="",AVERAGE(Table1[Age]),Table1[[#This Row],[Age]])</f>
        <v>40</v>
      </c>
      <c r="E998" s="3" t="s">
        <v>103</v>
      </c>
      <c r="F998" s="3" t="s">
        <v>16</v>
      </c>
      <c r="G998" s="5">
        <f>IF(ISNUMBER('Main Project Raw Data'!G998),'Main Project Raw Data'!G998,IF(ISNUMBER(SEARCH("/",'Main Project Raw Data'!G998)),DATE(RIGHT('Main Project Raw Data'!G998,4),LEFT('Main Project Raw Data'!G998,FIND("/",'Main Project Raw Data'!G998)-1),MID('Main Project Raw Data'!G998,FIND("/",'Main Project Raw Data'!G998)+1,2)),DATE(RIGHT('Main Project Raw Data'!G998,4),MID('Main Project Raw Data'!G998,4,2),LEFT('Main Project Raw Data'!G998,2))))</f>
        <v>44224</v>
      </c>
      <c r="H998" s="3">
        <f>IF(Table1[[#This Row],[Salary]]="",AVERAGE(Table1[Salary]),Table1[[#This Row],[Salary]])</f>
        <v>51939.29</v>
      </c>
      <c r="I998" s="3" t="s">
        <v>340</v>
      </c>
      <c r="J998" s="3">
        <f>ABS(Table1[[#This Row],[Phone]])</f>
        <v>2442607818</v>
      </c>
      <c r="K998" s="3" t="str">
        <f>PROPER(TRIM(Table1[[#This Row],[Performance_Score]]))</f>
        <v>Excellent</v>
      </c>
      <c r="L998" s="3" t="b">
        <f>Table1[[#This Row],[Remote_Work]]</f>
        <v>1</v>
      </c>
      <c r="M998" s="3" t="str">
        <f>PROPER(CONCATENATE(Table13[[#This Row],[First_Name]], Table13[[#This Row],[Last_Name]]))</f>
        <v>Davidsmith</v>
      </c>
      <c r="N998" s="3" t="str">
        <f t="shared" si="15"/>
        <v>Jan</v>
      </c>
      <c r="O998" s="3" t="str">
        <f>TEXT(Table13[[#This Row],[Join_Date]],"yyyy")</f>
        <v>2021</v>
      </c>
      <c r="P998" s="3" t="str">
        <f>LEFT('Main Project Raw Data'!E998,FIND("-",'Main Project Raw Data'!E998)-1)</f>
        <v>Admin</v>
      </c>
      <c r="Q998" s="3" t="str">
        <f>RIGHT('Main Project Raw Data'!E998,LEN('Main Project Raw Data'!E998)-FIND("-",'Main Project Raw Data'!E998))</f>
        <v>Texas</v>
      </c>
    </row>
    <row r="999" spans="1:17" x14ac:dyDescent="0.3">
      <c r="A999" s="3" t="str">
        <f>TRIM(Table1[[#This Row],[Employee_ID]])</f>
        <v>EMP1997</v>
      </c>
      <c r="B999" s="3" t="str">
        <f>TRIM(Table1[[#This Row],[First_Name]])</f>
        <v>Eva</v>
      </c>
      <c r="C999" s="3" t="str">
        <f>TRIM(Table1[[#This Row],[Last_Name]])</f>
        <v>Brown</v>
      </c>
      <c r="D999" s="3">
        <f>IF(Table1[[#This Row],[Age]]="",AVERAGE(Table1[Age]),Table1[[#This Row],[Age]])</f>
        <v>40</v>
      </c>
      <c r="E999" s="3" t="s">
        <v>265</v>
      </c>
      <c r="F999" s="3" t="s">
        <v>33</v>
      </c>
      <c r="G999" s="5">
        <f>IF(ISNUMBER('Main Project Raw Data'!G999),'Main Project Raw Data'!G999,IF(ISNUMBER(SEARCH("/",'Main Project Raw Data'!G999)),DATE(RIGHT('Main Project Raw Data'!G999,4),LEFT('Main Project Raw Data'!G999,FIND("/",'Main Project Raw Data'!G999)-1),MID('Main Project Raw Data'!G999,FIND("/",'Main Project Raw Data'!G999)+1,2)),DATE(RIGHT('Main Project Raw Data'!G999,4),MID('Main Project Raw Data'!G999,4,2),LEFT('Main Project Raw Data'!G999,2))))</f>
        <v>44695</v>
      </c>
      <c r="H999" s="3">
        <f>IF(Table1[[#This Row],[Salary]]="",AVERAGE(Table1[Salary]),Table1[[#This Row],[Salary]])</f>
        <v>95284.54</v>
      </c>
      <c r="I999" s="3" t="s">
        <v>155</v>
      </c>
      <c r="J999" s="3">
        <f>ABS(Table1[[#This Row],[Phone]])</f>
        <v>7543734763</v>
      </c>
      <c r="K999" s="3" t="str">
        <f>PROPER(TRIM(Table1[[#This Row],[Performance_Score]]))</f>
        <v>Good</v>
      </c>
      <c r="L999" s="3" t="b">
        <f>Table1[[#This Row],[Remote_Work]]</f>
        <v>0</v>
      </c>
      <c r="M999" s="3" t="str">
        <f>PROPER(CONCATENATE(Table13[[#This Row],[First_Name]], Table13[[#This Row],[Last_Name]]))</f>
        <v>Evabrown</v>
      </c>
      <c r="N999" s="3" t="str">
        <f t="shared" si="15"/>
        <v>May</v>
      </c>
      <c r="O999" s="3" t="str">
        <f>TEXT(Table13[[#This Row],[Join_Date]],"yyyy")</f>
        <v>2022</v>
      </c>
      <c r="P999" s="3" t="str">
        <f>LEFT('Main Project Raw Data'!E999,FIND("-",'Main Project Raw Data'!E999)-1)</f>
        <v>Finance</v>
      </c>
      <c r="Q999" s="3" t="str">
        <f>RIGHT('Main Project Raw Data'!E999,LEN('Main Project Raw Data'!E999)-FIND("-",'Main Project Raw Data'!E999))</f>
        <v>Illinois</v>
      </c>
    </row>
    <row r="1000" spans="1:17" x14ac:dyDescent="0.3">
      <c r="A1000" s="3" t="str">
        <f>TRIM(Table1[[#This Row],[Employee_ID]])</f>
        <v>EMP1998</v>
      </c>
      <c r="B1000" s="3" t="str">
        <f>TRIM(Table1[[#This Row],[First_Name]])</f>
        <v>Charlie</v>
      </c>
      <c r="C1000" s="3" t="str">
        <f>TRIM(Table1[[#This Row],[Last_Name]])</f>
        <v>Garcia</v>
      </c>
      <c r="D1000" s="3">
        <f>IF(Table1[[#This Row],[Age]]="",AVERAGE(Table1[Age]),Table1[[#This Row],[Age]])</f>
        <v>35</v>
      </c>
      <c r="E1000" s="3" t="s">
        <v>103</v>
      </c>
      <c r="F1000" s="3" t="s">
        <v>33</v>
      </c>
      <c r="G1000" s="5">
        <f>IF(ISNUMBER('Main Project Raw Data'!G1000),'Main Project Raw Data'!G1000,IF(ISNUMBER(SEARCH("/",'Main Project Raw Data'!G1000)),DATE(RIGHT('Main Project Raw Data'!G1000,4),LEFT('Main Project Raw Data'!G1000,FIND("/",'Main Project Raw Data'!G1000)-1),MID('Main Project Raw Data'!G1000,FIND("/",'Main Project Raw Data'!G1000)+1,2)),DATE(RIGHT('Main Project Raw Data'!G1000,4),MID('Main Project Raw Data'!G1000,4,2),LEFT('Main Project Raw Data'!G1000,2))))</f>
        <v>45418</v>
      </c>
      <c r="H1000" s="3">
        <f>IF(Table1[[#This Row],[Salary]]="",AVERAGE(Table1[Salary]),Table1[[#This Row],[Salary]])</f>
        <v>106247.67</v>
      </c>
      <c r="I1000" s="3" t="s">
        <v>87</v>
      </c>
      <c r="J1000" s="3">
        <f>ABS(Table1[[#This Row],[Phone]])</f>
        <v>2737203762</v>
      </c>
      <c r="K1000" s="3" t="str">
        <f>PROPER(TRIM(Table1[[#This Row],[Performance_Score]]))</f>
        <v>Excellent</v>
      </c>
      <c r="L1000" s="3" t="b">
        <f>Table1[[#This Row],[Remote_Work]]</f>
        <v>1</v>
      </c>
      <c r="M1000" s="3" t="str">
        <f>PROPER(CONCATENATE(Table13[[#This Row],[First_Name]], Table13[[#This Row],[Last_Name]]))</f>
        <v>Charliegarcia</v>
      </c>
      <c r="N1000" s="3" t="str">
        <f t="shared" si="15"/>
        <v>May</v>
      </c>
      <c r="O1000" s="3" t="str">
        <f>TEXT(Table13[[#This Row],[Join_Date]],"yyyy")</f>
        <v>2024</v>
      </c>
      <c r="P1000" s="3" t="str">
        <f>LEFT('Main Project Raw Data'!E1000,FIND("-",'Main Project Raw Data'!E1000)-1)</f>
        <v>Admin</v>
      </c>
      <c r="Q1000" s="3" t="str">
        <f>RIGHT('Main Project Raw Data'!E1000,LEN('Main Project Raw Data'!E1000)-FIND("-",'Main Project Raw Data'!E1000))</f>
        <v>Texas</v>
      </c>
    </row>
    <row r="1001" spans="1:17" x14ac:dyDescent="0.3">
      <c r="A1001" s="3" t="str">
        <f>TRIM(Table1[[#This Row],[Employee_ID]])</f>
        <v>EMP1999</v>
      </c>
      <c r="B1001" s="3" t="str">
        <f>TRIM(Table1[[#This Row],[First_Name]])</f>
        <v>Charlie</v>
      </c>
      <c r="C1001" s="3" t="str">
        <f>TRIM(Table1[[#This Row],[Last_Name]])</f>
        <v>Williams</v>
      </c>
      <c r="D1001" s="3">
        <f>IF(Table1[[#This Row],[Age]]="",AVERAGE(Table1[Age]),Table1[[#This Row],[Age]])</f>
        <v>25</v>
      </c>
      <c r="E1001" s="3" t="s">
        <v>230</v>
      </c>
      <c r="F1001" s="3" t="s">
        <v>16</v>
      </c>
      <c r="G1001" s="5">
        <f>IF(ISNUMBER('Main Project Raw Data'!G1001),'Main Project Raw Data'!G1001,IF(ISNUMBER(SEARCH("/",'Main Project Raw Data'!G1001)),DATE(RIGHT('Main Project Raw Data'!G1001,4),LEFT('Main Project Raw Data'!G1001,FIND("/",'Main Project Raw Data'!G1001)-1),MID('Main Project Raw Data'!G1001,FIND("/",'Main Project Raw Data'!G1001)+1,2)),DATE(RIGHT('Main Project Raw Data'!G1001,4),MID('Main Project Raw Data'!G1001,4,2),LEFT('Main Project Raw Data'!G1001,2))))</f>
        <v>43944</v>
      </c>
      <c r="H1001" s="3">
        <f>IF(Table1[[#This Row],[Salary]]="",AVERAGE(Table1[Salary]),Table1[[#This Row],[Salary]])</f>
        <v>110170.88</v>
      </c>
      <c r="I1001" s="3" t="s">
        <v>90</v>
      </c>
      <c r="J1001" s="3">
        <f>ABS(Table1[[#This Row],[Phone]])</f>
        <v>8821458413</v>
      </c>
      <c r="K1001" s="3" t="str">
        <f>PROPER(TRIM(Table1[[#This Row],[Performance_Score]]))</f>
        <v>Poor</v>
      </c>
      <c r="L1001" s="3" t="b">
        <f>Table1[[#This Row],[Remote_Work]]</f>
        <v>1</v>
      </c>
      <c r="M1001" s="3" t="str">
        <f>PROPER(CONCATENATE(Table13[[#This Row],[First_Name]], Table13[[#This Row],[Last_Name]]))</f>
        <v>Charliewilliams</v>
      </c>
      <c r="N1001" s="3" t="str">
        <f t="shared" si="15"/>
        <v>Apr</v>
      </c>
      <c r="O1001" s="3" t="str">
        <f>TEXT(Table13[[#This Row],[Join_Date]],"yyyy")</f>
        <v>2020</v>
      </c>
      <c r="P1001" s="3" t="str">
        <f>LEFT('Main Project Raw Data'!E1001,FIND("-",'Main Project Raw Data'!E1001)-1)</f>
        <v>DevOps</v>
      </c>
      <c r="Q1001" s="3" t="str">
        <f>RIGHT('Main Project Raw Data'!E1001,LEN('Main Project Raw Data'!E1001)-FIND("-",'Main Project Raw Data'!E1001))</f>
        <v>Florida</v>
      </c>
    </row>
    <row r="1002" spans="1:17" x14ac:dyDescent="0.3">
      <c r="A1002" s="3" t="str">
        <f>TRIM(Table1[[#This Row],[Employee_ID]])</f>
        <v>EMP2000</v>
      </c>
      <c r="B1002" s="3" t="str">
        <f>TRIM(Table1[[#This Row],[First_Name]])</f>
        <v>Charlie</v>
      </c>
      <c r="C1002" s="3" t="str">
        <f>TRIM(Table1[[#This Row],[Last_Name]])</f>
        <v>Miller</v>
      </c>
      <c r="D1002" s="3">
        <f>IF(Table1[[#This Row],[Age]]="",AVERAGE(Table1[Age]),Table1[[#This Row],[Age]])</f>
        <v>25</v>
      </c>
      <c r="E1002" s="3" t="s">
        <v>149</v>
      </c>
      <c r="F1002" s="3" t="s">
        <v>28</v>
      </c>
      <c r="G1002" s="5">
        <f>IF(ISNUMBER('Main Project Raw Data'!G1002),'Main Project Raw Data'!G1002,IF(ISNUMBER(SEARCH("/",'Main Project Raw Data'!G1002)),DATE(RIGHT('Main Project Raw Data'!G1002,4),LEFT('Main Project Raw Data'!G1002,FIND("/",'Main Project Raw Data'!G1002)-1),MID('Main Project Raw Data'!G1002,FIND("/",'Main Project Raw Data'!G1002)+1,2)),DATE(RIGHT('Main Project Raw Data'!G1002,4),MID('Main Project Raw Data'!G1002,4,2),LEFT('Main Project Raw Data'!G1002,2))))</f>
        <v>45571</v>
      </c>
      <c r="H1002" s="3">
        <f>IF(Table1[[#This Row],[Salary]]="",AVERAGE(Table1[Salary]),Table1[[#This Row],[Salary]])</f>
        <v>52615.44</v>
      </c>
      <c r="I1002" s="3" t="s">
        <v>501</v>
      </c>
      <c r="J1002" s="3">
        <f>ABS(Table1[[#This Row],[Phone]])</f>
        <v>8460191343</v>
      </c>
      <c r="K1002" s="3" t="str">
        <f>PROPER(TRIM(Table1[[#This Row],[Performance_Score]]))</f>
        <v>Average</v>
      </c>
      <c r="L1002" s="3" t="b">
        <f>Table1[[#This Row],[Remote_Work]]</f>
        <v>1</v>
      </c>
      <c r="M1002" s="3" t="str">
        <f>PROPER(CONCATENATE(Table13[[#This Row],[First_Name]], Table13[[#This Row],[Last_Name]]))</f>
        <v>Charliemiller</v>
      </c>
      <c r="N1002" s="3" t="str">
        <f t="shared" si="15"/>
        <v>Oct</v>
      </c>
      <c r="O1002" s="3" t="str">
        <f>TEXT(Table13[[#This Row],[Join_Date]],"yyyy")</f>
        <v>2024</v>
      </c>
      <c r="P1002" s="3" t="str">
        <f>LEFT('Main Project Raw Data'!E1002,FIND("-",'Main Project Raw Data'!E1002)-1)</f>
        <v>HR</v>
      </c>
      <c r="Q1002" s="3" t="str">
        <f>RIGHT('Main Project Raw Data'!E1002,LEN('Main Project Raw Data'!E1002)-FIND("-",'Main Project Raw Data'!E1002))</f>
        <v>Nevada</v>
      </c>
    </row>
    <row r="1003" spans="1:17" x14ac:dyDescent="0.3">
      <c r="A1003" s="3" t="str">
        <f>TRIM(Table1[[#This Row],[Employee_ID]])</f>
        <v>EMP2001</v>
      </c>
      <c r="B1003" s="3" t="str">
        <f>TRIM(Table1[[#This Row],[First_Name]])</f>
        <v>Eva</v>
      </c>
      <c r="C1003" s="3" t="str">
        <f>TRIM(Table1[[#This Row],[Last_Name]])</f>
        <v>Davis</v>
      </c>
      <c r="D1003" s="3">
        <f>IF(Table1[[#This Row],[Age]]="",AVERAGE(Table1[Age]),Table1[[#This Row],[Age]])</f>
        <v>30</v>
      </c>
      <c r="E1003" s="3" t="s">
        <v>78</v>
      </c>
      <c r="F1003" s="3" t="s">
        <v>33</v>
      </c>
      <c r="G1003" s="5">
        <f>IF(ISNUMBER('Main Project Raw Data'!G1003),'Main Project Raw Data'!G1003,IF(ISNUMBER(SEARCH("/",'Main Project Raw Data'!G1003)),DATE(RIGHT('Main Project Raw Data'!G1003,4),LEFT('Main Project Raw Data'!G1003,FIND("/",'Main Project Raw Data'!G1003)-1),MID('Main Project Raw Data'!G1003,FIND("/",'Main Project Raw Data'!G1003)+1,2)),DATE(RIGHT('Main Project Raw Data'!G1003,4),MID('Main Project Raw Data'!G1003,4,2),LEFT('Main Project Raw Data'!G1003,2))))</f>
        <v>43939</v>
      </c>
      <c r="H1003" s="3">
        <f>IF(Table1[[#This Row],[Salary]]="",AVERAGE(Table1[Salary]),Table1[[#This Row],[Salary]])</f>
        <v>82547.259999999995</v>
      </c>
      <c r="I1003" s="3" t="s">
        <v>35</v>
      </c>
      <c r="J1003" s="3">
        <f>ABS(Table1[[#This Row],[Phone]])</f>
        <v>3899827801</v>
      </c>
      <c r="K1003" s="3" t="str">
        <f>PROPER(TRIM(Table1[[#This Row],[Performance_Score]]))</f>
        <v>Average</v>
      </c>
      <c r="L1003" s="3" t="b">
        <f>Table1[[#This Row],[Remote_Work]]</f>
        <v>0</v>
      </c>
      <c r="M1003" s="3" t="str">
        <f>PROPER(CONCATENATE(Table13[[#This Row],[First_Name]], Table13[[#This Row],[Last_Name]]))</f>
        <v>Evadavis</v>
      </c>
      <c r="N1003" s="3" t="str">
        <f t="shared" si="15"/>
        <v>Apr</v>
      </c>
      <c r="O1003" s="3" t="str">
        <f>TEXT(Table13[[#This Row],[Join_Date]],"yyyy")</f>
        <v>2020</v>
      </c>
      <c r="P1003" s="3" t="str">
        <f>LEFT('Main Project Raw Data'!E1003,FIND("-",'Main Project Raw Data'!E1003)-1)</f>
        <v>DevOps</v>
      </c>
      <c r="Q1003" s="3" t="str">
        <f>RIGHT('Main Project Raw Data'!E1003,LEN('Main Project Raw Data'!E1003)-FIND("-",'Main Project Raw Data'!E1003))</f>
        <v>Illinois</v>
      </c>
    </row>
    <row r="1004" spans="1:17" x14ac:dyDescent="0.3">
      <c r="A1004" s="3" t="str">
        <f>TRIM(Table1[[#This Row],[Employee_ID]])</f>
        <v>EMP2002</v>
      </c>
      <c r="B1004" s="3" t="str">
        <f>TRIM(Table1[[#This Row],[First_Name]])</f>
        <v>Bob</v>
      </c>
      <c r="C1004" s="3" t="str">
        <f>TRIM(Table1[[#This Row],[Last_Name]])</f>
        <v>Smith</v>
      </c>
      <c r="D1004" s="3">
        <f>IF(Table1[[#This Row],[Age]]="",AVERAGE(Table1[Age]),Table1[[#This Row],[Age]])</f>
        <v>35</v>
      </c>
      <c r="E1004" s="3" t="s">
        <v>265</v>
      </c>
      <c r="F1004" s="3" t="s">
        <v>28</v>
      </c>
      <c r="G1004" s="5">
        <f>IF(ISNUMBER('Main Project Raw Data'!G1004),'Main Project Raw Data'!G1004,IF(ISNUMBER(SEARCH("/",'Main Project Raw Data'!G1004)),DATE(RIGHT('Main Project Raw Data'!G1004,4),LEFT('Main Project Raw Data'!G1004,FIND("/",'Main Project Raw Data'!G1004)-1),MID('Main Project Raw Data'!G1004,FIND("/",'Main Project Raw Data'!G1004)+1,2)),DATE(RIGHT('Main Project Raw Data'!G1004,4),MID('Main Project Raw Data'!G1004,4,2),LEFT('Main Project Raw Data'!G1004,2))))</f>
        <v>44011</v>
      </c>
      <c r="H1004" s="3">
        <f>IF(Table1[[#This Row],[Salary]]="",AVERAGE(Table1[Salary]),Table1[[#This Row],[Salary]])</f>
        <v>63049.22</v>
      </c>
      <c r="I1004" s="3" t="s">
        <v>123</v>
      </c>
      <c r="J1004" s="3">
        <f>ABS(Table1[[#This Row],[Phone]])</f>
        <v>586950731</v>
      </c>
      <c r="K1004" s="3" t="str">
        <f>PROPER(TRIM(Table1[[#This Row],[Performance_Score]]))</f>
        <v>Good</v>
      </c>
      <c r="L1004" s="3" t="b">
        <f>Table1[[#This Row],[Remote_Work]]</f>
        <v>1</v>
      </c>
      <c r="M1004" s="3" t="str">
        <f>PROPER(CONCATENATE(Table13[[#This Row],[First_Name]], Table13[[#This Row],[Last_Name]]))</f>
        <v>Bobsmith</v>
      </c>
      <c r="N1004" s="3" t="str">
        <f t="shared" si="15"/>
        <v>Jun</v>
      </c>
      <c r="O1004" s="3" t="str">
        <f>TEXT(Table13[[#This Row],[Join_Date]],"yyyy")</f>
        <v>2020</v>
      </c>
      <c r="P1004" s="3" t="str">
        <f>LEFT('Main Project Raw Data'!E1004,FIND("-",'Main Project Raw Data'!E1004)-1)</f>
        <v>Finance</v>
      </c>
      <c r="Q1004" s="3" t="str">
        <f>RIGHT('Main Project Raw Data'!E1004,LEN('Main Project Raw Data'!E1004)-FIND("-",'Main Project Raw Data'!E1004))</f>
        <v>Illinois</v>
      </c>
    </row>
    <row r="1005" spans="1:17" x14ac:dyDescent="0.3">
      <c r="A1005" s="3" t="str">
        <f>TRIM(Table1[[#This Row],[Employee_ID]])</f>
        <v>EMP2003</v>
      </c>
      <c r="B1005" s="3" t="str">
        <f>TRIM(Table1[[#This Row],[First_Name]])</f>
        <v>Frank</v>
      </c>
      <c r="C1005" s="3" t="str">
        <f>TRIM(Table1[[#This Row],[Last_Name]])</f>
        <v>Smith</v>
      </c>
      <c r="D1005" s="3">
        <f>IF(Table1[[#This Row],[Age]]="",AVERAGE(Table1[Age]),Table1[[#This Row],[Age]])</f>
        <v>35</v>
      </c>
      <c r="E1005" s="3" t="s">
        <v>146</v>
      </c>
      <c r="F1005" s="3" t="s">
        <v>28</v>
      </c>
      <c r="G1005" s="5">
        <f>IF(ISNUMBER('Main Project Raw Data'!G1005),'Main Project Raw Data'!G1005,IF(ISNUMBER(SEARCH("/",'Main Project Raw Data'!G1005)),DATE(RIGHT('Main Project Raw Data'!G1005,4),LEFT('Main Project Raw Data'!G1005,FIND("/",'Main Project Raw Data'!G1005)-1),MID('Main Project Raw Data'!G1005,FIND("/",'Main Project Raw Data'!G1005)+1,2)),DATE(RIGHT('Main Project Raw Data'!G1005,4),MID('Main Project Raw Data'!G1005,4,2),LEFT('Main Project Raw Data'!G1005,2))))</f>
        <v>44972</v>
      </c>
      <c r="H1005" s="3">
        <f>IF(Table1[[#This Row],[Salary]]="",AVERAGE(Table1[Salary]),Table1[[#This Row],[Salary]])</f>
        <v>115229.12</v>
      </c>
      <c r="I1005" s="3" t="s">
        <v>137</v>
      </c>
      <c r="J1005" s="3">
        <f>ABS(Table1[[#This Row],[Phone]])</f>
        <v>1464493698</v>
      </c>
      <c r="K1005" s="3" t="str">
        <f>PROPER(TRIM(Table1[[#This Row],[Performance_Score]]))</f>
        <v>Excellent</v>
      </c>
      <c r="L1005" s="3" t="b">
        <f>Table1[[#This Row],[Remote_Work]]</f>
        <v>1</v>
      </c>
      <c r="M1005" s="3" t="str">
        <f>PROPER(CONCATENATE(Table13[[#This Row],[First_Name]], Table13[[#This Row],[Last_Name]]))</f>
        <v>Franksmith</v>
      </c>
      <c r="N1005" s="3" t="str">
        <f t="shared" si="15"/>
        <v>Feb</v>
      </c>
      <c r="O1005" s="3" t="str">
        <f>TEXT(Table13[[#This Row],[Join_Date]],"yyyy")</f>
        <v>2023</v>
      </c>
      <c r="P1005" s="3" t="str">
        <f>LEFT('Main Project Raw Data'!E1005,FIND("-",'Main Project Raw Data'!E1005)-1)</f>
        <v>HR</v>
      </c>
      <c r="Q1005" s="3" t="str">
        <f>RIGHT('Main Project Raw Data'!E1005,LEN('Main Project Raw Data'!E1005)-FIND("-",'Main Project Raw Data'!E1005))</f>
        <v>California</v>
      </c>
    </row>
    <row r="1006" spans="1:17" x14ac:dyDescent="0.3">
      <c r="A1006" s="3" t="str">
        <f>TRIM(Table1[[#This Row],[Employee_ID]])</f>
        <v>EMP2004</v>
      </c>
      <c r="B1006" s="3" t="str">
        <f>TRIM(Table1[[#This Row],[First_Name]])</f>
        <v>Grace</v>
      </c>
      <c r="C1006" s="3" t="str">
        <f>TRIM(Table1[[#This Row],[Last_Name]])</f>
        <v>Smith</v>
      </c>
      <c r="D1006" s="3">
        <f>IF(Table1[[#This Row],[Age]]="",AVERAGE(Table1[Age]),Table1[[#This Row],[Age]])</f>
        <v>25</v>
      </c>
      <c r="E1006" s="3" t="s">
        <v>78</v>
      </c>
      <c r="F1006" s="3" t="s">
        <v>28</v>
      </c>
      <c r="G1006" s="5">
        <f>IF(ISNUMBER('Main Project Raw Data'!G1006),'Main Project Raw Data'!G1006,IF(ISNUMBER(SEARCH("/",'Main Project Raw Data'!G1006)),DATE(RIGHT('Main Project Raw Data'!G1006,4),LEFT('Main Project Raw Data'!G1006,FIND("/",'Main Project Raw Data'!G1006)-1),MID('Main Project Raw Data'!G1006,FIND("/",'Main Project Raw Data'!G1006)+1,2)),DATE(RIGHT('Main Project Raw Data'!G1006,4),MID('Main Project Raw Data'!G1006,4,2),LEFT('Main Project Raw Data'!G1006,2))))</f>
        <v>45092</v>
      </c>
      <c r="H1006" s="3">
        <f>IF(Table1[[#This Row],[Salary]]="",AVERAGE(Table1[Salary]),Table1[[#This Row],[Salary]])</f>
        <v>60687.63</v>
      </c>
      <c r="I1006" s="3" t="s">
        <v>135</v>
      </c>
      <c r="J1006" s="3">
        <f>ABS(Table1[[#This Row],[Phone]])</f>
        <v>9516793349</v>
      </c>
      <c r="K1006" s="3" t="str">
        <f>PROPER(TRIM(Table1[[#This Row],[Performance_Score]]))</f>
        <v>Excellent</v>
      </c>
      <c r="L1006" s="3" t="b">
        <f>Table1[[#This Row],[Remote_Work]]</f>
        <v>0</v>
      </c>
      <c r="M1006" s="3" t="str">
        <f>PROPER(CONCATENATE(Table13[[#This Row],[First_Name]], Table13[[#This Row],[Last_Name]]))</f>
        <v>Gracesmith</v>
      </c>
      <c r="N1006" s="3" t="str">
        <f t="shared" si="15"/>
        <v>Jun</v>
      </c>
      <c r="O1006" s="3" t="str">
        <f>TEXT(Table13[[#This Row],[Join_Date]],"yyyy")</f>
        <v>2023</v>
      </c>
      <c r="P1006" s="3" t="str">
        <f>LEFT('Main Project Raw Data'!E1006,FIND("-",'Main Project Raw Data'!E1006)-1)</f>
        <v>DevOps</v>
      </c>
      <c r="Q1006" s="3" t="str">
        <f>RIGHT('Main Project Raw Data'!E1006,LEN('Main Project Raw Data'!E1006)-FIND("-",'Main Project Raw Data'!E1006))</f>
        <v>Illinois</v>
      </c>
    </row>
    <row r="1007" spans="1:17" x14ac:dyDescent="0.3">
      <c r="A1007" s="3" t="str">
        <f>TRIM(Table1[[#This Row],[Employee_ID]])</f>
        <v>EMP2005</v>
      </c>
      <c r="B1007" s="3" t="str">
        <f>TRIM(Table1[[#This Row],[First_Name]])</f>
        <v>Frank</v>
      </c>
      <c r="C1007" s="3" t="str">
        <f>TRIM(Table1[[#This Row],[Last_Name]])</f>
        <v>Jones</v>
      </c>
      <c r="D1007" s="3">
        <f>IF(Table1[[#This Row],[Age]]="",AVERAGE(Table1[Age]),Table1[[#This Row],[Age]])</f>
        <v>30</v>
      </c>
      <c r="E1007" s="3" t="s">
        <v>265</v>
      </c>
      <c r="F1007" s="3" t="s">
        <v>33</v>
      </c>
      <c r="G1007" s="5">
        <f>IF(ISNUMBER('Main Project Raw Data'!G1007),'Main Project Raw Data'!G1007,IF(ISNUMBER(SEARCH("/",'Main Project Raw Data'!G1007)),DATE(RIGHT('Main Project Raw Data'!G1007,4),LEFT('Main Project Raw Data'!G1007,FIND("/",'Main Project Raw Data'!G1007)-1),MID('Main Project Raw Data'!G1007,FIND("/",'Main Project Raw Data'!G1007)+1,2)),DATE(RIGHT('Main Project Raw Data'!G1007,4),MID('Main Project Raw Data'!G1007,4,2),LEFT('Main Project Raw Data'!G1007,2))))</f>
        <v>44639</v>
      </c>
      <c r="H1007" s="3">
        <f>IF(Table1[[#This Row],[Salary]]="",AVERAGE(Table1[Salary]),Table1[[#This Row],[Salary]])</f>
        <v>67492.73</v>
      </c>
      <c r="I1007" s="3" t="s">
        <v>47</v>
      </c>
      <c r="J1007" s="3">
        <f>ABS(Table1[[#This Row],[Phone]])</f>
        <v>5573857367</v>
      </c>
      <c r="K1007" s="3" t="str">
        <f>PROPER(TRIM(Table1[[#This Row],[Performance_Score]]))</f>
        <v>Good</v>
      </c>
      <c r="L1007" s="3" t="b">
        <f>Table1[[#This Row],[Remote_Work]]</f>
        <v>1</v>
      </c>
      <c r="M1007" s="3" t="str">
        <f>PROPER(CONCATENATE(Table13[[#This Row],[First_Name]], Table13[[#This Row],[Last_Name]]))</f>
        <v>Frankjones</v>
      </c>
      <c r="N1007" s="3" t="str">
        <f t="shared" si="15"/>
        <v>Mar</v>
      </c>
      <c r="O1007" s="3" t="str">
        <f>TEXT(Table13[[#This Row],[Join_Date]],"yyyy")</f>
        <v>2022</v>
      </c>
      <c r="P1007" s="3" t="str">
        <f>LEFT('Main Project Raw Data'!E1007,FIND("-",'Main Project Raw Data'!E1007)-1)</f>
        <v>Finance</v>
      </c>
      <c r="Q1007" s="3" t="str">
        <f>RIGHT('Main Project Raw Data'!E1007,LEN('Main Project Raw Data'!E1007)-FIND("-",'Main Project Raw Data'!E1007))</f>
        <v>Illinois</v>
      </c>
    </row>
    <row r="1008" spans="1:17" x14ac:dyDescent="0.3">
      <c r="A1008" s="3" t="str">
        <f>TRIM(Table1[[#This Row],[Employee_ID]])</f>
        <v>EMP2006</v>
      </c>
      <c r="B1008" s="3" t="str">
        <f>TRIM(Table1[[#This Row],[First_Name]])</f>
        <v>Grace</v>
      </c>
      <c r="C1008" s="3" t="str">
        <f>TRIM(Table1[[#This Row],[Last_Name]])</f>
        <v>Brown</v>
      </c>
      <c r="D1008" s="3">
        <f>IF(Table1[[#This Row],[Age]]="",AVERAGE(Table1[Age]),Table1[[#This Row],[Age]])</f>
        <v>32.484548825710753</v>
      </c>
      <c r="E1008" s="3" t="s">
        <v>192</v>
      </c>
      <c r="F1008" s="3" t="s">
        <v>33</v>
      </c>
      <c r="G1008" s="5">
        <f>IF(ISNUMBER('Main Project Raw Data'!G1008),'Main Project Raw Data'!G1008,IF(ISNUMBER(SEARCH("/",'Main Project Raw Data'!G1008)),DATE(RIGHT('Main Project Raw Data'!G1008,4),LEFT('Main Project Raw Data'!G1008,FIND("/",'Main Project Raw Data'!G1008)-1),MID('Main Project Raw Data'!G1008,FIND("/",'Main Project Raw Data'!G1008)+1,2)),DATE(RIGHT('Main Project Raw Data'!G1008,4),MID('Main Project Raw Data'!G1008,4,2),LEFT('Main Project Raw Data'!G1008,2))))</f>
        <v>45224</v>
      </c>
      <c r="H1008" s="3">
        <f>IF(Table1[[#This Row],[Salary]]="",AVERAGE(Table1[Salary]),Table1[[#This Row],[Salary]])</f>
        <v>77821.789999999994</v>
      </c>
      <c r="I1008" s="3" t="s">
        <v>201</v>
      </c>
      <c r="J1008" s="3">
        <f>ABS(Table1[[#This Row],[Phone]])</f>
        <v>119236036</v>
      </c>
      <c r="K1008" s="3" t="str">
        <f>PROPER(TRIM(Table1[[#This Row],[Performance_Score]]))</f>
        <v>Average</v>
      </c>
      <c r="L1008" s="3" t="b">
        <f>Table1[[#This Row],[Remote_Work]]</f>
        <v>0</v>
      </c>
      <c r="M1008" s="3" t="str">
        <f>PROPER(CONCATENATE(Table13[[#This Row],[First_Name]], Table13[[#This Row],[Last_Name]]))</f>
        <v>Gracebrown</v>
      </c>
      <c r="N1008" s="3" t="str">
        <f t="shared" si="15"/>
        <v>Oct</v>
      </c>
      <c r="O1008" s="3" t="str">
        <f>TEXT(Table13[[#This Row],[Join_Date]],"yyyy")</f>
        <v>2023</v>
      </c>
      <c r="P1008" s="3" t="str">
        <f>LEFT('Main Project Raw Data'!E1008,FIND("-",'Main Project Raw Data'!E1008)-1)</f>
        <v>HR</v>
      </c>
      <c r="Q1008" s="3" t="str">
        <f>RIGHT('Main Project Raw Data'!E1008,LEN('Main Project Raw Data'!E1008)-FIND("-",'Main Project Raw Data'!E1008))</f>
        <v>Illinois</v>
      </c>
    </row>
    <row r="1009" spans="1:17" x14ac:dyDescent="0.3">
      <c r="A1009" s="3" t="str">
        <f>TRIM(Table1[[#This Row],[Employee_ID]])</f>
        <v>EMP2007</v>
      </c>
      <c r="B1009" s="3" t="str">
        <f>TRIM(Table1[[#This Row],[First_Name]])</f>
        <v>Charlie</v>
      </c>
      <c r="C1009" s="3" t="str">
        <f>TRIM(Table1[[#This Row],[Last_Name]])</f>
        <v>Jones</v>
      </c>
      <c r="D1009" s="3">
        <f>IF(Table1[[#This Row],[Age]]="",AVERAGE(Table1[Age]),Table1[[#This Row],[Age]])</f>
        <v>35</v>
      </c>
      <c r="E1009" s="3" t="s">
        <v>237</v>
      </c>
      <c r="F1009" s="3" t="s">
        <v>16</v>
      </c>
      <c r="G1009" s="5">
        <f>IF(ISNUMBER('Main Project Raw Data'!G1009),'Main Project Raw Data'!G1009,IF(ISNUMBER(SEARCH("/",'Main Project Raw Data'!G1009)),DATE(RIGHT('Main Project Raw Data'!G1009,4),LEFT('Main Project Raw Data'!G1009,FIND("/",'Main Project Raw Data'!G1009)-1),MID('Main Project Raw Data'!G1009,FIND("/",'Main Project Raw Data'!G1009)+1,2)),DATE(RIGHT('Main Project Raw Data'!G1009,4),MID('Main Project Raw Data'!G1009,4,2),LEFT('Main Project Raw Data'!G1009,2))))</f>
        <v>44756</v>
      </c>
      <c r="H1009" s="3">
        <f>IF(Table1[[#This Row],[Salary]]="",AVERAGE(Table1[Salary]),Table1[[#This Row],[Salary]])</f>
        <v>69146.95</v>
      </c>
      <c r="I1009" s="3" t="s">
        <v>120</v>
      </c>
      <c r="J1009" s="3">
        <f>ABS(Table1[[#This Row],[Phone]])</f>
        <v>6811872332</v>
      </c>
      <c r="K1009" s="3" t="str">
        <f>PROPER(TRIM(Table1[[#This Row],[Performance_Score]]))</f>
        <v>Poor</v>
      </c>
      <c r="L1009" s="3" t="b">
        <f>Table1[[#This Row],[Remote_Work]]</f>
        <v>0</v>
      </c>
      <c r="M1009" s="3" t="str">
        <f>PROPER(CONCATENATE(Table13[[#This Row],[First_Name]], Table13[[#This Row],[Last_Name]]))</f>
        <v>Charliejones</v>
      </c>
      <c r="N1009" s="3" t="str">
        <f t="shared" si="15"/>
        <v>Jul</v>
      </c>
      <c r="O1009" s="3" t="str">
        <f>TEXT(Table13[[#This Row],[Join_Date]],"yyyy")</f>
        <v>2022</v>
      </c>
      <c r="P1009" s="3" t="str">
        <f>LEFT('Main Project Raw Data'!E1009,FIND("-",'Main Project Raw Data'!E1009)-1)</f>
        <v>DevOps</v>
      </c>
      <c r="Q1009" s="3" t="str">
        <f>RIGHT('Main Project Raw Data'!E1009,LEN('Main Project Raw Data'!E1009)-FIND("-",'Main Project Raw Data'!E1009))</f>
        <v>Texas</v>
      </c>
    </row>
    <row r="1010" spans="1:17" x14ac:dyDescent="0.3">
      <c r="A1010" s="3" t="str">
        <f>TRIM(Table1[[#This Row],[Employee_ID]])</f>
        <v>EMP2008</v>
      </c>
      <c r="B1010" s="3" t="str">
        <f>TRIM(Table1[[#This Row],[First_Name]])</f>
        <v>Grace</v>
      </c>
      <c r="C1010" s="3" t="str">
        <f>TRIM(Table1[[#This Row],[Last_Name]])</f>
        <v>Brown</v>
      </c>
      <c r="D1010" s="3">
        <f>IF(Table1[[#This Row],[Age]]="",AVERAGE(Table1[Age]),Table1[[#This Row],[Age]])</f>
        <v>35</v>
      </c>
      <c r="E1010" s="3" t="s">
        <v>27</v>
      </c>
      <c r="F1010" s="3" t="s">
        <v>33</v>
      </c>
      <c r="G1010" s="5">
        <f>IF(ISNUMBER('Main Project Raw Data'!G1010),'Main Project Raw Data'!G1010,IF(ISNUMBER(SEARCH("/",'Main Project Raw Data'!G1010)),DATE(RIGHT('Main Project Raw Data'!G1010,4),LEFT('Main Project Raw Data'!G1010,FIND("/",'Main Project Raw Data'!G1010)-1),MID('Main Project Raw Data'!G1010,FIND("/",'Main Project Raw Data'!G1010)+1,2)),DATE(RIGHT('Main Project Raw Data'!G1010,4),MID('Main Project Raw Data'!G1010,4,2),LEFT('Main Project Raw Data'!G1010,2))))</f>
        <v>44898</v>
      </c>
      <c r="H1010" s="3">
        <f>IF(Table1[[#This Row],[Salary]]="",AVERAGE(Table1[Salary]),Table1[[#This Row],[Salary]])</f>
        <v>90224.82</v>
      </c>
      <c r="I1010" s="3" t="s">
        <v>201</v>
      </c>
      <c r="J1010" s="3">
        <f>ABS(Table1[[#This Row],[Phone]])</f>
        <v>5104096148</v>
      </c>
      <c r="K1010" s="3" t="str">
        <f>PROPER(TRIM(Table1[[#This Row],[Performance_Score]]))</f>
        <v>Good</v>
      </c>
      <c r="L1010" s="3" t="b">
        <f>Table1[[#This Row],[Remote_Work]]</f>
        <v>1</v>
      </c>
      <c r="M1010" s="3" t="str">
        <f>PROPER(CONCATENATE(Table13[[#This Row],[First_Name]], Table13[[#This Row],[Last_Name]]))</f>
        <v>Gracebrown</v>
      </c>
      <c r="N1010" s="3" t="str">
        <f t="shared" si="15"/>
        <v>Dec</v>
      </c>
      <c r="O1010" s="3" t="str">
        <f>TEXT(Table13[[#This Row],[Join_Date]],"yyyy")</f>
        <v>2022</v>
      </c>
      <c r="P1010" s="3" t="str">
        <f>LEFT('Main Project Raw Data'!E1010,FIND("-",'Main Project Raw Data'!E1010)-1)</f>
        <v>Admin</v>
      </c>
      <c r="Q1010" s="3" t="str">
        <f>RIGHT('Main Project Raw Data'!E1010,LEN('Main Project Raw Data'!E1010)-FIND("-",'Main Project Raw Data'!E1010))</f>
        <v>Nevada</v>
      </c>
    </row>
    <row r="1011" spans="1:17" x14ac:dyDescent="0.3">
      <c r="A1011" s="3" t="str">
        <f>TRIM(Table1[[#This Row],[Employee_ID]])</f>
        <v>EMP2009</v>
      </c>
      <c r="B1011" s="3" t="str">
        <f>TRIM(Table1[[#This Row],[First_Name]])</f>
        <v>David</v>
      </c>
      <c r="C1011" s="3" t="str">
        <f>TRIM(Table1[[#This Row],[Last_Name]])</f>
        <v>Garcia</v>
      </c>
      <c r="D1011" s="3">
        <f>IF(Table1[[#This Row],[Age]]="",AVERAGE(Table1[Age]),Table1[[#This Row],[Age]])</f>
        <v>32.484548825710753</v>
      </c>
      <c r="E1011" s="3" t="s">
        <v>265</v>
      </c>
      <c r="F1011" s="3" t="s">
        <v>28</v>
      </c>
      <c r="G1011" s="5">
        <f>IF(ISNUMBER('Main Project Raw Data'!G1011),'Main Project Raw Data'!G1011,IF(ISNUMBER(SEARCH("/",'Main Project Raw Data'!G1011)),DATE(RIGHT('Main Project Raw Data'!G1011,4),LEFT('Main Project Raw Data'!G1011,FIND("/",'Main Project Raw Data'!G1011)-1),MID('Main Project Raw Data'!G1011,FIND("/",'Main Project Raw Data'!G1011)+1,2)),DATE(RIGHT('Main Project Raw Data'!G1011,4),MID('Main Project Raw Data'!G1011,4,2),LEFT('Main Project Raw Data'!G1011,2))))</f>
        <v>45602</v>
      </c>
      <c r="H1011" s="3">
        <f>IF(Table1[[#This Row],[Salary]]="",AVERAGE(Table1[Salary]),Table1[[#This Row],[Salary]])</f>
        <v>62603.98</v>
      </c>
      <c r="I1011" s="3" t="s">
        <v>101</v>
      </c>
      <c r="J1011" s="3">
        <f>ABS(Table1[[#This Row],[Phone]])</f>
        <v>7315391148</v>
      </c>
      <c r="K1011" s="3" t="str">
        <f>PROPER(TRIM(Table1[[#This Row],[Performance_Score]]))</f>
        <v>Poor</v>
      </c>
      <c r="L1011" s="3" t="b">
        <f>Table1[[#This Row],[Remote_Work]]</f>
        <v>0</v>
      </c>
      <c r="M1011" s="3" t="str">
        <f>PROPER(CONCATENATE(Table13[[#This Row],[First_Name]], Table13[[#This Row],[Last_Name]]))</f>
        <v>Davidgarcia</v>
      </c>
      <c r="N1011" s="3" t="str">
        <f t="shared" si="15"/>
        <v>Nov</v>
      </c>
      <c r="O1011" s="3" t="str">
        <f>TEXT(Table13[[#This Row],[Join_Date]],"yyyy")</f>
        <v>2024</v>
      </c>
      <c r="P1011" s="3" t="str">
        <f>LEFT('Main Project Raw Data'!E1011,FIND("-",'Main Project Raw Data'!E1011)-1)</f>
        <v>Finance</v>
      </c>
      <c r="Q1011" s="3" t="str">
        <f>RIGHT('Main Project Raw Data'!E1011,LEN('Main Project Raw Data'!E1011)-FIND("-",'Main Project Raw Data'!E1011))</f>
        <v>Illinois</v>
      </c>
    </row>
    <row r="1012" spans="1:17" x14ac:dyDescent="0.3">
      <c r="A1012" s="3" t="str">
        <f>TRIM(Table1[[#This Row],[Employee_ID]])</f>
        <v>EMP2010</v>
      </c>
      <c r="B1012" s="3" t="str">
        <f>TRIM(Table1[[#This Row],[First_Name]])</f>
        <v>Bob</v>
      </c>
      <c r="C1012" s="3" t="str">
        <f>TRIM(Table1[[#This Row],[Last_Name]])</f>
        <v>Jones</v>
      </c>
      <c r="D1012" s="3">
        <f>IF(Table1[[#This Row],[Age]]="",AVERAGE(Table1[Age]),Table1[[#This Row],[Age]])</f>
        <v>35</v>
      </c>
      <c r="E1012" s="3" t="s">
        <v>219</v>
      </c>
      <c r="F1012" s="3" t="s">
        <v>16</v>
      </c>
      <c r="G1012" s="5">
        <f>IF(ISNUMBER('Main Project Raw Data'!G1012),'Main Project Raw Data'!G1012,IF(ISNUMBER(SEARCH("/",'Main Project Raw Data'!G1012)),DATE(RIGHT('Main Project Raw Data'!G1012,4),LEFT('Main Project Raw Data'!G1012,FIND("/",'Main Project Raw Data'!G1012)-1),MID('Main Project Raw Data'!G1012,FIND("/",'Main Project Raw Data'!G1012)+1,2)),DATE(RIGHT('Main Project Raw Data'!G1012,4),MID('Main Project Raw Data'!G1012,4,2),LEFT('Main Project Raw Data'!G1012,2))))</f>
        <v>45571</v>
      </c>
      <c r="H1012" s="3">
        <f>IF(Table1[[#This Row],[Salary]]="",AVERAGE(Table1[Salary]),Table1[[#This Row],[Salary]])</f>
        <v>71148.27</v>
      </c>
      <c r="I1012" s="3" t="s">
        <v>50</v>
      </c>
      <c r="J1012" s="3">
        <f>ABS(Table1[[#This Row],[Phone]])</f>
        <v>8307482072</v>
      </c>
      <c r="K1012" s="3" t="str">
        <f>PROPER(TRIM(Table1[[#This Row],[Performance_Score]]))</f>
        <v>Average</v>
      </c>
      <c r="L1012" s="3" t="b">
        <f>Table1[[#This Row],[Remote_Work]]</f>
        <v>0</v>
      </c>
      <c r="M1012" s="3" t="str">
        <f>PROPER(CONCATENATE(Table13[[#This Row],[First_Name]], Table13[[#This Row],[Last_Name]]))</f>
        <v>Bobjones</v>
      </c>
      <c r="N1012" s="3" t="str">
        <f t="shared" si="15"/>
        <v>Oct</v>
      </c>
      <c r="O1012" s="3" t="str">
        <f>TEXT(Table13[[#This Row],[Join_Date]],"yyyy")</f>
        <v>2024</v>
      </c>
      <c r="P1012" s="3" t="str">
        <f>LEFT('Main Project Raw Data'!E1012,FIND("-",'Main Project Raw Data'!E1012)-1)</f>
        <v>Sales</v>
      </c>
      <c r="Q1012" s="3" t="str">
        <f>RIGHT('Main Project Raw Data'!E1012,LEN('Main Project Raw Data'!E1012)-FIND("-",'Main Project Raw Data'!E1012))</f>
        <v>Nevada</v>
      </c>
    </row>
    <row r="1013" spans="1:17" x14ac:dyDescent="0.3">
      <c r="A1013" s="3" t="str">
        <f>TRIM(Table1[[#This Row],[Employee_ID]])</f>
        <v>EMP2011</v>
      </c>
      <c r="B1013" s="3" t="str">
        <f>TRIM(Table1[[#This Row],[First_Name]])</f>
        <v>David</v>
      </c>
      <c r="C1013" s="3" t="str">
        <f>TRIM(Table1[[#This Row],[Last_Name]])</f>
        <v>Jones</v>
      </c>
      <c r="D1013" s="3">
        <f>IF(Table1[[#This Row],[Age]]="",AVERAGE(Table1[Age]),Table1[[#This Row],[Age]])</f>
        <v>40</v>
      </c>
      <c r="E1013" s="3" t="s">
        <v>118</v>
      </c>
      <c r="F1013" s="3" t="s">
        <v>33</v>
      </c>
      <c r="G1013" s="5">
        <f>IF(ISNUMBER('Main Project Raw Data'!G1013),'Main Project Raw Data'!G1013,IF(ISNUMBER(SEARCH("/",'Main Project Raw Data'!G1013)),DATE(RIGHT('Main Project Raw Data'!G1013,4),LEFT('Main Project Raw Data'!G1013,FIND("/",'Main Project Raw Data'!G1013)-1),MID('Main Project Raw Data'!G1013,FIND("/",'Main Project Raw Data'!G1013)+1,2)),DATE(RIGHT('Main Project Raw Data'!G1013,4),MID('Main Project Raw Data'!G1013,4,2),LEFT('Main Project Raw Data'!G1013,2))))</f>
        <v>44825</v>
      </c>
      <c r="H1013" s="3">
        <f>IF(Table1[[#This Row],[Salary]]="",AVERAGE(Table1[Salary]),Table1[[#This Row],[Salary]])</f>
        <v>52031.74</v>
      </c>
      <c r="I1013" s="3" t="s">
        <v>242</v>
      </c>
      <c r="J1013" s="3">
        <f>ABS(Table1[[#This Row],[Phone]])</f>
        <v>6511893939</v>
      </c>
      <c r="K1013" s="3" t="str">
        <f>PROPER(TRIM(Table1[[#This Row],[Performance_Score]]))</f>
        <v>Excellent</v>
      </c>
      <c r="L1013" s="3" t="b">
        <f>Table1[[#This Row],[Remote_Work]]</f>
        <v>1</v>
      </c>
      <c r="M1013" s="3" t="str">
        <f>PROPER(CONCATENATE(Table13[[#This Row],[First_Name]], Table13[[#This Row],[Last_Name]]))</f>
        <v>Davidjones</v>
      </c>
      <c r="N1013" s="3" t="str">
        <f t="shared" si="15"/>
        <v>Sep</v>
      </c>
      <c r="O1013" s="3" t="str">
        <f>TEXT(Table13[[#This Row],[Join_Date]],"yyyy")</f>
        <v>2022</v>
      </c>
      <c r="P1013" s="3" t="str">
        <f>LEFT('Main Project Raw Data'!E1013,FIND("-",'Main Project Raw Data'!E1013)-1)</f>
        <v>Admin</v>
      </c>
      <c r="Q1013" s="3" t="str">
        <f>RIGHT('Main Project Raw Data'!E1013,LEN('Main Project Raw Data'!E1013)-FIND("-",'Main Project Raw Data'!E1013))</f>
        <v>California</v>
      </c>
    </row>
    <row r="1014" spans="1:17" x14ac:dyDescent="0.3">
      <c r="A1014" s="3" t="str">
        <f>TRIM(Table1[[#This Row],[Employee_ID]])</f>
        <v>EMP2012</v>
      </c>
      <c r="B1014" s="3" t="str">
        <f>TRIM(Table1[[#This Row],[First_Name]])</f>
        <v>Grace</v>
      </c>
      <c r="C1014" s="3" t="str">
        <f>TRIM(Table1[[#This Row],[Last_Name]])</f>
        <v>Miller</v>
      </c>
      <c r="D1014" s="3">
        <f>IF(Table1[[#This Row],[Age]]="",AVERAGE(Table1[Age]),Table1[[#This Row],[Age]])</f>
        <v>35</v>
      </c>
      <c r="E1014" s="3" t="s">
        <v>230</v>
      </c>
      <c r="F1014" s="3" t="s">
        <v>33</v>
      </c>
      <c r="G1014" s="5">
        <f>IF(ISNUMBER('Main Project Raw Data'!G1014),'Main Project Raw Data'!G1014,IF(ISNUMBER(SEARCH("/",'Main Project Raw Data'!G1014)),DATE(RIGHT('Main Project Raw Data'!G1014,4),LEFT('Main Project Raw Data'!G1014,FIND("/",'Main Project Raw Data'!G1014)-1),MID('Main Project Raw Data'!G1014,FIND("/",'Main Project Raw Data'!G1014)+1,2)),DATE(RIGHT('Main Project Raw Data'!G1014,4),MID('Main Project Raw Data'!G1014,4,2),LEFT('Main Project Raw Data'!G1014,2))))</f>
        <v>45031</v>
      </c>
      <c r="H1014" s="3">
        <f>IF(Table1[[#This Row],[Salary]]="",AVERAGE(Table1[Salary]),Table1[[#This Row],[Salary]])</f>
        <v>85155.056395582287</v>
      </c>
      <c r="I1014" s="3" t="s">
        <v>168</v>
      </c>
      <c r="J1014" s="3">
        <f>ABS(Table1[[#This Row],[Phone]])</f>
        <v>6557820189</v>
      </c>
      <c r="K1014" s="3" t="str">
        <f>PROPER(TRIM(Table1[[#This Row],[Performance_Score]]))</f>
        <v>Average</v>
      </c>
      <c r="L1014" s="3" t="b">
        <f>Table1[[#This Row],[Remote_Work]]</f>
        <v>0</v>
      </c>
      <c r="M1014" s="3" t="str">
        <f>PROPER(CONCATENATE(Table13[[#This Row],[First_Name]], Table13[[#This Row],[Last_Name]]))</f>
        <v>Gracemiller</v>
      </c>
      <c r="N1014" s="3" t="str">
        <f t="shared" si="15"/>
        <v>Apr</v>
      </c>
      <c r="O1014" s="3" t="str">
        <f>TEXT(Table13[[#This Row],[Join_Date]],"yyyy")</f>
        <v>2023</v>
      </c>
      <c r="P1014" s="3" t="str">
        <f>LEFT('Main Project Raw Data'!E1014,FIND("-",'Main Project Raw Data'!E1014)-1)</f>
        <v>DevOps</v>
      </c>
      <c r="Q1014" s="3" t="str">
        <f>RIGHT('Main Project Raw Data'!E1014,LEN('Main Project Raw Data'!E1014)-FIND("-",'Main Project Raw Data'!E1014))</f>
        <v>Florida</v>
      </c>
    </row>
    <row r="1015" spans="1:17" x14ac:dyDescent="0.3">
      <c r="A1015" s="3" t="str">
        <f>TRIM(Table1[[#This Row],[Employee_ID]])</f>
        <v>EMP2013</v>
      </c>
      <c r="B1015" s="3" t="str">
        <f>TRIM(Table1[[#This Row],[First_Name]])</f>
        <v>Eva</v>
      </c>
      <c r="C1015" s="3" t="str">
        <f>TRIM(Table1[[#This Row],[Last_Name]])</f>
        <v>Williams</v>
      </c>
      <c r="D1015" s="3">
        <f>IF(Table1[[#This Row],[Age]]="",AVERAGE(Table1[Age]),Table1[[#This Row],[Age]])</f>
        <v>32.484548825710753</v>
      </c>
      <c r="E1015" s="3" t="s">
        <v>192</v>
      </c>
      <c r="F1015" s="3" t="s">
        <v>28</v>
      </c>
      <c r="G1015" s="5">
        <f>IF(ISNUMBER('Main Project Raw Data'!G1015),'Main Project Raw Data'!G1015,IF(ISNUMBER(SEARCH("/",'Main Project Raw Data'!G1015)),DATE(RIGHT('Main Project Raw Data'!G1015,4),LEFT('Main Project Raw Data'!G1015,FIND("/",'Main Project Raw Data'!G1015)-1),MID('Main Project Raw Data'!G1015,FIND("/",'Main Project Raw Data'!G1015)+1,2)),DATE(RIGHT('Main Project Raw Data'!G1015,4),MID('Main Project Raw Data'!G1015,4,2),LEFT('Main Project Raw Data'!G1015,2))))</f>
        <v>43984</v>
      </c>
      <c r="H1015" s="3">
        <f>IF(Table1[[#This Row],[Salary]]="",AVERAGE(Table1[Salary]),Table1[[#This Row],[Salary]])</f>
        <v>116680.63</v>
      </c>
      <c r="I1015" s="3" t="s">
        <v>141</v>
      </c>
      <c r="J1015" s="3">
        <f>ABS(Table1[[#This Row],[Phone]])</f>
        <v>4322302332</v>
      </c>
      <c r="K1015" s="3" t="str">
        <f>PROPER(TRIM(Table1[[#This Row],[Performance_Score]]))</f>
        <v>Good</v>
      </c>
      <c r="L1015" s="3" t="b">
        <f>Table1[[#This Row],[Remote_Work]]</f>
        <v>0</v>
      </c>
      <c r="M1015" s="3" t="str">
        <f>PROPER(CONCATENATE(Table13[[#This Row],[First_Name]], Table13[[#This Row],[Last_Name]]))</f>
        <v>Evawilliams</v>
      </c>
      <c r="N1015" s="3" t="str">
        <f t="shared" si="15"/>
        <v>Jun</v>
      </c>
      <c r="O1015" s="3" t="str">
        <f>TEXT(Table13[[#This Row],[Join_Date]],"yyyy")</f>
        <v>2020</v>
      </c>
      <c r="P1015" s="3" t="str">
        <f>LEFT('Main Project Raw Data'!E1015,FIND("-",'Main Project Raw Data'!E1015)-1)</f>
        <v>HR</v>
      </c>
      <c r="Q1015" s="3" t="str">
        <f>RIGHT('Main Project Raw Data'!E1015,LEN('Main Project Raw Data'!E1015)-FIND("-",'Main Project Raw Data'!E1015))</f>
        <v>Illinois</v>
      </c>
    </row>
    <row r="1016" spans="1:17" x14ac:dyDescent="0.3">
      <c r="A1016" s="3" t="str">
        <f>TRIM(Table1[[#This Row],[Employee_ID]])</f>
        <v>EMP2014</v>
      </c>
      <c r="B1016" s="3" t="str">
        <f>TRIM(Table1[[#This Row],[First_Name]])</f>
        <v>Grace</v>
      </c>
      <c r="C1016" s="3" t="str">
        <f>TRIM(Table1[[#This Row],[Last_Name]])</f>
        <v>Jones</v>
      </c>
      <c r="D1016" s="3">
        <f>IF(Table1[[#This Row],[Age]]="",AVERAGE(Table1[Age]),Table1[[#This Row],[Age]])</f>
        <v>30</v>
      </c>
      <c r="E1016" s="3" t="s">
        <v>100</v>
      </c>
      <c r="F1016" s="3" t="s">
        <v>28</v>
      </c>
      <c r="G1016" s="5">
        <f>IF(ISNUMBER('Main Project Raw Data'!G1016),'Main Project Raw Data'!G1016,IF(ISNUMBER(SEARCH("/",'Main Project Raw Data'!G1016)),DATE(RIGHT('Main Project Raw Data'!G1016,4),LEFT('Main Project Raw Data'!G1016,FIND("/",'Main Project Raw Data'!G1016)-1),MID('Main Project Raw Data'!G1016,FIND("/",'Main Project Raw Data'!G1016)+1,2)),DATE(RIGHT('Main Project Raw Data'!G1016,4),MID('Main Project Raw Data'!G1016,4,2),LEFT('Main Project Raw Data'!G1016,2))))</f>
        <v>44332</v>
      </c>
      <c r="H1016" s="3">
        <f>IF(Table1[[#This Row],[Salary]]="",AVERAGE(Table1[Salary]),Table1[[#This Row],[Salary]])</f>
        <v>51990.98</v>
      </c>
      <c r="I1016" s="3" t="s">
        <v>76</v>
      </c>
      <c r="J1016" s="3">
        <f>ABS(Table1[[#This Row],[Phone]])</f>
        <v>2470739200</v>
      </c>
      <c r="K1016" s="3" t="str">
        <f>PROPER(TRIM(Table1[[#This Row],[Performance_Score]]))</f>
        <v>Excellent</v>
      </c>
      <c r="L1016" s="3" t="b">
        <f>Table1[[#This Row],[Remote_Work]]</f>
        <v>1</v>
      </c>
      <c r="M1016" s="3" t="str">
        <f>PROPER(CONCATENATE(Table13[[#This Row],[First_Name]], Table13[[#This Row],[Last_Name]]))</f>
        <v>Gracejones</v>
      </c>
      <c r="N1016" s="3" t="str">
        <f t="shared" si="15"/>
        <v>May</v>
      </c>
      <c r="O1016" s="3" t="str">
        <f>TEXT(Table13[[#This Row],[Join_Date]],"yyyy")</f>
        <v>2021</v>
      </c>
      <c r="P1016" s="3" t="str">
        <f>LEFT('Main Project Raw Data'!E1016,FIND("-",'Main Project Raw Data'!E1016)-1)</f>
        <v>Finance</v>
      </c>
      <c r="Q1016" s="3" t="str">
        <f>RIGHT('Main Project Raw Data'!E1016,LEN('Main Project Raw Data'!E1016)-FIND("-",'Main Project Raw Data'!E1016))</f>
        <v>Nevada</v>
      </c>
    </row>
    <row r="1017" spans="1:17" x14ac:dyDescent="0.3">
      <c r="A1017" s="3" t="str">
        <f>TRIM(Table1[[#This Row],[Employee_ID]])</f>
        <v>EMP2015</v>
      </c>
      <c r="B1017" s="3" t="str">
        <f>TRIM(Table1[[#This Row],[First_Name]])</f>
        <v>David</v>
      </c>
      <c r="C1017" s="3" t="str">
        <f>TRIM(Table1[[#This Row],[Last_Name]])</f>
        <v>Miller</v>
      </c>
      <c r="D1017" s="3">
        <f>IF(Table1[[#This Row],[Age]]="",AVERAGE(Table1[Age]),Table1[[#This Row],[Age]])</f>
        <v>30</v>
      </c>
      <c r="E1017" s="3" t="s">
        <v>146</v>
      </c>
      <c r="F1017" s="3" t="s">
        <v>16</v>
      </c>
      <c r="G1017" s="5">
        <f>IF(ISNUMBER('Main Project Raw Data'!G1017),'Main Project Raw Data'!G1017,IF(ISNUMBER(SEARCH("/",'Main Project Raw Data'!G1017)),DATE(RIGHT('Main Project Raw Data'!G1017,4),LEFT('Main Project Raw Data'!G1017,FIND("/",'Main Project Raw Data'!G1017)-1),MID('Main Project Raw Data'!G1017,FIND("/",'Main Project Raw Data'!G1017)+1,2)),DATE(RIGHT('Main Project Raw Data'!G1017,4),MID('Main Project Raw Data'!G1017,4,2),LEFT('Main Project Raw Data'!G1017,2))))</f>
        <v>45157</v>
      </c>
      <c r="H1017" s="3">
        <f>IF(Table1[[#This Row],[Salary]]="",AVERAGE(Table1[Salary]),Table1[[#This Row],[Salary]])</f>
        <v>85155.056395582287</v>
      </c>
      <c r="I1017" s="3" t="s">
        <v>107</v>
      </c>
      <c r="J1017" s="3">
        <f>ABS(Table1[[#This Row],[Phone]])</f>
        <v>3546212759</v>
      </c>
      <c r="K1017" s="3" t="str">
        <f>PROPER(TRIM(Table1[[#This Row],[Performance_Score]]))</f>
        <v>Good</v>
      </c>
      <c r="L1017" s="3" t="b">
        <f>Table1[[#This Row],[Remote_Work]]</f>
        <v>1</v>
      </c>
      <c r="M1017" s="3" t="str">
        <f>PROPER(CONCATENATE(Table13[[#This Row],[First_Name]], Table13[[#This Row],[Last_Name]]))</f>
        <v>Davidmiller</v>
      </c>
      <c r="N1017" s="3" t="str">
        <f t="shared" si="15"/>
        <v>Aug</v>
      </c>
      <c r="O1017" s="3" t="str">
        <f>TEXT(Table13[[#This Row],[Join_Date]],"yyyy")</f>
        <v>2023</v>
      </c>
      <c r="P1017" s="3" t="str">
        <f>LEFT('Main Project Raw Data'!E1017,FIND("-",'Main Project Raw Data'!E1017)-1)</f>
        <v>HR</v>
      </c>
      <c r="Q1017" s="3" t="str">
        <f>RIGHT('Main Project Raw Data'!E1017,LEN('Main Project Raw Data'!E1017)-FIND("-",'Main Project Raw Data'!E1017))</f>
        <v>California</v>
      </c>
    </row>
    <row r="1018" spans="1:17" x14ac:dyDescent="0.3">
      <c r="A1018" s="3" t="str">
        <f>TRIM(Table1[[#This Row],[Employee_ID]])</f>
        <v>EMP2016</v>
      </c>
      <c r="B1018" s="3" t="str">
        <f>TRIM(Table1[[#This Row],[First_Name]])</f>
        <v>David</v>
      </c>
      <c r="C1018" s="3" t="str">
        <f>TRIM(Table1[[#This Row],[Last_Name]])</f>
        <v>Johnson</v>
      </c>
      <c r="D1018" s="3">
        <f>IF(Table1[[#This Row],[Age]]="",AVERAGE(Table1[Age]),Table1[[#This Row],[Age]])</f>
        <v>30</v>
      </c>
      <c r="E1018" s="3" t="s">
        <v>159</v>
      </c>
      <c r="F1018" s="3" t="s">
        <v>33</v>
      </c>
      <c r="G1018" s="5">
        <f>IF(ISNUMBER('Main Project Raw Data'!G1018),'Main Project Raw Data'!G1018,IF(ISNUMBER(SEARCH("/",'Main Project Raw Data'!G1018)),DATE(RIGHT('Main Project Raw Data'!G1018,4),LEFT('Main Project Raw Data'!G1018,FIND("/",'Main Project Raw Data'!G1018)-1),MID('Main Project Raw Data'!G1018,FIND("/",'Main Project Raw Data'!G1018)+1,2)),DATE(RIGHT('Main Project Raw Data'!G1018,4),MID('Main Project Raw Data'!G1018,4,2),LEFT('Main Project Raw Data'!G1018,2))))</f>
        <v>44388</v>
      </c>
      <c r="H1018" s="3">
        <f>IF(Table1[[#This Row],[Salary]]="",AVERAGE(Table1[Salary]),Table1[[#This Row],[Salary]])</f>
        <v>100215.06</v>
      </c>
      <c r="I1018" s="3" t="s">
        <v>217</v>
      </c>
      <c r="J1018" s="3">
        <f>ABS(Table1[[#This Row],[Phone]])</f>
        <v>2508261122</v>
      </c>
      <c r="K1018" s="3" t="str">
        <f>PROPER(TRIM(Table1[[#This Row],[Performance_Score]]))</f>
        <v>Good</v>
      </c>
      <c r="L1018" s="3" t="b">
        <f>Table1[[#This Row],[Remote_Work]]</f>
        <v>1</v>
      </c>
      <c r="M1018" s="3" t="str">
        <f>PROPER(CONCATENATE(Table13[[#This Row],[First_Name]], Table13[[#This Row],[Last_Name]]))</f>
        <v>Davidjohnson</v>
      </c>
      <c r="N1018" s="3" t="str">
        <f t="shared" si="15"/>
        <v>Jul</v>
      </c>
      <c r="O1018" s="3" t="str">
        <f>TEXT(Table13[[#This Row],[Join_Date]],"yyyy")</f>
        <v>2021</v>
      </c>
      <c r="P1018" s="3" t="str">
        <f>LEFT('Main Project Raw Data'!E1018,FIND("-",'Main Project Raw Data'!E1018)-1)</f>
        <v>Cloud Tech</v>
      </c>
      <c r="Q1018" s="3" t="str">
        <f>RIGHT('Main Project Raw Data'!E1018,LEN('Main Project Raw Data'!E1018)-FIND("-",'Main Project Raw Data'!E1018))</f>
        <v>Texas</v>
      </c>
    </row>
    <row r="1019" spans="1:17" x14ac:dyDescent="0.3">
      <c r="A1019" s="3" t="str">
        <f>TRIM(Table1[[#This Row],[Employee_ID]])</f>
        <v>EMP2017</v>
      </c>
      <c r="B1019" s="3" t="str">
        <f>TRIM(Table1[[#This Row],[First_Name]])</f>
        <v>Charlie</v>
      </c>
      <c r="C1019" s="3" t="str">
        <f>TRIM(Table1[[#This Row],[Last_Name]])</f>
        <v>Williams</v>
      </c>
      <c r="D1019" s="3">
        <f>IF(Table1[[#This Row],[Age]]="",AVERAGE(Table1[Age]),Table1[[#This Row],[Age]])</f>
        <v>40</v>
      </c>
      <c r="E1019" s="3" t="s">
        <v>227</v>
      </c>
      <c r="F1019" s="3" t="s">
        <v>16</v>
      </c>
      <c r="G1019" s="5">
        <f>IF(ISNUMBER('Main Project Raw Data'!G1019),'Main Project Raw Data'!G1019,IF(ISNUMBER(SEARCH("/",'Main Project Raw Data'!G1019)),DATE(RIGHT('Main Project Raw Data'!G1019,4),LEFT('Main Project Raw Data'!G1019,FIND("/",'Main Project Raw Data'!G1019)-1),MID('Main Project Raw Data'!G1019,FIND("/",'Main Project Raw Data'!G1019)+1,2)),DATE(RIGHT('Main Project Raw Data'!G1019,4),MID('Main Project Raw Data'!G1019,4,2),LEFT('Main Project Raw Data'!G1019,2))))</f>
        <v>45026</v>
      </c>
      <c r="H1019" s="3">
        <f>IF(Table1[[#This Row],[Salary]]="",AVERAGE(Table1[Salary]),Table1[[#This Row],[Salary]])</f>
        <v>114587.11</v>
      </c>
      <c r="I1019" s="3" t="s">
        <v>90</v>
      </c>
      <c r="J1019" s="3">
        <f>ABS(Table1[[#This Row],[Phone]])</f>
        <v>1261632487</v>
      </c>
      <c r="K1019" s="3" t="str">
        <f>PROPER(TRIM(Table1[[#This Row],[Performance_Score]]))</f>
        <v>Average</v>
      </c>
      <c r="L1019" s="3" t="b">
        <f>Table1[[#This Row],[Remote_Work]]</f>
        <v>0</v>
      </c>
      <c r="M1019" s="3" t="str">
        <f>PROPER(CONCATENATE(Table13[[#This Row],[First_Name]], Table13[[#This Row],[Last_Name]]))</f>
        <v>Charliewilliams</v>
      </c>
      <c r="N1019" s="3" t="str">
        <f t="shared" si="15"/>
        <v>Apr</v>
      </c>
      <c r="O1019" s="3" t="str">
        <f>TEXT(Table13[[#This Row],[Join_Date]],"yyyy")</f>
        <v>2023</v>
      </c>
      <c r="P1019" s="3" t="str">
        <f>LEFT('Main Project Raw Data'!E1019,FIND("-",'Main Project Raw Data'!E1019)-1)</f>
        <v>Finance</v>
      </c>
      <c r="Q1019" s="3" t="str">
        <f>RIGHT('Main Project Raw Data'!E1019,LEN('Main Project Raw Data'!E1019)-FIND("-",'Main Project Raw Data'!E1019))</f>
        <v>New York</v>
      </c>
    </row>
    <row r="1020" spans="1:17" x14ac:dyDescent="0.3">
      <c r="A1020" s="3" t="str">
        <f>TRIM(Table1[[#This Row],[Employee_ID]])</f>
        <v>EMP2018</v>
      </c>
      <c r="B1020" s="3" t="str">
        <f>TRIM(Table1[[#This Row],[First_Name]])</f>
        <v>Alice</v>
      </c>
      <c r="C1020" s="3" t="str">
        <f>TRIM(Table1[[#This Row],[Last_Name]])</f>
        <v>Garcia</v>
      </c>
      <c r="D1020" s="3">
        <f>IF(Table1[[#This Row],[Age]]="",AVERAGE(Table1[Age]),Table1[[#This Row],[Age]])</f>
        <v>30</v>
      </c>
      <c r="E1020" s="3" t="s">
        <v>212</v>
      </c>
      <c r="F1020" s="3" t="s">
        <v>33</v>
      </c>
      <c r="G1020" s="5">
        <f>IF(ISNUMBER('Main Project Raw Data'!G1020),'Main Project Raw Data'!G1020,IF(ISNUMBER(SEARCH("/",'Main Project Raw Data'!G1020)),DATE(RIGHT('Main Project Raw Data'!G1020,4),LEFT('Main Project Raw Data'!G1020,FIND("/",'Main Project Raw Data'!G1020)-1),MID('Main Project Raw Data'!G1020,FIND("/",'Main Project Raw Data'!G1020)+1,2)),DATE(RIGHT('Main Project Raw Data'!G1020,4),MID('Main Project Raw Data'!G1020,4,2),LEFT('Main Project Raw Data'!G1020,2))))</f>
        <v>45642</v>
      </c>
      <c r="H1020" s="3">
        <f>IF(Table1[[#This Row],[Salary]]="",AVERAGE(Table1[Salary]),Table1[[#This Row],[Salary]])</f>
        <v>71318.789999999994</v>
      </c>
      <c r="I1020" s="3" t="s">
        <v>45</v>
      </c>
      <c r="J1020" s="3">
        <f>ABS(Table1[[#This Row],[Phone]])</f>
        <v>8995729892</v>
      </c>
      <c r="K1020" s="3" t="str">
        <f>PROPER(TRIM(Table1[[#This Row],[Performance_Score]]))</f>
        <v>Good</v>
      </c>
      <c r="L1020" s="3" t="b">
        <f>Table1[[#This Row],[Remote_Work]]</f>
        <v>1</v>
      </c>
      <c r="M1020" s="3" t="str">
        <f>PROPER(CONCATENATE(Table13[[#This Row],[First_Name]], Table13[[#This Row],[Last_Name]]))</f>
        <v>Alicegarcia</v>
      </c>
      <c r="N1020" s="3" t="str">
        <f t="shared" si="15"/>
        <v>Dec</v>
      </c>
      <c r="O1020" s="3" t="str">
        <f>TEXT(Table13[[#This Row],[Join_Date]],"yyyy")</f>
        <v>2024</v>
      </c>
      <c r="P1020" s="3" t="str">
        <f>LEFT('Main Project Raw Data'!E1020,FIND("-",'Main Project Raw Data'!E1020)-1)</f>
        <v>HR</v>
      </c>
      <c r="Q1020" s="3" t="str">
        <f>RIGHT('Main Project Raw Data'!E1020,LEN('Main Project Raw Data'!E1020)-FIND("-",'Main Project Raw Data'!E1020))</f>
        <v>Florida</v>
      </c>
    </row>
    <row r="1021" spans="1:17" x14ac:dyDescent="0.3">
      <c r="A1021" s="3" t="str">
        <f>TRIM(Table1[[#This Row],[Employee_ID]])</f>
        <v>EMP2019</v>
      </c>
      <c r="B1021" s="3" t="str">
        <f>TRIM(Table1[[#This Row],[First_Name]])</f>
        <v>Heidi</v>
      </c>
      <c r="C1021" s="3" t="str">
        <f>TRIM(Table1[[#This Row],[Last_Name]])</f>
        <v>Jones</v>
      </c>
      <c r="D1021" s="3">
        <f>IF(Table1[[#This Row],[Age]]="",AVERAGE(Table1[Age]),Table1[[#This Row],[Age]])</f>
        <v>30</v>
      </c>
      <c r="E1021" s="3" t="s">
        <v>78</v>
      </c>
      <c r="F1021" s="3" t="s">
        <v>28</v>
      </c>
      <c r="G1021" s="5">
        <f>IF(ISNUMBER('Main Project Raw Data'!G1021),'Main Project Raw Data'!G1021,IF(ISNUMBER(SEARCH("/",'Main Project Raw Data'!G1021)),DATE(RIGHT('Main Project Raw Data'!G1021,4),LEFT('Main Project Raw Data'!G1021,FIND("/",'Main Project Raw Data'!G1021)-1),MID('Main Project Raw Data'!G1021,FIND("/",'Main Project Raw Data'!G1021)+1,2)),DATE(RIGHT('Main Project Raw Data'!G1021,4),MID('Main Project Raw Data'!G1021,4,2),LEFT('Main Project Raw Data'!G1021,2))))</f>
        <v>44249</v>
      </c>
      <c r="H1021" s="3">
        <f>IF(Table1[[#This Row],[Salary]]="",AVERAGE(Table1[Salary]),Table1[[#This Row],[Salary]])</f>
        <v>77764.240000000005</v>
      </c>
      <c r="I1021" s="3" t="s">
        <v>319</v>
      </c>
      <c r="J1021" s="3">
        <f>ABS(Table1[[#This Row],[Phone]])</f>
        <v>7629745492</v>
      </c>
      <c r="K1021" s="3" t="str">
        <f>PROPER(TRIM(Table1[[#This Row],[Performance_Score]]))</f>
        <v>Average</v>
      </c>
      <c r="L1021" s="3" t="b">
        <f>Table1[[#This Row],[Remote_Work]]</f>
        <v>0</v>
      </c>
      <c r="M1021" s="3" t="str">
        <f>PROPER(CONCATENATE(Table13[[#This Row],[First_Name]], Table13[[#This Row],[Last_Name]]))</f>
        <v>Heidijones</v>
      </c>
      <c r="N1021" s="3" t="str">
        <f t="shared" si="15"/>
        <v>Feb</v>
      </c>
      <c r="O1021" s="3" t="str">
        <f>TEXT(Table13[[#This Row],[Join_Date]],"yyyy")</f>
        <v>2021</v>
      </c>
      <c r="P1021" s="3" t="str">
        <f>LEFT('Main Project Raw Data'!E1021,FIND("-",'Main Project Raw Data'!E1021)-1)</f>
        <v>DevOps</v>
      </c>
      <c r="Q1021" s="3" t="str">
        <f>RIGHT('Main Project Raw Data'!E1021,LEN('Main Project Raw Data'!E1021)-FIND("-",'Main Project Raw Data'!E1021))</f>
        <v>Illinois</v>
      </c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5385A-210E-444E-B2BA-B91EFC5B0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Project Raw Data</vt:lpstr>
      <vt:lpstr>Cleaning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Jagadishwaran R</dc:creator>
  <cp:lastModifiedBy>Jagadishwaran R</cp:lastModifiedBy>
  <dcterms:created xsi:type="dcterms:W3CDTF">2026-09-16T05:59:48Z</dcterms:created>
  <dcterms:modified xsi:type="dcterms:W3CDTF">2026-10-06T14:56:56Z</dcterms:modified>
</cp:coreProperties>
</file>